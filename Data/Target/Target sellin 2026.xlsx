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din\Downloads\"/>
    </mc:Choice>
  </mc:AlternateContent>
  <xr:revisionPtr revIDLastSave="0" documentId="8_{9F33703A-D50D-4CB5-B228-A307C979CE3C}" xr6:coauthVersionLast="47" xr6:coauthVersionMax="47" xr10:uidLastSave="{00000000-0000-0000-0000-000000000000}"/>
  <bookViews>
    <workbookView xWindow="-108" yWindow="-108" windowWidth="23256" windowHeight="12456" xr2:uid="{0A3AE30B-346E-4C42-9BB6-312B2959F978}"/>
  </bookViews>
  <sheets>
    <sheet name="Sell in tính KDT" sheetId="1" r:id="rId1"/>
  </sheets>
  <externalReferences>
    <externalReference r:id="rId2"/>
  </externalReferences>
  <definedNames>
    <definedName name="\gggggg">#REF!</definedName>
    <definedName name="\T">#REF!</definedName>
    <definedName name="_??????3_11">#NAME?</definedName>
    <definedName name="_??????4_11">#NAME?</definedName>
    <definedName name="_??????5_11">#NAME?</definedName>
    <definedName name="_??????6_11">#NAME?</definedName>
    <definedName name="_??_11">#NAME?</definedName>
    <definedName name="__1">#REF!</definedName>
    <definedName name="__E99999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02TEÂN_KHAÙCH_HAØ">#REF!</definedName>
    <definedName name="_117THAØNH_TIEÀN">#REF!</definedName>
    <definedName name="_12">#REF!</definedName>
    <definedName name="_132TRÒ_GIAÙ">#REF!</definedName>
    <definedName name="_1400B">#REF!</definedName>
    <definedName name="_147TRÒ_GIAÙ__VAT">#REF!</definedName>
    <definedName name="_1CAP002">#REF!</definedName>
    <definedName name="_1Index">1</definedName>
    <definedName name="_25_0DATA_DATA2_L">#REF!</definedName>
    <definedName name="_26MAÕ_HAØNG">#REF!</definedName>
    <definedName name="_2STREO7">#REF!</definedName>
    <definedName name="_3PFACT">#REF!</definedName>
    <definedName name="_403">#REF!</definedName>
    <definedName name="_403B">#REF!</definedName>
    <definedName name="_41MAÕ_SOÁ_THUEÁ">#REF!</definedName>
    <definedName name="_4GOIC01">#REF!</definedName>
    <definedName name="_4OSLCTT">#REF!</definedName>
    <definedName name="_56ÑÔN_GIAÙ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1SOÁ_CTÖØ">#REF!</definedName>
    <definedName name="_72SOÁ_LÖÔÏNG">#REF!</definedName>
    <definedName name="_7530111">#REF!</definedName>
    <definedName name="_7530112">#REF!</definedName>
    <definedName name="_7530113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87TEÂN_HAØNG">#REF!</definedName>
    <definedName name="_AcqDisPercActYr">#REF!</definedName>
    <definedName name="_AcqDisPercAPYr">#REF!</definedName>
    <definedName name="_AcqDisPercBGSP">#REF!</definedName>
    <definedName name="_AcqDisPercDatYr">#REF!</definedName>
    <definedName name="_AcqDisPercLEYr">#REF!</definedName>
    <definedName name="_ACREDPercActYr">#REF!</definedName>
    <definedName name="_ACREDPercAPYr">#REF!</definedName>
    <definedName name="_ACREDPercBGSP">#REF!</definedName>
    <definedName name="_ACREDPercDatYr">#REF!</definedName>
    <definedName name="_ACREDPercLEYr">#REF!</definedName>
    <definedName name="_Act99">#REF!</definedName>
    <definedName name="_ADEBPercActYr">#REF!</definedName>
    <definedName name="_ADEBPercAPYr">#REF!</definedName>
    <definedName name="_ADEBPercBGSP">#REF!</definedName>
    <definedName name="_ADEBPercDatYr">#REF!</definedName>
    <definedName name="_ADEBPercLEYr">#REF!</definedName>
    <definedName name="_ARESTPercActYr">#REF!</definedName>
    <definedName name="_ARESTPercAPYr">#REF!</definedName>
    <definedName name="_ARESTPercBGSP">#REF!</definedName>
    <definedName name="_ARESTPercDatYr">#REF!</definedName>
    <definedName name="_ARESTPercLEYr">#REF!</definedName>
    <definedName name="_ASTPercActYr">#REF!</definedName>
    <definedName name="_ASTPercAPYr">#REF!</definedName>
    <definedName name="_ASTPercBGSP">#REF!</definedName>
    <definedName name="_ASTPercDatYr">#REF!</definedName>
    <definedName name="_ASTPercLEYr">#REF!</definedName>
    <definedName name="_AWCPercActYr">#REF!</definedName>
    <definedName name="_AWCPercAPYr">#REF!</definedName>
    <definedName name="_AWCPercBGSP">#REF!</definedName>
    <definedName name="_AWCPercDatYr">#REF!</definedName>
    <definedName name="_AWCPercLEYr">#REF!</definedName>
    <definedName name="_CFFAXFERActYr">#REF!</definedName>
    <definedName name="_CFFAXFERAPYr">#REF!</definedName>
    <definedName name="_CFFAXFERBGSP">#REF!</definedName>
    <definedName name="_CFFAXFERDatYr">#REF!</definedName>
    <definedName name="_CFFAXFERLEYr">#REF!</definedName>
    <definedName name="_CT250">#REF!</definedName>
    <definedName name="_FACRVPercActYr">#REF!</definedName>
    <definedName name="_FACRVPercAPYr">#REF!</definedName>
    <definedName name="_FACRVPercBGSP">#REF!</definedName>
    <definedName name="_FACRVPercDatYr">#REF!</definedName>
    <definedName name="_FACRVPercLEYr">#REF!</definedName>
    <definedName name="_FARLRVPercActYr">#REF!</definedName>
    <definedName name="_FARLRVPercAPYr">#REF!</definedName>
    <definedName name="_FARLRVPercBGSP">#REF!</definedName>
    <definedName name="_FARLRVPercDatYr">#REF!</definedName>
    <definedName name="_FARLRVPercLEYr">#REF!</definedName>
    <definedName name="_FchgcalcActYr">#REF!</definedName>
    <definedName name="_FchgcalcAPYr">#REF!</definedName>
    <definedName name="_FchgcalcBGSP">#REF!</definedName>
    <definedName name="_FchgcalcDatYr">#REF!</definedName>
    <definedName name="_FchgcalcLEYr">#REF!</definedName>
    <definedName name="_FchgdiffActYr">#REF!</definedName>
    <definedName name="_FchgdiffAPYr">#REF!</definedName>
    <definedName name="_FchgdiffBGSP">#REF!</definedName>
    <definedName name="_FchgdiffDatYr">#REF!</definedName>
    <definedName name="_FchgdiffLEYr">#REF!</definedName>
    <definedName name="_Fill" hidden="1">#REF!</definedName>
    <definedName name="_xlnm._FilterDatabase" localSheetId="0" hidden="1">'Sell in tính KDT'!$A$6:$CA$282</definedName>
    <definedName name="_GCxFCFPercActYr">#REF!</definedName>
    <definedName name="_GCxFCFPercAPYr">#REF!</definedName>
    <definedName name="_GCxFCFPercBGSP">#REF!</definedName>
    <definedName name="_GCxFCFPercDatYr">#REF!</definedName>
    <definedName name="_GCxFCFPercLEYr">#REF!</definedName>
    <definedName name="_GCxNPSPercActYr">#REF!</definedName>
    <definedName name="_GCxNPSPercAPYr">#REF!</definedName>
    <definedName name="_GCxNPSPercBGSP">#REF!</definedName>
    <definedName name="_GCxNPSPercDatYr">#REF!</definedName>
    <definedName name="_GCxNPSPercLEYr">#REF!</definedName>
    <definedName name="_GCxTDPercActYr">#REF!</definedName>
    <definedName name="_GCxTDPercAPYr">#REF!</definedName>
    <definedName name="_GCxTDPercBGSP">#REF!</definedName>
    <definedName name="_GCxTDPercDatYr">#REF!</definedName>
    <definedName name="_GCxTDPercLEYr">#REF!</definedName>
    <definedName name="_Key1" hidden="1">#REF!</definedName>
    <definedName name="_Key2" hidden="1">#REF!</definedName>
    <definedName name="_lap1">#REF!</definedName>
    <definedName name="_lap2">#REF!</definedName>
    <definedName name="_OCFbPGCEActYr">#REF!</definedName>
    <definedName name="_OCFbPGCEAPYr">#REF!</definedName>
    <definedName name="_OCFbPGCEBGSP">#REF!</definedName>
    <definedName name="_OCFbPGCEDatYr">#REF!</definedName>
    <definedName name="_OCFbPGCELEYr">#REF!</definedName>
    <definedName name="_OFCbPercActYr">#REF!</definedName>
    <definedName name="_OFCbPercAPYr">#REF!</definedName>
    <definedName name="_OFCbPercBGSP">#REF!</definedName>
    <definedName name="_OFCbPercDatYr">#REF!</definedName>
    <definedName name="_OFCbPercLEYr">#REF!</definedName>
    <definedName name="_Order1" hidden="1">255</definedName>
    <definedName name="_Order2" hidden="1">255</definedName>
    <definedName name="_OVCMSR">#REF!</definedName>
    <definedName name="_OVOTIS">#REF!</definedName>
    <definedName name="_OVOUC">#REF!</definedName>
    <definedName name="_PNMGRS">#REF!</definedName>
    <definedName name="_PNTOT">#REF!</definedName>
    <definedName name="_RPGPercActYr">#REF!</definedName>
    <definedName name="_RPGPercAPYr">#REF!</definedName>
    <definedName name="_RPGPercBGSP">#REF!</definedName>
    <definedName name="_RPGPercDatYr">#REF!</definedName>
    <definedName name="_RPGPercLEYr">#REF!</definedName>
    <definedName name="_SAM1">#REF!</definedName>
    <definedName name="_SAM10">#REF!</definedName>
    <definedName name="_SAM11">#REF!</definedName>
    <definedName name="_SAM12">#REF!</definedName>
    <definedName name="_SAM13">#REF!</definedName>
    <definedName name="_SAM14">#REF!</definedName>
    <definedName name="_SAM15">#REF!</definedName>
    <definedName name="_SAM16">#REF!</definedName>
    <definedName name="_SAM17">#REF!</definedName>
    <definedName name="_SAM18">#REF!</definedName>
    <definedName name="_SAM19">#REF!</definedName>
    <definedName name="_SAM2">#REF!</definedName>
    <definedName name="_SAM20">#REF!</definedName>
    <definedName name="_SAM3">#REF!</definedName>
    <definedName name="_SAM4">#REF!</definedName>
    <definedName name="_SAM5">#REF!</definedName>
    <definedName name="_SAM6">#REF!</definedName>
    <definedName name="_SAM7">#REF!</definedName>
    <definedName name="_SAM8">#REF!</definedName>
    <definedName name="_SAM9">#REF!</definedName>
    <definedName name="_SLSDEBDCO">#REF!</definedName>
    <definedName name="_Sort" hidden="1">#REF!</definedName>
    <definedName name="_STKFGWC">#REF!</definedName>
    <definedName name="_STKMPMWC">#REF!</definedName>
    <definedName name="_STKRMPM">#REF!</definedName>
    <definedName name="_t100000">#REF!</definedName>
    <definedName name="_t65700">#REF!</definedName>
    <definedName name="_t66000">#REF!</definedName>
    <definedName name="_T66061">#REF!</definedName>
    <definedName name="_t67000">#REF!</definedName>
    <definedName name="_t69000">#REF!</definedName>
    <definedName name="_t70000">#REF!</definedName>
    <definedName name="_t80000">#REF!</definedName>
    <definedName name="_t90000">#REF!</definedName>
    <definedName name="_TadprpercActYr">#REF!</definedName>
    <definedName name="_TadprpercAPYr">#REF!</definedName>
    <definedName name="_TadprpercBGSP">#REF!</definedName>
    <definedName name="_TadprpercDatYr">#REF!</definedName>
    <definedName name="_TadprpercLEYr">#REF!</definedName>
    <definedName name="_TadvprcqActYr">#REF!</definedName>
    <definedName name="_TadvprcqAPYr">#REF!</definedName>
    <definedName name="_TadvprcqBGSP">#REF!</definedName>
    <definedName name="_TadvprcqDatYr">#REF!</definedName>
    <definedName name="_TadvprcqLEYr">#REF!</definedName>
    <definedName name="_TcbeiconstActYr">#REF!</definedName>
    <definedName name="_TcbeiconstAPYr">#REF!</definedName>
    <definedName name="_TcbeiconstBGSP">#REF!</definedName>
    <definedName name="_TcbeiconstDatYr">#REF!</definedName>
    <definedName name="_TcbeiconstLEYr">#REF!</definedName>
    <definedName name="_TtrbeiActYr">#REF!</definedName>
    <definedName name="_TtrbeiAPYr">#REF!</definedName>
    <definedName name="_TtrbeiBGSP">#REF!</definedName>
    <definedName name="_TtrbeiDatYr">#REF!</definedName>
    <definedName name="_TtrbeiLEYr">#REF!</definedName>
    <definedName name="_TWCMovActYr">#REF!</definedName>
    <definedName name="_TWCMovAPYr">#REF!</definedName>
    <definedName name="_TWCMovBGSP">#REF!</definedName>
    <definedName name="_TWCMovDatYr">#REF!</definedName>
    <definedName name="_TWCMovLEYr">#REF!</definedName>
    <definedName name="_YldbeiGCEActYr">#REF!</definedName>
    <definedName name="_YldbeiGCEAPYr">#REF!</definedName>
    <definedName name="_YldbeiGCEBGSP">#REF!</definedName>
    <definedName name="_YldbeiGCEDatYr">#REF!</definedName>
    <definedName name="_YldbeiGCELEYr">#REF!</definedName>
    <definedName name="_z">"$#REF!.$#REF!$#REF!:$#REF!$#REF!"</definedName>
    <definedName name="a" hidden="1">#REF!</definedName>
    <definedName name="a_AMET">#REF!</definedName>
    <definedName name="a_CG">#REF!</definedName>
    <definedName name="a_NEA">#REF!</definedName>
    <definedName name="a_SA">#REF!</definedName>
    <definedName name="a_SEAA">#REF!</definedName>
    <definedName name="aa" hidden="1">{#N/A,"HPC Budgets-011B",TRUE,"HPC Budgets";#N/A,"HPC Budgets-012B",TRUE,"HPC Budgets";#N/A,"HPC Budgets-013B",TRUE,"HPC Budgets";#N/A,"HPC Budgets-030B",TRUE,"HPC Budgets";#N/A,"HPC Budgets-031B",TRUE,"HPC Budgets";#N/A,"HPC Budgets-032B",TRUE,"HPC Budgets";#N/A,"HPC Budgets-033B",TRUE,"HPC Budgets";#N/A,"HPC Budgets-034B",TRUE,"HPC Budgets"}</definedName>
    <definedName name="AAA">#REF!</definedName>
    <definedName name="ACQNPSPYPActYr">#REF!</definedName>
    <definedName name="ACQNPSPYPAPYr">#REF!</definedName>
    <definedName name="ACQNPSPYPBGSP">#REF!</definedName>
    <definedName name="ACQNPSPYPDatYr">#REF!</definedName>
    <definedName name="ACQNPSPYPLEYr">#REF!</definedName>
    <definedName name="Advance">#REF!</definedName>
    <definedName name="AFR">#REF!</definedName>
    <definedName name="AllHouseGross">#REF!</definedName>
    <definedName name="Alloca">#REF!</definedName>
    <definedName name="anscount" hidden="1">2</definedName>
    <definedName name="Apr">#REF!</definedName>
    <definedName name="APUN">#REF!</definedName>
    <definedName name="APURABGActYr">#REF!</definedName>
    <definedName name="APURABGAPYr">#REF!</definedName>
    <definedName name="APURABGBGSP">#REF!</definedName>
    <definedName name="APURABGBrand1">#REF!</definedName>
    <definedName name="APURABGBrand10">#REF!</definedName>
    <definedName name="APURABGBRAND10ActYr">#REF!</definedName>
    <definedName name="APURABGBRAND10APYr">#REF!</definedName>
    <definedName name="APURABGBRAND10DatYr">#REF!</definedName>
    <definedName name="APURABGBRAND10LEYr">#REF!</definedName>
    <definedName name="APURABGBRAND10NAME">#REF!</definedName>
    <definedName name="APURABGBrand11">#REF!</definedName>
    <definedName name="APURABGBRAND11ActYr">#REF!</definedName>
    <definedName name="APURABGBRAND11APYr">#REF!</definedName>
    <definedName name="APURABGBRAND11DatYr">#REF!</definedName>
    <definedName name="APURABGBRAND11LEYr">#REF!</definedName>
    <definedName name="APURABGBRAND11NAME">#REF!</definedName>
    <definedName name="APURABGBrand12">#REF!</definedName>
    <definedName name="APURABGBRAND12ActYr">#REF!</definedName>
    <definedName name="APURABGBRAND12APYr">#REF!</definedName>
    <definedName name="APURABGBRAND12DatYr">#REF!</definedName>
    <definedName name="APURABGBRAND12LEYr">#REF!</definedName>
    <definedName name="APURABGBRAND12NAME">#REF!</definedName>
    <definedName name="APURABGBRAND1ActYr">#REF!</definedName>
    <definedName name="APURABGBRAND1APYr">#REF!</definedName>
    <definedName name="APURABGBRAND1DatYr">#REF!</definedName>
    <definedName name="APURABGBRAND1LEYr">#REF!</definedName>
    <definedName name="APURABGBRAND1NAME">#REF!</definedName>
    <definedName name="APURABGBrand2">#REF!</definedName>
    <definedName name="APURABGBRAND2ActYr">#REF!</definedName>
    <definedName name="APURABGBRAND2APYr">#REF!</definedName>
    <definedName name="APURABGBRAND2DatYr">#REF!</definedName>
    <definedName name="APURABGBRAND2LEYr">#REF!</definedName>
    <definedName name="APURABGBRAND2NAME">#REF!</definedName>
    <definedName name="APURABGBrand3">#REF!</definedName>
    <definedName name="APURABGBRAND3ActYr">#REF!</definedName>
    <definedName name="APURABGBRAND3APYr">#REF!</definedName>
    <definedName name="APURABGBRAND3DatYr">#REF!</definedName>
    <definedName name="APURABGBRAND3LEYr">#REF!</definedName>
    <definedName name="APURABGBRAND3NAME">#REF!</definedName>
    <definedName name="APURABGBrand4">#REF!</definedName>
    <definedName name="APURABGBRAND4ActYr">#REF!</definedName>
    <definedName name="APURABGBRAND4APYr">#REF!</definedName>
    <definedName name="APURABGBRAND4DatYr">#REF!</definedName>
    <definedName name="APURABGBRAND4LEYr">#REF!</definedName>
    <definedName name="APURABGBRAND4NAME">#REF!</definedName>
    <definedName name="APURABGBrand5">#REF!</definedName>
    <definedName name="APURABGBRAND5ActYr">#REF!</definedName>
    <definedName name="APURABGBRAND5APYr">#REF!</definedName>
    <definedName name="APURABGBRAND5DatYr">#REF!</definedName>
    <definedName name="APURABGBRAND5LEYr">#REF!</definedName>
    <definedName name="APURABGBRAND5NAME">#REF!</definedName>
    <definedName name="APURABGBrand6">#REF!</definedName>
    <definedName name="APURABGBRAND6ActYr">#REF!</definedName>
    <definedName name="APURABGBRAND6APYr">#REF!</definedName>
    <definedName name="APURABGBRAND6DatYr">#REF!</definedName>
    <definedName name="APURABGBRAND6LEYr">#REF!</definedName>
    <definedName name="APURABGBRAND6NAME">#REF!</definedName>
    <definedName name="APURABGBrand7">#REF!</definedName>
    <definedName name="APURABGBRAND7ActYr">#REF!</definedName>
    <definedName name="APURABGBRAND7APYr">#REF!</definedName>
    <definedName name="APURABGBRAND7DatYr">#REF!</definedName>
    <definedName name="APURABGBRAND7LEYr">#REF!</definedName>
    <definedName name="APURABGBRAND7NAME">#REF!</definedName>
    <definedName name="APURABGBrand8">#REF!</definedName>
    <definedName name="APURABGBRAND8ActYr">#REF!</definedName>
    <definedName name="APURABGBRAND8APYr">#REF!</definedName>
    <definedName name="APURABGBRAND8DatYr">#REF!</definedName>
    <definedName name="APURABGBRAND8LEYr">#REF!</definedName>
    <definedName name="APURABGBRAND8NAME">#REF!</definedName>
    <definedName name="APURABGBrand9">#REF!</definedName>
    <definedName name="APURABGBRAND9ActYr">#REF!</definedName>
    <definedName name="APURABGBRAND9APYr">#REF!</definedName>
    <definedName name="APURABGBRAND9DatYr">#REF!</definedName>
    <definedName name="APURABGBRAND9LEYr">#REF!</definedName>
    <definedName name="APURABGBRAND9NAME">#REF!</definedName>
    <definedName name="APURABGCode">#REF!</definedName>
    <definedName name="APURABGDatYr">#REF!</definedName>
    <definedName name="APURABGLEYr">#REF!</definedName>
    <definedName name="AÙ">#REF!</definedName>
    <definedName name="Aug">#REF!</definedName>
    <definedName name="Auth">#REF!</definedName>
    <definedName name="Auth1">#REF!</definedName>
    <definedName name="Authority">#REF!</definedName>
    <definedName name="_xlnm.Auto_Open">#N/A</definedName>
    <definedName name="b">#REF!</definedName>
    <definedName name="BAKERYBGActYr">#REF!</definedName>
    <definedName name="BAKERYBGAPYr">#REF!</definedName>
    <definedName name="BAKERYBGBGSP">#REF!</definedName>
    <definedName name="BAKERYBGBrand1">#REF!</definedName>
    <definedName name="BAKERYBGBrand10">#REF!</definedName>
    <definedName name="BAKERYBGBRAND10ActYr">#REF!</definedName>
    <definedName name="BAKERYBGBRAND10APYr">#REF!</definedName>
    <definedName name="BAKERYBGBRAND10DatYr">#REF!</definedName>
    <definedName name="BAKERYBGBRAND10LEYr">#REF!</definedName>
    <definedName name="BAKERYBGBRAND10NAME">#REF!</definedName>
    <definedName name="BAKERYBGBrand11">#REF!</definedName>
    <definedName name="BAKERYBGBRAND11ActYr">#REF!</definedName>
    <definedName name="BAKERYBGBRAND11APYr">#REF!</definedName>
    <definedName name="BAKERYBGBRAND11DatYr">#REF!</definedName>
    <definedName name="BAKERYBGBRAND11LEYr">#REF!</definedName>
    <definedName name="BAKERYBGBRAND11NAME">#REF!</definedName>
    <definedName name="BAKERYBGBrand12">#REF!</definedName>
    <definedName name="BAKERYBGBRAND12ActYr">#REF!</definedName>
    <definedName name="BAKERYBGBRAND12APYr">#REF!</definedName>
    <definedName name="BAKERYBGBRAND12DatYr">#REF!</definedName>
    <definedName name="BAKERYBGBRAND12LEYr">#REF!</definedName>
    <definedName name="BAKERYBGBRAND12NAME">#REF!</definedName>
    <definedName name="BAKERYBGBRAND1ActYr">#REF!</definedName>
    <definedName name="BAKERYBGBRAND1APYr">#REF!</definedName>
    <definedName name="BAKERYBGBRAND1DatYr">#REF!</definedName>
    <definedName name="BAKERYBGBRAND1LEYr">#REF!</definedName>
    <definedName name="BAKERYBGBRAND1NAME">#REF!</definedName>
    <definedName name="BAKERYBGBrand2">#REF!</definedName>
    <definedName name="BAKERYBGBRAND2ActYr">#REF!</definedName>
    <definedName name="BAKERYBGBRAND2APYr">#REF!</definedName>
    <definedName name="BAKERYBGBRAND2DatYr">#REF!</definedName>
    <definedName name="BAKERYBGBRAND2LEYr">#REF!</definedName>
    <definedName name="BAKERYBGBRAND2NAME">#REF!</definedName>
    <definedName name="BAKERYBGBrand3">#REF!</definedName>
    <definedName name="BAKERYBGBRAND3ActYr">#REF!</definedName>
    <definedName name="BAKERYBGBRAND3APYr">#REF!</definedName>
    <definedName name="BAKERYBGBRAND3DatYr">#REF!</definedName>
    <definedName name="BAKERYBGBRAND3LEYr">#REF!</definedName>
    <definedName name="BAKERYBGBRAND3NAME">#REF!</definedName>
    <definedName name="BAKERYBGBrand4">#REF!</definedName>
    <definedName name="BAKERYBGBRAND4ActYr">#REF!</definedName>
    <definedName name="BAKERYBGBRAND4APYr">#REF!</definedName>
    <definedName name="BAKERYBGBRAND4DatYr">#REF!</definedName>
    <definedName name="BAKERYBGBRAND4LEYr">#REF!</definedName>
    <definedName name="BAKERYBGBRAND4NAME">#REF!</definedName>
    <definedName name="BAKERYBGBrand5">#REF!</definedName>
    <definedName name="BAKERYBGBRAND5ActYr">#REF!</definedName>
    <definedName name="BAKERYBGBRAND5APYr">#REF!</definedName>
    <definedName name="BAKERYBGBRAND5DatYr">#REF!</definedName>
    <definedName name="BAKERYBGBRAND5LEYr">#REF!</definedName>
    <definedName name="BAKERYBGBRAND5NAME">#REF!</definedName>
    <definedName name="BAKERYBGBrand6">#REF!</definedName>
    <definedName name="BAKERYBGBRAND6ActYr">#REF!</definedName>
    <definedName name="BAKERYBGBRAND6APYr">#REF!</definedName>
    <definedName name="BAKERYBGBRAND6DatYr">#REF!</definedName>
    <definedName name="BAKERYBGBRAND6LEYr">#REF!</definedName>
    <definedName name="BAKERYBGBRAND6NAME">#REF!</definedName>
    <definedName name="BAKERYBGBrand7">#REF!</definedName>
    <definedName name="BAKERYBGBRAND7ActYr">#REF!</definedName>
    <definedName name="BAKERYBGBRAND7APYr">#REF!</definedName>
    <definedName name="BAKERYBGBRAND7DatYr">#REF!</definedName>
    <definedName name="BAKERYBGBRAND7LEYr">#REF!</definedName>
    <definedName name="BAKERYBGBRAND7NAME">#REF!</definedName>
    <definedName name="BAKERYBGBrand8">#REF!</definedName>
    <definedName name="BAKERYBGBRAND8ActYr">#REF!</definedName>
    <definedName name="BAKERYBGBRAND8APYr">#REF!</definedName>
    <definedName name="BAKERYBGBRAND8DatYr">#REF!</definedName>
    <definedName name="BAKERYBGBRAND8LEYr">#REF!</definedName>
    <definedName name="BAKERYBGBRAND8NAME">#REF!</definedName>
    <definedName name="BAKERYBGBrand9">#REF!</definedName>
    <definedName name="BAKERYBGBRAND9ActYr">#REF!</definedName>
    <definedName name="BAKERYBGBRAND9APYr">#REF!</definedName>
    <definedName name="BAKERYBGBRAND9DatYr">#REF!</definedName>
    <definedName name="BAKERYBGBRAND9LEYr">#REF!</definedName>
    <definedName name="BAKERYBGBRAND9NAME">#REF!</definedName>
    <definedName name="BAKERYBGCode">#REF!</definedName>
    <definedName name="BAKERYBGDatYr">#REF!</definedName>
    <definedName name="BAKERYBGLEYr">#REF!</definedName>
    <definedName name="BarData">#REF!</definedName>
    <definedName name="base">#REF!</definedName>
    <definedName name="BF_95">#REF!</definedName>
    <definedName name="BF_96">#REF!</definedName>
    <definedName name="BF_97__6MONTH_">#REF!</definedName>
    <definedName name="BG_Link">#REF!</definedName>
    <definedName name="bio">10^9</definedName>
    <definedName name="Blank">"-"</definedName>
    <definedName name="BLOCK1">#REF!</definedName>
    <definedName name="BLOCK2">#REF!</definedName>
    <definedName name="BLOCK3">#REF!</definedName>
    <definedName name="BO_95">#REF!</definedName>
    <definedName name="BO_96">#REF!</definedName>
    <definedName name="BO_97__6MONTH_">#REF!</definedName>
    <definedName name="Bottles">#REF!</definedName>
    <definedName name="BRADV10APURABG">#REF!</definedName>
    <definedName name="BRADV10BAKERYBG">#REF!</definedName>
    <definedName name="BRADV10CFOBG">#REF!</definedName>
    <definedName name="BRADV10CHEESEBG">#REF!</definedName>
    <definedName name="BRADV10COLCOSBG">#REF!</definedName>
    <definedName name="BRADV10CULINARYBG">#REF!</definedName>
    <definedName name="BRADV10DEOBG">#REF!</definedName>
    <definedName name="BRADV10FCTFDSBG">#REF!</definedName>
    <definedName name="BRADV10HAIRBG">#REF!</definedName>
    <definedName name="BRADV10HOUSEHOLDBG">#REF!</definedName>
    <definedName name="BRADV10ICECRBG">#REF!</definedName>
    <definedName name="BRADV10LAUNDRY">#REF!</definedName>
    <definedName name="BRADV10MODFDSBG">#REF!</definedName>
    <definedName name="BRADV10OODFBG">#REF!</definedName>
    <definedName name="BRADV10OPCBG">#REF!</definedName>
    <definedName name="BRADV10ORALBG">#REF!</definedName>
    <definedName name="BRADV10OTHBSGBG">#REF!</definedName>
    <definedName name="BRADV10PERFUMBG">#REF!</definedName>
    <definedName name="BRADV10PWASHBG">#REF!</definedName>
    <definedName name="BRADV10RTDTEABG">#REF!</definedName>
    <definedName name="BRADV10SKINBG">#REF!</definedName>
    <definedName name="BRADV10TEABG">#REF!</definedName>
    <definedName name="BRADV10YFBG">#REF!</definedName>
    <definedName name="BRADV11APURABG">#REF!</definedName>
    <definedName name="BRADV11BAKERYBG">#REF!</definedName>
    <definedName name="BRADV11CFOBG">#REF!</definedName>
    <definedName name="BRADV11CHEESEBG">#REF!</definedName>
    <definedName name="BRADV11COLCOSBG">#REF!</definedName>
    <definedName name="BRADV11CULINARYBG">#REF!</definedName>
    <definedName name="BRADV11DEOBG">#REF!</definedName>
    <definedName name="BRADV11FCTFDSBG">#REF!</definedName>
    <definedName name="BRADV11HAIRBG">#REF!</definedName>
    <definedName name="BRADV11HOUSEHOLDBG">#REF!</definedName>
    <definedName name="BRADV11ICECRBG">#REF!</definedName>
    <definedName name="BRADV11LAUNDRY">#REF!</definedName>
    <definedName name="BRADV11MODFDSBG">#REF!</definedName>
    <definedName name="BRADV11OODFBG">#REF!</definedName>
    <definedName name="BRADV11OPCBG">#REF!</definedName>
    <definedName name="BRADV11ORALBG">#REF!</definedName>
    <definedName name="BRADV11OTHBSGBG">#REF!</definedName>
    <definedName name="BRADV11PERFUMBG">#REF!</definedName>
    <definedName name="BRADV11PWASHBG">#REF!</definedName>
    <definedName name="BRADV11RTDTEABG">#REF!</definedName>
    <definedName name="BRADV11SKINBG">#REF!</definedName>
    <definedName name="BRADV11TEABG">#REF!</definedName>
    <definedName name="BRADV11YFBG">#REF!</definedName>
    <definedName name="BRADV12APURABG">#REF!</definedName>
    <definedName name="BRADV12BAKERYBG">#REF!</definedName>
    <definedName name="BRADV12CFOBG">#REF!</definedName>
    <definedName name="BRADV12CHEESEBG">#REF!</definedName>
    <definedName name="BRADV12COLCOSBG">#REF!</definedName>
    <definedName name="BRADV12CULINARYBG">#REF!</definedName>
    <definedName name="BRADV12DEOBG">#REF!</definedName>
    <definedName name="BRADV12FCTFDSBG">#REF!</definedName>
    <definedName name="BRADV12HAIRBG">#REF!</definedName>
    <definedName name="BRADV12HOUSEHOLDBG">#REF!</definedName>
    <definedName name="BRADV12ICECRBG">#REF!</definedName>
    <definedName name="BRADV12LAUNDRY">#REF!</definedName>
    <definedName name="BRADV12MODFDSBG">#REF!</definedName>
    <definedName name="BRADV12OODFBG">#REF!</definedName>
    <definedName name="BRADV12OPCBG">#REF!</definedName>
    <definedName name="BRADV12ORALBG">#REF!</definedName>
    <definedName name="BRADV12OTHBSGBG">#REF!</definedName>
    <definedName name="BRADV12PERFUMBG">#REF!</definedName>
    <definedName name="BRADV12PWASHBG">#REF!</definedName>
    <definedName name="BRADV12RTDTEABG">#REF!</definedName>
    <definedName name="BRADV12SKINBG">#REF!</definedName>
    <definedName name="BRADV12TEABG">#REF!</definedName>
    <definedName name="BRADV12YFBG">#REF!</definedName>
    <definedName name="BRADV1APURABG">#REF!</definedName>
    <definedName name="BRADV1BAKERYBG">#REF!</definedName>
    <definedName name="BRADV1BRMDC1">#REF!</definedName>
    <definedName name="BRADV1CFOBG">#REF!</definedName>
    <definedName name="BRADV1CHEESEBG">#REF!</definedName>
    <definedName name="BRADV1COLCOSBG">#REF!</definedName>
    <definedName name="BRADV1CULINARYBG">#REF!</definedName>
    <definedName name="BRADV1DEOBG">#REF!</definedName>
    <definedName name="BRADV1FCTFDSBG">#REF!</definedName>
    <definedName name="BRADV1HAIRBG">#REF!</definedName>
    <definedName name="BRADV1HOUSEHOLDBG">#REF!</definedName>
    <definedName name="BRADV1ICECRBG">#REF!</definedName>
    <definedName name="BRADV1LAUNDRY">#REF!</definedName>
    <definedName name="BRADV1MODFDSBG">#REF!</definedName>
    <definedName name="BRADV1OODFBG">#REF!</definedName>
    <definedName name="BRADV1OPCBG">#REF!</definedName>
    <definedName name="BRADV1ORALBG">#REF!</definedName>
    <definedName name="BRADV1OTHBSGBG">#REF!</definedName>
    <definedName name="BRADV1PERFUMBG">#REF!</definedName>
    <definedName name="BRADV1PWASHBG">#REF!</definedName>
    <definedName name="BRADV1RTDTEABG">#REF!</definedName>
    <definedName name="BRADV1SKINBG">#REF!</definedName>
    <definedName name="BRADV1TEABG">#REF!</definedName>
    <definedName name="BRADV1YFBG">#REF!</definedName>
    <definedName name="BRADV2APURABG">#REF!</definedName>
    <definedName name="BRADV2BAKERYBG">#REF!</definedName>
    <definedName name="BRADV2BRMDC2">#REF!</definedName>
    <definedName name="BRADV2CFOBG">#REF!</definedName>
    <definedName name="BRADV2CHEESEBG">#REF!</definedName>
    <definedName name="BRADV2COLCOSBG">#REF!</definedName>
    <definedName name="BRADV2CULINARYBG">#REF!</definedName>
    <definedName name="BRADV2DEOBG">#REF!</definedName>
    <definedName name="BRADV2FCTFDSBG">#REF!</definedName>
    <definedName name="BRADV2HAIRBG">#REF!</definedName>
    <definedName name="BRADV2HOUSEHOLDBG">#REF!</definedName>
    <definedName name="BRADV2ICECRBG">#REF!</definedName>
    <definedName name="BRADV2LAUNDRY">#REF!</definedName>
    <definedName name="BRADV2MODFDSBG">#REF!</definedName>
    <definedName name="BRADV2OODFBG">#REF!</definedName>
    <definedName name="BRADV2OPCBG">#REF!</definedName>
    <definedName name="BRADV2ORALBG">#REF!</definedName>
    <definedName name="BRADV2OTHBSGBG">#REF!</definedName>
    <definedName name="BRADV2PERFUMBG">#REF!</definedName>
    <definedName name="BRADV2PWASHBG">#REF!</definedName>
    <definedName name="BRADV2RTDTEABG">#REF!</definedName>
    <definedName name="BRADV2SKINBG">#REF!</definedName>
    <definedName name="BRADV2TEABG">#REF!</definedName>
    <definedName name="BRADV2YFBG">#REF!</definedName>
    <definedName name="BRADV3APURABG">#REF!</definedName>
    <definedName name="BRADV3BAKERYBG">#REF!</definedName>
    <definedName name="BRADV3CFOBG">#REF!</definedName>
    <definedName name="BRADV3CHEESEBG">#REF!</definedName>
    <definedName name="BRADV3COLCOSBG">#REF!</definedName>
    <definedName name="BRADV3CULINARYBG">#REF!</definedName>
    <definedName name="BRADV3DEOBG">#REF!</definedName>
    <definedName name="BRADV3FCTFDSBG">#REF!</definedName>
    <definedName name="BRADV3HAIRBG">#REF!</definedName>
    <definedName name="BRADV3HOUSEHOLDBG">#REF!</definedName>
    <definedName name="BRADV3ICECRBG">#REF!</definedName>
    <definedName name="BRADV3LAUNDRY">#REF!</definedName>
    <definedName name="BRADV3MODFDSBG">#REF!</definedName>
    <definedName name="BRADV3OODFBG">#REF!</definedName>
    <definedName name="BRADV3OPCBG">#REF!</definedName>
    <definedName name="BRADV3ORALBG">#REF!</definedName>
    <definedName name="BRADV3OTHBSGBG">#REF!</definedName>
    <definedName name="BRADV3PERFUMBG">#REF!</definedName>
    <definedName name="BRADV3PWASHBG">#REF!</definedName>
    <definedName name="BRADV3RTDTEABG">#REF!</definedName>
    <definedName name="BRADV3SKINBG">#REF!</definedName>
    <definedName name="BRADV3TEABG">#REF!</definedName>
    <definedName name="BRADV3YFBG">#REF!</definedName>
    <definedName name="BRADV4APURABG">#REF!</definedName>
    <definedName name="BRADV4BAKERYBG">#REF!</definedName>
    <definedName name="BRADV4CFOBG">#REF!</definedName>
    <definedName name="BRADV4CHEESEBG">#REF!</definedName>
    <definedName name="BRADV4COLCOSBG">#REF!</definedName>
    <definedName name="BRADV4CULINARYBG">#REF!</definedName>
    <definedName name="BRADV4DEOBG">#REF!</definedName>
    <definedName name="BRADV4FCTFDSBG">#REF!</definedName>
    <definedName name="BRADV4HAIRBG">#REF!</definedName>
    <definedName name="BRADV4HOUSEHOLDBG">#REF!</definedName>
    <definedName name="BRADV4ICECRBG">#REF!</definedName>
    <definedName name="BRADV4LAUNDRY">#REF!</definedName>
    <definedName name="BRADV4MODFDSBG">#REF!</definedName>
    <definedName name="BRADV4OODFBG">#REF!</definedName>
    <definedName name="BRADV4OPCBG">#REF!</definedName>
    <definedName name="BRADV4ORALBG">#REF!</definedName>
    <definedName name="BRADV4OTHBSGBG">#REF!</definedName>
    <definedName name="BRADV4PERFUMBG">#REF!</definedName>
    <definedName name="BRADV4PWASHBG">#REF!</definedName>
    <definedName name="BRADV4RTDTEABG">#REF!</definedName>
    <definedName name="BRADV4SKINBG">#REF!</definedName>
    <definedName name="BRADV4TEABG">#REF!</definedName>
    <definedName name="BRADV4YFBG">#REF!</definedName>
    <definedName name="BRADV5APURABG">#REF!</definedName>
    <definedName name="BRADV5BAKERYBG">#REF!</definedName>
    <definedName name="BRADV5CFOBG">#REF!</definedName>
    <definedName name="BRADV5CHEESEBG">#REF!</definedName>
    <definedName name="BRADV5COLCOSBG">#REF!</definedName>
    <definedName name="BRADV5CULINARYBG">#REF!</definedName>
    <definedName name="BRADV5DEOBG">#REF!</definedName>
    <definedName name="BRADV5FCTFDSBG">#REF!</definedName>
    <definedName name="BRADV5HAIRBG">#REF!</definedName>
    <definedName name="BRADV5HOUSEHOLDBG">#REF!</definedName>
    <definedName name="BRADV5ICECRBG">#REF!</definedName>
    <definedName name="BRADV5LAUNDRY">#REF!</definedName>
    <definedName name="BRADV5MODFDSBG">#REF!</definedName>
    <definedName name="BRADV5OODFBG">#REF!</definedName>
    <definedName name="BRADV5OPCBG">#REF!</definedName>
    <definedName name="BRADV5ORALBG">#REF!</definedName>
    <definedName name="BRADV5OTHBSGBG">#REF!</definedName>
    <definedName name="BRADV5PERFUMBG">#REF!</definedName>
    <definedName name="BRADV5PWASHBG">#REF!</definedName>
    <definedName name="BRADV5RTDTEABG">#REF!</definedName>
    <definedName name="BRADV5SKINBG">#REF!</definedName>
    <definedName name="BRADV5TEABG">#REF!</definedName>
    <definedName name="BRADV5YFBG">#REF!</definedName>
    <definedName name="BRADV6APURABG">#REF!</definedName>
    <definedName name="BRADV6BAKERYBG">#REF!</definedName>
    <definedName name="BRADV6CFOBG">#REF!</definedName>
    <definedName name="BRADV6CHEESEBG">#REF!</definedName>
    <definedName name="BRADV6COLCOSBG">#REF!</definedName>
    <definedName name="BRADV6CULINARYBG">#REF!</definedName>
    <definedName name="BRADV6DEOBG">#REF!</definedName>
    <definedName name="BRADV6FCTFDSBG">#REF!</definedName>
    <definedName name="BRADV6HAIRBG">#REF!</definedName>
    <definedName name="BRADV6HOUSEHOLDBG">#REF!</definedName>
    <definedName name="BRADV6ICECRBG">#REF!</definedName>
    <definedName name="BRADV6LAUNDRY">#REF!</definedName>
    <definedName name="BRADV6MODFDSBG">#REF!</definedName>
    <definedName name="BRADV6OODFBG">#REF!</definedName>
    <definedName name="BRADV6OPCBG">#REF!</definedName>
    <definedName name="BRADV6ORALBG">#REF!</definedName>
    <definedName name="BRADV6OTHBSGBG">#REF!</definedName>
    <definedName name="BRADV6PERFUMBG">#REF!</definedName>
    <definedName name="BRADV6PWASHBG">#REF!</definedName>
    <definedName name="BRADV6RTDTEABG">#REF!</definedName>
    <definedName name="BRADV6SKINBG">#REF!</definedName>
    <definedName name="BRADV6TEABG">#REF!</definedName>
    <definedName name="BRADV6YFBG">#REF!</definedName>
    <definedName name="BRADV7APURABG">#REF!</definedName>
    <definedName name="BRADV7BAKERYBG">#REF!</definedName>
    <definedName name="BRADV7CFOBG">#REF!</definedName>
    <definedName name="BRADV7CHEESEBG">#REF!</definedName>
    <definedName name="BRADV7COLCOSBG">#REF!</definedName>
    <definedName name="BRADV7CULINARYBG">#REF!</definedName>
    <definedName name="BRADV7DEOBG">#REF!</definedName>
    <definedName name="BRADV7FCTFDSBG">#REF!</definedName>
    <definedName name="BRADV7HAIRBG">#REF!</definedName>
    <definedName name="BRADV7HOUSEHOLDBG">#REF!</definedName>
    <definedName name="BRADV7ICECRBG">#REF!</definedName>
    <definedName name="BRADV7LAUNDRY">#REF!</definedName>
    <definedName name="BRADV7MODFDSBG">#REF!</definedName>
    <definedName name="BRADV7OODFBG">#REF!</definedName>
    <definedName name="BRADV7OPCBG">#REF!</definedName>
    <definedName name="BRADV7ORALBG">#REF!</definedName>
    <definedName name="BRADV7OTHBSGBG">#REF!</definedName>
    <definedName name="BRADV7PERFUMBG">#REF!</definedName>
    <definedName name="BRADV7PWASHBG">#REF!</definedName>
    <definedName name="BRADV7RTDTEABG">#REF!</definedName>
    <definedName name="BRADV7SKINBG">#REF!</definedName>
    <definedName name="BRADV7TEABG">#REF!</definedName>
    <definedName name="BRADV7YFBG">#REF!</definedName>
    <definedName name="BRADV8APURABG">#REF!</definedName>
    <definedName name="BRADV8BAKERYBG">#REF!</definedName>
    <definedName name="BRADV8CFOBG">#REF!</definedName>
    <definedName name="BRADV8CHEESEBG">#REF!</definedName>
    <definedName name="BRADV8COLCOSBG">#REF!</definedName>
    <definedName name="BRADV8CULINARYBG">#REF!</definedName>
    <definedName name="BRADV8DEOBG">#REF!</definedName>
    <definedName name="BRADV8FCTFDSBG">#REF!</definedName>
    <definedName name="BRADV8HAIRBG">#REF!</definedName>
    <definedName name="BRADV8HOUSEHOLDBG">#REF!</definedName>
    <definedName name="BRADV8ICECRBG">#REF!</definedName>
    <definedName name="BRADV8LAUNDRY">#REF!</definedName>
    <definedName name="BRADV8MODFDSBG">#REF!</definedName>
    <definedName name="BRADV8OODFBG">#REF!</definedName>
    <definedName name="BRADV8OPCBG">#REF!</definedName>
    <definedName name="BRADV8ORALBG">#REF!</definedName>
    <definedName name="BRADV8OTHBSGBG">#REF!</definedName>
    <definedName name="BRADV8PERFUMBG">#REF!</definedName>
    <definedName name="BRADV8PWASHBG">#REF!</definedName>
    <definedName name="BRADV8RTDTEABG">#REF!</definedName>
    <definedName name="BRADV8SKINBG">#REF!</definedName>
    <definedName name="BRADV8TEABG">#REF!</definedName>
    <definedName name="BRADV8YFBG">#REF!</definedName>
    <definedName name="BRADV9APURABG">#REF!</definedName>
    <definedName name="BRADV9BAKERYBG">#REF!</definedName>
    <definedName name="BRADV9CFOBG">#REF!</definedName>
    <definedName name="BRADV9CHEESEBG">#REF!</definedName>
    <definedName name="BRADV9COLCOSBG">#REF!</definedName>
    <definedName name="BRADV9CULINARYBG">#REF!</definedName>
    <definedName name="BRADV9DEOBG">#REF!</definedName>
    <definedName name="BRADV9FCTFDSBG">#REF!</definedName>
    <definedName name="BRADV9HAIRBG">#REF!</definedName>
    <definedName name="BRADV9HOUSEHOLDBG">#REF!</definedName>
    <definedName name="BRADV9ICECRBG">#REF!</definedName>
    <definedName name="BRADV9LAUNDRY">#REF!</definedName>
    <definedName name="BRADV9MODFDSBG">#REF!</definedName>
    <definedName name="BRADV9OODFBG">#REF!</definedName>
    <definedName name="BRADV9OPCBG">#REF!</definedName>
    <definedName name="BRADV9ORALBG">#REF!</definedName>
    <definedName name="BRADV9OTHBSGBG">#REF!</definedName>
    <definedName name="BRADV9PERFUMBG">#REF!</definedName>
    <definedName name="BRADV9PWASHBG">#REF!</definedName>
    <definedName name="BRADV9RTDTEABG">#REF!</definedName>
    <definedName name="BRADV9SKINBG">#REF!</definedName>
    <definedName name="BRADV9TEABG">#REF!</definedName>
    <definedName name="BRADV9YFBG">#REF!</definedName>
    <definedName name="Brand">#REF!</definedName>
    <definedName name="BRAND10APURABG">#REF!</definedName>
    <definedName name="BRAND10BAKERYBG">#REF!</definedName>
    <definedName name="BRAND10CFOBG">#REF!</definedName>
    <definedName name="BRAND10CHEESEBG">#REF!</definedName>
    <definedName name="BRAND10COLCOSBG">#REF!</definedName>
    <definedName name="BRAND10CULINARYBG">#REF!</definedName>
    <definedName name="BRAND10DEOBG">#REF!</definedName>
    <definedName name="BRAND10FCTFDSBG">#REF!</definedName>
    <definedName name="BRAND10HAIRBG">#REF!</definedName>
    <definedName name="BRAND10HOUSEHOLDBG">#REF!</definedName>
    <definedName name="BRAND10ICECRBG">#REF!</definedName>
    <definedName name="BRAND10LAUNDRY">#REF!</definedName>
    <definedName name="BRAND10MODFDSBG">#REF!</definedName>
    <definedName name="BRAND10OODFBG">#REF!</definedName>
    <definedName name="BRAND10OPCBG">#REF!</definedName>
    <definedName name="BRAND10ORALBG">#REF!</definedName>
    <definedName name="BRAND10OTHBSGBG">#REF!</definedName>
    <definedName name="BRAND10PERFUMBG">#REF!</definedName>
    <definedName name="BRAND10PWASHBG">#REF!</definedName>
    <definedName name="BRAND10RTDTEABG">#REF!</definedName>
    <definedName name="BRAND10SKINBG">#REF!</definedName>
    <definedName name="BRAND10TEABG">#REF!</definedName>
    <definedName name="BRAND10YFBG">#REF!</definedName>
    <definedName name="BRAND11APURABG">#REF!</definedName>
    <definedName name="BRAND11BAKERYBG">#REF!</definedName>
    <definedName name="BRAND11CFOBG">#REF!</definedName>
    <definedName name="BRAND11CHEESEBG">#REF!</definedName>
    <definedName name="BRAND11COLCOSBG">#REF!</definedName>
    <definedName name="BRAND11CULINARYBG">#REF!</definedName>
    <definedName name="BRAND11DEOBG">#REF!</definedName>
    <definedName name="BRAND11FCTFDSBG">#REF!</definedName>
    <definedName name="BRAND11HAIRBG">#REF!</definedName>
    <definedName name="BRAND11HOUSEHOLDBG">#REF!</definedName>
    <definedName name="BRAND11ICECRBG">#REF!</definedName>
    <definedName name="BRAND11LAUNDRY">#REF!</definedName>
    <definedName name="BRAND11MODFDSBG">#REF!</definedName>
    <definedName name="BRAND11OODFBG">#REF!</definedName>
    <definedName name="BRAND11OPCBG">#REF!</definedName>
    <definedName name="BRAND11ORALBG">#REF!</definedName>
    <definedName name="BRAND11OTHBSGBG">#REF!</definedName>
    <definedName name="BRAND11PERFUMBG">#REF!</definedName>
    <definedName name="BRAND11PWASHBG">#REF!</definedName>
    <definedName name="BRAND11RTDTEABG">#REF!</definedName>
    <definedName name="BRAND11SKINBG">#REF!</definedName>
    <definedName name="BRAND11TEABG">#REF!</definedName>
    <definedName name="BRAND11YFBG">#REF!</definedName>
    <definedName name="BRAND12APURABG">#REF!</definedName>
    <definedName name="BRAND12BAKERYBG">#REF!</definedName>
    <definedName name="BRAND12CFOBG">#REF!</definedName>
    <definedName name="BRAND12CHEESEBG">#REF!</definedName>
    <definedName name="BRAND12COLCOSBG">#REF!</definedName>
    <definedName name="BRAND12CULINARYBG">#REF!</definedName>
    <definedName name="BRAND12DEOBG">#REF!</definedName>
    <definedName name="BRAND12FCTFDSBG">#REF!</definedName>
    <definedName name="BRAND12HAIRBG">#REF!</definedName>
    <definedName name="BRAND12HOUSEHOLDBG">#REF!</definedName>
    <definedName name="BRAND12ICECRBG">#REF!</definedName>
    <definedName name="BRAND12LAUNDRY">#REF!</definedName>
    <definedName name="BRAND12MODFDSBG">#REF!</definedName>
    <definedName name="BRAND12OODFBG">#REF!</definedName>
    <definedName name="BRAND12OPCBG">#REF!</definedName>
    <definedName name="BRAND12ORALBG">#REF!</definedName>
    <definedName name="BRAND12OTHBSGBG">#REF!</definedName>
    <definedName name="BRAND12PERFUMBG">#REF!</definedName>
    <definedName name="BRAND12PWASHBG">#REF!</definedName>
    <definedName name="BRAND12RTDTEABG">#REF!</definedName>
    <definedName name="BRAND12SKINBG">#REF!</definedName>
    <definedName name="BRAND12TEABG">#REF!</definedName>
    <definedName name="BRAND12YFBG">#REF!</definedName>
    <definedName name="BRAND1APURABG">#REF!</definedName>
    <definedName name="BRAND1BAKERYBG">#REF!</definedName>
    <definedName name="BRAND1CFOBG">#REF!</definedName>
    <definedName name="BRAND1CHEESEBG">#REF!</definedName>
    <definedName name="BRAND1COLCOSBG">#REF!</definedName>
    <definedName name="BRAND1CULINARYBG">#REF!</definedName>
    <definedName name="BRAND1DEOBG">#REF!</definedName>
    <definedName name="BRAND1FCTFDSBG">#REF!</definedName>
    <definedName name="BRAND1HAIRBG">#REF!</definedName>
    <definedName name="BRAND1HOUSEHOLDBG">#REF!</definedName>
    <definedName name="BRAND1ICECRBG">#REF!</definedName>
    <definedName name="BRAND1LAUNDRY">#REF!</definedName>
    <definedName name="BRAND1MODFDSBG">#REF!</definedName>
    <definedName name="BRAND1OODFBG">#REF!</definedName>
    <definedName name="BRAND1OPCBG">#REF!</definedName>
    <definedName name="BRAND1ORALBG">#REF!</definedName>
    <definedName name="BRAND1OTHBSGBG">#REF!</definedName>
    <definedName name="BRAND1PERFUMBG">#REF!</definedName>
    <definedName name="BRAND1PWASHBG">#REF!</definedName>
    <definedName name="BRAND1RTDTEABG">#REF!</definedName>
    <definedName name="BRAND1SKINBG">#REF!</definedName>
    <definedName name="BRAND1TEABG">#REF!</definedName>
    <definedName name="BRAND1YFBG">#REF!</definedName>
    <definedName name="BRAND2">#REF!</definedName>
    <definedName name="BRAND2APURABG">#REF!</definedName>
    <definedName name="BRAND2BAKERYBG">#REF!</definedName>
    <definedName name="BRAND2CFOBG">#REF!</definedName>
    <definedName name="BRAND2CHEESEBG">#REF!</definedName>
    <definedName name="BRAND2COLCOSBG">#REF!</definedName>
    <definedName name="BRAND2CULINARYBG">#REF!</definedName>
    <definedName name="BRAND2DEOBG">#REF!</definedName>
    <definedName name="BRAND2FCTFDSBG">#REF!</definedName>
    <definedName name="BRAND2HAIRBG">#REF!</definedName>
    <definedName name="BRAND2HOUSEHOLDBG">#REF!</definedName>
    <definedName name="BRAND2ICECRBG">#REF!</definedName>
    <definedName name="BRAND2LAUNDRY">#REF!</definedName>
    <definedName name="BRAND2MODFDSBG">#REF!</definedName>
    <definedName name="BRAND2OODFBG">#REF!</definedName>
    <definedName name="BRAND2OPCBG">#REF!</definedName>
    <definedName name="BRAND2ORALBG">#REF!</definedName>
    <definedName name="BRAND2OTHBSGBG">#REF!</definedName>
    <definedName name="BRAND2PERFUMBG">#REF!</definedName>
    <definedName name="BRAND2PWASHBG">#REF!</definedName>
    <definedName name="BRAND2RTDTEABG">#REF!</definedName>
    <definedName name="BRAND2SKINBG">#REF!</definedName>
    <definedName name="BRAND2TEABG">#REF!</definedName>
    <definedName name="BRAND2YFBG">#REF!</definedName>
    <definedName name="BRAND3APURABG">#REF!</definedName>
    <definedName name="BRAND3BAKERYBG">#REF!</definedName>
    <definedName name="BRAND3CFOBG">#REF!</definedName>
    <definedName name="BRAND3CHEESEBG">#REF!</definedName>
    <definedName name="BRAND3COLCOSBG">#REF!</definedName>
    <definedName name="BRAND3CULINARYBG">#REF!</definedName>
    <definedName name="BRAND3DEOBG">#REF!</definedName>
    <definedName name="BRAND3FCTFDSBG">#REF!</definedName>
    <definedName name="BRAND3HAIRBG">#REF!</definedName>
    <definedName name="BRAND3HOUSEHOLDBG">#REF!</definedName>
    <definedName name="BRAND3ICECRBG">#REF!</definedName>
    <definedName name="BRAND3LAUNDRY">#REF!</definedName>
    <definedName name="BRAND3MODFDSBG">#REF!</definedName>
    <definedName name="BRAND3OODFBG">#REF!</definedName>
    <definedName name="BRAND3OPCBG">#REF!</definedName>
    <definedName name="BRAND3ORALBG">#REF!</definedName>
    <definedName name="BRAND3OTHBSGBG">#REF!</definedName>
    <definedName name="BRAND3PERFUMBG">#REF!</definedName>
    <definedName name="BRAND3PWASHBG">#REF!</definedName>
    <definedName name="BRAND3RTDTEABG">#REF!</definedName>
    <definedName name="BRAND3SKINBG">#REF!</definedName>
    <definedName name="BRAND3TEABG">#REF!</definedName>
    <definedName name="BRAND3YFBG">#REF!</definedName>
    <definedName name="BRAND4APURABG">#REF!</definedName>
    <definedName name="BRAND4BAKERYBG">#REF!</definedName>
    <definedName name="BRAND4CFOBG">#REF!</definedName>
    <definedName name="BRAND4CHEESEBG">#REF!</definedName>
    <definedName name="BRAND4COLCOSBG">#REF!</definedName>
    <definedName name="BRAND4CULINARYBG">#REF!</definedName>
    <definedName name="BRAND4DEOBG">#REF!</definedName>
    <definedName name="BRAND4FCTFDSBG">#REF!</definedName>
    <definedName name="BRAND4HAIRBG">#REF!</definedName>
    <definedName name="BRAND4HOUSEHOLDBG">#REF!</definedName>
    <definedName name="BRAND4ICECRBG">#REF!</definedName>
    <definedName name="BRAND4LAUNDRY">#REF!</definedName>
    <definedName name="BRAND4MODFDSBG">#REF!</definedName>
    <definedName name="BRAND4OODFBG">#REF!</definedName>
    <definedName name="BRAND4OPCBG">#REF!</definedName>
    <definedName name="BRAND4ORALBG">#REF!</definedName>
    <definedName name="BRAND4OTHBSGBG">#REF!</definedName>
    <definedName name="BRAND4PERFUMBG">#REF!</definedName>
    <definedName name="BRAND4PWASHBG">#REF!</definedName>
    <definedName name="BRAND4RTDTEABG">#REF!</definedName>
    <definedName name="BRAND4SKINBG">#REF!</definedName>
    <definedName name="BRAND4TEABG">#REF!</definedName>
    <definedName name="BRAND4YFBG">#REF!</definedName>
    <definedName name="BRAND5APURABG">#REF!</definedName>
    <definedName name="BRAND5BAKERYBG">#REF!</definedName>
    <definedName name="BRAND5CFOBG">#REF!</definedName>
    <definedName name="BRAND5CHEESEBG">#REF!</definedName>
    <definedName name="BRAND5COLCOSBG">#REF!</definedName>
    <definedName name="BRAND5CULINARYBG">#REF!</definedName>
    <definedName name="BRAND5DEOBG">#REF!</definedName>
    <definedName name="BRAND5FCTFDSBG">#REF!</definedName>
    <definedName name="BRAND5HAIRBG">#REF!</definedName>
    <definedName name="BRAND5HOUSEHOLDBG">#REF!</definedName>
    <definedName name="BRAND5ICECRBG">#REF!</definedName>
    <definedName name="BRAND5LAUNDRY">#REF!</definedName>
    <definedName name="BRAND5MODFDSBG">#REF!</definedName>
    <definedName name="BRAND5OODFBG">#REF!</definedName>
    <definedName name="BRAND5OPCBG">#REF!</definedName>
    <definedName name="BRAND5ORALBG">#REF!</definedName>
    <definedName name="BRAND5OTHBSGBG">#REF!</definedName>
    <definedName name="BRAND5PERFUMBG">#REF!</definedName>
    <definedName name="BRAND5PWASHBG">#REF!</definedName>
    <definedName name="BRAND5RTDTEABG">#REF!</definedName>
    <definedName name="BRAND5SKINBG">#REF!</definedName>
    <definedName name="BRAND5TEABG">#REF!</definedName>
    <definedName name="BRAND5YFBG">#REF!</definedName>
    <definedName name="BRAND6APURABG">#REF!</definedName>
    <definedName name="BRAND6BAKERYBG">#REF!</definedName>
    <definedName name="BRAND6CFOBG">#REF!</definedName>
    <definedName name="BRAND6CHEESEBG">#REF!</definedName>
    <definedName name="BRAND6COLCOSBG">#REF!</definedName>
    <definedName name="BRAND6CULINARYBG">#REF!</definedName>
    <definedName name="BRAND6DEOBG">#REF!</definedName>
    <definedName name="BRAND6FCTFDSBG">#REF!</definedName>
    <definedName name="BRAND6HAIRBG">#REF!</definedName>
    <definedName name="BRAND6HOUSEHOLDBG">#REF!</definedName>
    <definedName name="BRAND6ICECRBG">#REF!</definedName>
    <definedName name="BRAND6LAUNDRY">#REF!</definedName>
    <definedName name="BRAND6MODFDSBG">#REF!</definedName>
    <definedName name="BRAND6OODFBG">#REF!</definedName>
    <definedName name="BRAND6OPCBG">#REF!</definedName>
    <definedName name="BRAND6ORALBG">#REF!</definedName>
    <definedName name="BRAND6OTHBSGBG">#REF!</definedName>
    <definedName name="BRAND6PERFUMBG">#REF!</definedName>
    <definedName name="BRAND6PWASHBG">#REF!</definedName>
    <definedName name="BRAND6RTDTEABG">#REF!</definedName>
    <definedName name="BRAND6SKINBG">#REF!</definedName>
    <definedName name="BRAND6TEABG">#REF!</definedName>
    <definedName name="BRAND6YFBG">#REF!</definedName>
    <definedName name="BRAND7APURABG">#REF!</definedName>
    <definedName name="BRAND7BAKERYBG">#REF!</definedName>
    <definedName name="BRAND7CFOBG">#REF!</definedName>
    <definedName name="BRAND7CHEESEBG">#REF!</definedName>
    <definedName name="BRAND7COLCOSBG">#REF!</definedName>
    <definedName name="BRAND7CULINARYBG">#REF!</definedName>
    <definedName name="BRAND7DEOBG">#REF!</definedName>
    <definedName name="BRAND7FCTFDSBG">#REF!</definedName>
    <definedName name="BRAND7HAIRBG">#REF!</definedName>
    <definedName name="BRAND7HOUSEHOLDBG">#REF!</definedName>
    <definedName name="BRAND7ICECRBG">#REF!</definedName>
    <definedName name="BRAND7LAUNDRY">#REF!</definedName>
    <definedName name="BRAND7MODFDSBG">#REF!</definedName>
    <definedName name="BRAND7OODFBG">#REF!</definedName>
    <definedName name="BRAND7OPCBG">#REF!</definedName>
    <definedName name="BRAND7ORALBG">#REF!</definedName>
    <definedName name="BRAND7OTHBSGBG">#REF!</definedName>
    <definedName name="BRAND7PERFUMBG">#REF!</definedName>
    <definedName name="BRAND7PWASHBG">#REF!</definedName>
    <definedName name="BRAND7RTDTEABG">#REF!</definedName>
    <definedName name="BRAND7SKINBG">#REF!</definedName>
    <definedName name="BRAND7TEABG">#REF!</definedName>
    <definedName name="BRAND7YFBG">#REF!</definedName>
    <definedName name="BRAND8APURABG">#REF!</definedName>
    <definedName name="BRAND8BAKERYBG">#REF!</definedName>
    <definedName name="BRAND8CFOBG">#REF!</definedName>
    <definedName name="BRAND8CHEESEBG">#REF!</definedName>
    <definedName name="BRAND8COLCOSBG">#REF!</definedName>
    <definedName name="BRAND8CULINARYBG">#REF!</definedName>
    <definedName name="BRAND8DEOBG">#REF!</definedName>
    <definedName name="BRAND8FCTFDSBG">#REF!</definedName>
    <definedName name="BRAND8HAIRBG">#REF!</definedName>
    <definedName name="BRAND8HOUSEHOLDBG">#REF!</definedName>
    <definedName name="BRAND8ICECRBG">#REF!</definedName>
    <definedName name="BRAND8LAUNDRY">#REF!</definedName>
    <definedName name="BRAND8MODFDSBG">#REF!</definedName>
    <definedName name="BRAND8OODFBG">#REF!</definedName>
    <definedName name="BRAND8OPCBG">#REF!</definedName>
    <definedName name="BRAND8ORALBG">#REF!</definedName>
    <definedName name="BRAND8OTHBSGBG">#REF!</definedName>
    <definedName name="BRAND8PERFUMBG">#REF!</definedName>
    <definedName name="BRAND8PWASHBG">#REF!</definedName>
    <definedName name="BRAND8RTDTEABG">#REF!</definedName>
    <definedName name="BRAND8SKINBG">#REF!</definedName>
    <definedName name="BRAND8TEABG">#REF!</definedName>
    <definedName name="BRAND8YFBG">#REF!</definedName>
    <definedName name="BRAND9APURABG">#REF!</definedName>
    <definedName name="BRAND9BAKERYBG">#REF!</definedName>
    <definedName name="BRAND9CFOBG">#REF!</definedName>
    <definedName name="BRAND9CHEESEBG">#REF!</definedName>
    <definedName name="BRAND9COLCOSBG">#REF!</definedName>
    <definedName name="BRAND9CULINARYBG">#REF!</definedName>
    <definedName name="BRAND9DEOBG">#REF!</definedName>
    <definedName name="BRAND9FCTFDSBG">#REF!</definedName>
    <definedName name="BRAND9HAIRBG">#REF!</definedName>
    <definedName name="BRAND9HOUSEHOLDBG">#REF!</definedName>
    <definedName name="BRAND9ICECRBG">#REF!</definedName>
    <definedName name="BRAND9LAUNDRY">#REF!</definedName>
    <definedName name="BRAND9MODFDSBG">#REF!</definedName>
    <definedName name="BRAND9OODFBG">#REF!</definedName>
    <definedName name="BRAND9OPCBG">#REF!</definedName>
    <definedName name="BRAND9ORALBG">#REF!</definedName>
    <definedName name="BRAND9OTHBSGBG">#REF!</definedName>
    <definedName name="BRAND9PERFUMBG">#REF!</definedName>
    <definedName name="BRAND9PWASHBG">#REF!</definedName>
    <definedName name="BRAND9RTDTEABG">#REF!</definedName>
    <definedName name="BRAND9SKINBG">#REF!</definedName>
    <definedName name="BRAND9TEABG">#REF!</definedName>
    <definedName name="BRAND9YFBG">#REF!</definedName>
    <definedName name="Brands">#REF!</definedName>
    <definedName name="BrandsByCountry">#REF!</definedName>
    <definedName name="BRGP10APURABG">#REF!</definedName>
    <definedName name="BRGP10BAKERYBG">#REF!</definedName>
    <definedName name="BRGP10CFOBG">#REF!</definedName>
    <definedName name="BRGP10CHEESEBG">#REF!</definedName>
    <definedName name="BRGP10COLCOSBG">#REF!</definedName>
    <definedName name="BRGP10CULINARYBG">#REF!</definedName>
    <definedName name="BRGP10DEOBG">#REF!</definedName>
    <definedName name="BRGP10FCTFDSBG">#REF!</definedName>
    <definedName name="BRGP10HAIRBG">#REF!</definedName>
    <definedName name="BRGP10HOUSEHOLDBG">#REF!</definedName>
    <definedName name="BRGP10ICECRBG">#REF!</definedName>
    <definedName name="BRGP10LAUNDRY">#REF!</definedName>
    <definedName name="BRGP10MODFDSBG">#REF!</definedName>
    <definedName name="BRGP10OODFBG">#REF!</definedName>
    <definedName name="BRGP10OPCBG">#REF!</definedName>
    <definedName name="BRGP10ORALBG">#REF!</definedName>
    <definedName name="BRGP10OTHBSGBG">#REF!</definedName>
    <definedName name="BRGP10PERFUMBG">#REF!</definedName>
    <definedName name="BRGP10PWASHBG">#REF!</definedName>
    <definedName name="BRGP10RTDTEABG">#REF!</definedName>
    <definedName name="BRGP10SKINBG">#REF!</definedName>
    <definedName name="BRGP10TEABG">#REF!</definedName>
    <definedName name="BRGP10YFBG">#REF!</definedName>
    <definedName name="BRGP11APURABG">#REF!</definedName>
    <definedName name="BRGP11BAKERYBG">#REF!</definedName>
    <definedName name="BRGP11CFOBG">#REF!</definedName>
    <definedName name="BRGP11CHEESEBG">#REF!</definedName>
    <definedName name="BRGP11COLCOSBG">#REF!</definedName>
    <definedName name="BRGP11CULINARYBG">#REF!</definedName>
    <definedName name="BRGP11DEOBG">#REF!</definedName>
    <definedName name="BRGP11FCTFDSBG">#REF!</definedName>
    <definedName name="BRGP11HAIRBG">#REF!</definedName>
    <definedName name="BRGP11HOUSEHOLDBG">#REF!</definedName>
    <definedName name="BRGP11ICECRBG">#REF!</definedName>
    <definedName name="BRGP11LAUNDRY">#REF!</definedName>
    <definedName name="BRGP11MODFDSBG">#REF!</definedName>
    <definedName name="BRGP11OODFBG">#REF!</definedName>
    <definedName name="BRGP11OPCBG">#REF!</definedName>
    <definedName name="BRGP11ORALBG">#REF!</definedName>
    <definedName name="BRGP11OTHBSGBG">#REF!</definedName>
    <definedName name="BRGP11PERFUMBG">#REF!</definedName>
    <definedName name="BRGP11PWASHBG">#REF!</definedName>
    <definedName name="BRGP11RTDTEABG">#REF!</definedName>
    <definedName name="BRGP11SKINBG">#REF!</definedName>
    <definedName name="BRGP11TEABG">#REF!</definedName>
    <definedName name="BRGP11YFBG">#REF!</definedName>
    <definedName name="BRGP12APURABG">#REF!</definedName>
    <definedName name="BRGP12BAKERYBG">#REF!</definedName>
    <definedName name="BRGP12CFOBG">#REF!</definedName>
    <definedName name="BRGP12CHEESEBG">#REF!</definedName>
    <definedName name="BRGP12COLCOSBG">#REF!</definedName>
    <definedName name="BRGP12CULINARYBG">#REF!</definedName>
    <definedName name="BRGP12DEOBG">#REF!</definedName>
    <definedName name="BRGP12FCTFDSBG">#REF!</definedName>
    <definedName name="BRGP12HAIRBG">#REF!</definedName>
    <definedName name="BRGP12HOUSEHOLDBG">#REF!</definedName>
    <definedName name="BRGP12ICECRBG">#REF!</definedName>
    <definedName name="BRGP12LAUNDRY">#REF!</definedName>
    <definedName name="BRGP12MODFDSBG">#REF!</definedName>
    <definedName name="BRGP12OODFBG">#REF!</definedName>
    <definedName name="BRGP12OPCBG">#REF!</definedName>
    <definedName name="BRGP12ORALBG">#REF!</definedName>
    <definedName name="BRGP12OTHBSGBG">#REF!</definedName>
    <definedName name="BRGP12PERFUMBG">#REF!</definedName>
    <definedName name="BRGP12PWASHBG">#REF!</definedName>
    <definedName name="BRGP12RTDTEABG">#REF!</definedName>
    <definedName name="BRGP12SKINBG">#REF!</definedName>
    <definedName name="BRGP12TEABG">#REF!</definedName>
    <definedName name="BRGP12YFBG">#REF!</definedName>
    <definedName name="BRGP1APURABG">#REF!</definedName>
    <definedName name="BRGP1BAKERYBG">#REF!</definedName>
    <definedName name="BRGP1BRNPS1">#REF!</definedName>
    <definedName name="BRGP1CFOBG">#REF!</definedName>
    <definedName name="BRGP1CHEESEBG">#REF!</definedName>
    <definedName name="BRGP1COLCOSBG">#REF!</definedName>
    <definedName name="BRGP1CULINARYBG">#REF!</definedName>
    <definedName name="BRGP1DEOBG">#REF!</definedName>
    <definedName name="BRGP1FCTFDSBG">#REF!</definedName>
    <definedName name="BRGP1HAIRBG">#REF!</definedName>
    <definedName name="BRGP1HOUSEHOLDBG">#REF!</definedName>
    <definedName name="BRGP1ICECRBG">#REF!</definedName>
    <definedName name="BRGP1LAUNDRY">#REF!</definedName>
    <definedName name="BRGP1MODFDSBG">#REF!</definedName>
    <definedName name="BRGP1OODFBG">#REF!</definedName>
    <definedName name="BRGP1OPCBG">#REF!</definedName>
    <definedName name="BRGP1ORALBG">#REF!</definedName>
    <definedName name="BRGP1OTHBSGBG">#REF!</definedName>
    <definedName name="BRGP1PERFUMBG">#REF!</definedName>
    <definedName name="BRGP1PWASHBG">#REF!</definedName>
    <definedName name="BRGP1RTDTEABG">#REF!</definedName>
    <definedName name="BRGP1SKINBG">#REF!</definedName>
    <definedName name="BRGP1TEABG">#REF!</definedName>
    <definedName name="BRGP1YFBG">#REF!</definedName>
    <definedName name="BRGP2APURABG">#REF!</definedName>
    <definedName name="BRGP2BAKERYBG">#REF!</definedName>
    <definedName name="BRGP2BRNPS2">#REF!</definedName>
    <definedName name="BRGP2CFOBG">#REF!</definedName>
    <definedName name="BRGP2CHEESEBG">#REF!</definedName>
    <definedName name="BRGP2COLCOSBG">#REF!</definedName>
    <definedName name="BRGP2CULINARYBG">#REF!</definedName>
    <definedName name="BRGP2DEOBG">#REF!</definedName>
    <definedName name="BRGP2FCTFDSBG">#REF!</definedName>
    <definedName name="BRGP2HAIRBG">#REF!</definedName>
    <definedName name="BRGP2HOUSEHOLDBG">#REF!</definedName>
    <definedName name="BRGP2ICECRBG">#REF!</definedName>
    <definedName name="BRGP2LAUNDRY">#REF!</definedName>
    <definedName name="BRGP2MODFDSBG">#REF!</definedName>
    <definedName name="BRGP2OODFBG">#REF!</definedName>
    <definedName name="BRGP2OPCBG">#REF!</definedName>
    <definedName name="BRGP2ORALBG">#REF!</definedName>
    <definedName name="BRGP2OTHBSGBG">#REF!</definedName>
    <definedName name="BRGP2PERFUMBG">#REF!</definedName>
    <definedName name="BRGP2PWASHBG">#REF!</definedName>
    <definedName name="BRGP2RTDTEABG">#REF!</definedName>
    <definedName name="BRGP2SKINBG">#REF!</definedName>
    <definedName name="BRGP2TEABG">#REF!</definedName>
    <definedName name="BRGP2YFBG">#REF!</definedName>
    <definedName name="BRGP3APURABG">#REF!</definedName>
    <definedName name="BRGP3BAKERYBG">#REF!</definedName>
    <definedName name="BRGP3CFOBG">#REF!</definedName>
    <definedName name="BRGP3CHEESEBG">#REF!</definedName>
    <definedName name="BRGP3COLCOSBG">#REF!</definedName>
    <definedName name="BRGP3CULINARYBG">#REF!</definedName>
    <definedName name="BRGP3DEOBG">#REF!</definedName>
    <definedName name="BRGP3FCTFDSBG">#REF!</definedName>
    <definedName name="BRGP3HAIRBG">#REF!</definedName>
    <definedName name="BRGP3HOUSEHOLDBG">#REF!</definedName>
    <definedName name="BRGP3ICECRBG">#REF!</definedName>
    <definedName name="BRGP3LAUNDRY">#REF!</definedName>
    <definedName name="BRGP3MODFDSBG">#REF!</definedName>
    <definedName name="BRGP3OODFBG">#REF!</definedName>
    <definedName name="BRGP3OPCBG">#REF!</definedName>
    <definedName name="BRGP3ORALBG">#REF!</definedName>
    <definedName name="BRGP3OTHBSGBG">#REF!</definedName>
    <definedName name="BRGP3PERFUMBG">#REF!</definedName>
    <definedName name="BRGP3PWASHBG">#REF!</definedName>
    <definedName name="BRGP3RTDTEABG">#REF!</definedName>
    <definedName name="BRGP3SKINBG">#REF!</definedName>
    <definedName name="BRGP3TEABG">#REF!</definedName>
    <definedName name="BRGP3YFBG">#REF!</definedName>
    <definedName name="BRGP4APURABG">#REF!</definedName>
    <definedName name="BRGP4BAKERYBG">#REF!</definedName>
    <definedName name="BRGP4CFOBG">#REF!</definedName>
    <definedName name="BRGP4CHEESEBG">#REF!</definedName>
    <definedName name="BRGP4COLCOSBG">#REF!</definedName>
    <definedName name="BRGP4CULINARYBG">#REF!</definedName>
    <definedName name="BRGP4DEOBG">#REF!</definedName>
    <definedName name="BRGP4FCTFDSBG">#REF!</definedName>
    <definedName name="BRGP4HAIRBG">#REF!</definedName>
    <definedName name="BRGP4HOUSEHOLDBG">#REF!</definedName>
    <definedName name="BRGP4ICECRBG">#REF!</definedName>
    <definedName name="BRGP4LAUNDRY">#REF!</definedName>
    <definedName name="BRGP4MODFDSBG">#REF!</definedName>
    <definedName name="BRGP4OODFBG">#REF!</definedName>
    <definedName name="BRGP4OPCBG">#REF!</definedName>
    <definedName name="BRGP4ORALBG">#REF!</definedName>
    <definedName name="BRGP4OTHBSGBG">#REF!</definedName>
    <definedName name="BRGP4PERFUMBG">#REF!</definedName>
    <definedName name="BRGP4PWASHBG">#REF!</definedName>
    <definedName name="BRGP4RTDTEABG">#REF!</definedName>
    <definedName name="BRGP4SKINBG">#REF!</definedName>
    <definedName name="BRGP4TEABG">#REF!</definedName>
    <definedName name="BRGP4YFBG">#REF!</definedName>
    <definedName name="BRGP5APURABG">#REF!</definedName>
    <definedName name="BRGP5BAKERYBG">#REF!</definedName>
    <definedName name="BRGP5CFOBG">#REF!</definedName>
    <definedName name="BRGP5CHEESEBG">#REF!</definedName>
    <definedName name="BRGP5COLCOSBG">#REF!</definedName>
    <definedName name="BRGP5CULINARYBG">#REF!</definedName>
    <definedName name="BRGP5DEOBG">#REF!</definedName>
    <definedName name="BRGP5FCTFDSBG">#REF!</definedName>
    <definedName name="BRGP5HAIRBG">#REF!</definedName>
    <definedName name="BRGP5HOUSEHOLDBG">#REF!</definedName>
    <definedName name="BRGP5ICECRBG">#REF!</definedName>
    <definedName name="BRGP5LAUNDRY">#REF!</definedName>
    <definedName name="BRGP5MODFDSBG">#REF!</definedName>
    <definedName name="BRGP5OODFBG">#REF!</definedName>
    <definedName name="BRGP5OPCBG">#REF!</definedName>
    <definedName name="BRGP5ORALBG">#REF!</definedName>
    <definedName name="BRGP5OTHBSGBG">#REF!</definedName>
    <definedName name="BRGP5PERFUMBG">#REF!</definedName>
    <definedName name="BRGP5PWASHBG">#REF!</definedName>
    <definedName name="BRGP5RTDTEABG">#REF!</definedName>
    <definedName name="BRGP5SKINBG">#REF!</definedName>
    <definedName name="BRGP5TEABG">#REF!</definedName>
    <definedName name="BRGP5YFBG">#REF!</definedName>
    <definedName name="BRGP6APURABG">#REF!</definedName>
    <definedName name="BRGP6BAKERYBG">#REF!</definedName>
    <definedName name="BRGP6CFOBG">#REF!</definedName>
    <definedName name="BRGP6CHEESEBG">#REF!</definedName>
    <definedName name="BRGP6COLCOSBG">#REF!</definedName>
    <definedName name="BRGP6CULINARYBG">#REF!</definedName>
    <definedName name="BRGP6DEOBG">#REF!</definedName>
    <definedName name="BRGP6FCTFDSBG">#REF!</definedName>
    <definedName name="BRGP6HAIRBG">#REF!</definedName>
    <definedName name="BRGP6HOUSEHOLDBG">#REF!</definedName>
    <definedName name="BRGP6ICECRBG">#REF!</definedName>
    <definedName name="BRGP6LAUNDRY">#REF!</definedName>
    <definedName name="BRGP6MODFDSBG">#REF!</definedName>
    <definedName name="BRGP6OODFBG">#REF!</definedName>
    <definedName name="BRGP6OPCBG">#REF!</definedName>
    <definedName name="BRGP6ORALBG">#REF!</definedName>
    <definedName name="BRGP6OTHBSGBG">#REF!</definedName>
    <definedName name="BRGP6PERFUMBG">#REF!</definedName>
    <definedName name="BRGP6PWASHBG">#REF!</definedName>
    <definedName name="BRGP6RTDTEABG">#REF!</definedName>
    <definedName name="BRGP6SKINBG">#REF!</definedName>
    <definedName name="BRGP6TEABG">#REF!</definedName>
    <definedName name="BRGP6YFBG">#REF!</definedName>
    <definedName name="BRGP7APURABG">#REF!</definedName>
    <definedName name="BRGP7BAKERYBG">#REF!</definedName>
    <definedName name="BRGP7CFOBG">#REF!</definedName>
    <definedName name="BRGP7CHEESEBG">#REF!</definedName>
    <definedName name="BRGP7COLCOSBG">#REF!</definedName>
    <definedName name="BRGP7CULINARYBG">#REF!</definedName>
    <definedName name="BRGP7DEOBG">#REF!</definedName>
    <definedName name="BRGP7FCTFDSBG">#REF!</definedName>
    <definedName name="BRGP7HAIRBG">#REF!</definedName>
    <definedName name="BRGP7HOUSEHOLDBG">#REF!</definedName>
    <definedName name="BRGP7ICECRBG">#REF!</definedName>
    <definedName name="BRGP7LAUNDRY">#REF!</definedName>
    <definedName name="BRGP7MODFDSBG">#REF!</definedName>
    <definedName name="BRGP7OODFBG">#REF!</definedName>
    <definedName name="BRGP7OPCBG">#REF!</definedName>
    <definedName name="BRGP7ORALBG">#REF!</definedName>
    <definedName name="BRGP7OTHBSGBG">#REF!</definedName>
    <definedName name="BRGP7PERFUMBG">#REF!</definedName>
    <definedName name="BRGP7PWASHBG">#REF!</definedName>
    <definedName name="BRGP7RTDTEABG">#REF!</definedName>
    <definedName name="BRGP7SKINBG">#REF!</definedName>
    <definedName name="BRGP7TEABG">#REF!</definedName>
    <definedName name="BRGP7YFBG">#REF!</definedName>
    <definedName name="BRGP8APURABG">#REF!</definedName>
    <definedName name="BRGP8BAKERYBG">#REF!</definedName>
    <definedName name="BRGP8CFOBG">#REF!</definedName>
    <definedName name="BRGP8CHEESEBG">#REF!</definedName>
    <definedName name="BRGP8COLCOSBG">#REF!</definedName>
    <definedName name="BRGP8CULINARYBG">#REF!</definedName>
    <definedName name="BRGP8DEOBG">#REF!</definedName>
    <definedName name="BRGP8FCTFDSBG">#REF!</definedName>
    <definedName name="BRGP8HAIRBG">#REF!</definedName>
    <definedName name="BRGP8HOUSEHOLDBG">#REF!</definedName>
    <definedName name="BRGP8ICECRBG">#REF!</definedName>
    <definedName name="BRGP8LAUNDRY">#REF!</definedName>
    <definedName name="BRGP8MODFDSBG">#REF!</definedName>
    <definedName name="BRGP8OODFBG">#REF!</definedName>
    <definedName name="BRGP8OPCBG">#REF!</definedName>
    <definedName name="BRGP8ORALBG">#REF!</definedName>
    <definedName name="BRGP8OTHBSGBG">#REF!</definedName>
    <definedName name="BRGP8PERFUMBG">#REF!</definedName>
    <definedName name="BRGP8PWASHBG">#REF!</definedName>
    <definedName name="BRGP8RTDTEABG">#REF!</definedName>
    <definedName name="BRGP8SKINBG">#REF!</definedName>
    <definedName name="BRGP8TEABG">#REF!</definedName>
    <definedName name="BRGP8YFBG">#REF!</definedName>
    <definedName name="BRGP9APURABG">#REF!</definedName>
    <definedName name="BRGP9BAKERYBG">#REF!</definedName>
    <definedName name="BRGP9CFOBG">#REF!</definedName>
    <definedName name="BRGP9CHEESEBG">#REF!</definedName>
    <definedName name="BRGP9COLCOSBG">#REF!</definedName>
    <definedName name="BRGP9CULINARYBG">#REF!</definedName>
    <definedName name="BRGP9DEOBG">#REF!</definedName>
    <definedName name="BRGP9FCTFDSBG">#REF!</definedName>
    <definedName name="BRGP9HAIRBG">#REF!</definedName>
    <definedName name="BRGP9HOUSEHOLDBG">#REF!</definedName>
    <definedName name="BRGP9ICECRBG">#REF!</definedName>
    <definedName name="BRGP9LAUNDRY">#REF!</definedName>
    <definedName name="BRGP9MODFDSBG">#REF!</definedName>
    <definedName name="BRGP9OODFBG">#REF!</definedName>
    <definedName name="BRGP9OPCBG">#REF!</definedName>
    <definedName name="BRGP9ORALBG">#REF!</definedName>
    <definedName name="BRGP9OTHBSGBG">#REF!</definedName>
    <definedName name="BRGP9PERFUMBG">#REF!</definedName>
    <definedName name="BRGP9PWASHBG">#REF!</definedName>
    <definedName name="BRGP9RTDTEABG">#REF!</definedName>
    <definedName name="BRGP9SKINBG">#REF!</definedName>
    <definedName name="BRGP9TEABG">#REF!</definedName>
    <definedName name="BRGP9YFBG">#REF!</definedName>
    <definedName name="BRIMPL10APURABG">#REF!</definedName>
    <definedName name="BRIMPL10BAKERYBG">#REF!</definedName>
    <definedName name="BRIMPL10CFOBG">#REF!</definedName>
    <definedName name="BRIMPL10CHEESEBG">#REF!</definedName>
    <definedName name="BRIMPL10CULINARYBG">#REF!</definedName>
    <definedName name="BRIMPL10DEOBG">#REF!</definedName>
    <definedName name="BRIMPL10FCTFDSBG">#REF!</definedName>
    <definedName name="BRIMPL10HAIRBG">#REF!</definedName>
    <definedName name="BRIMPL10HOUSEHOLDBG">#REF!</definedName>
    <definedName name="BRIMPL10ICECRBG">#REF!</definedName>
    <definedName name="BRIMPL10LAUNDRY">#REF!</definedName>
    <definedName name="BRIMPL10MODFDSBG">#REF!</definedName>
    <definedName name="BRIMPL10OODFBG">#REF!</definedName>
    <definedName name="BRIMPL10OPCBG">#REF!</definedName>
    <definedName name="BRIMPL10ORALBG">#REF!</definedName>
    <definedName name="BRIMPL10OTHBSGBG">#REF!</definedName>
    <definedName name="BRIMPL10PWASHBG">#REF!</definedName>
    <definedName name="BRIMPL10RTDTEABG">#REF!</definedName>
    <definedName name="BRIMPL10SKINBG">#REF!</definedName>
    <definedName name="BRIMPL10TEABG">#REF!</definedName>
    <definedName name="BRIMPL10YFBG">#REF!</definedName>
    <definedName name="BRIMPL11APURABG">#REF!</definedName>
    <definedName name="BRIMPL11BAKERYBG">#REF!</definedName>
    <definedName name="BRIMPL11CFOBG">#REF!</definedName>
    <definedName name="BRIMPL11CHEESEBG">#REF!</definedName>
    <definedName name="BRIMPL11CULINARYBG">#REF!</definedName>
    <definedName name="BRIMPL11DEOBG">#REF!</definedName>
    <definedName name="BRIMPL11FCTFDSBG">#REF!</definedName>
    <definedName name="BRIMPL11HAIRBG">#REF!</definedName>
    <definedName name="BRIMPL11HOUSEHOLDBG">#REF!</definedName>
    <definedName name="BRIMPL11ICECRBG">#REF!</definedName>
    <definedName name="BRIMPL11LAUNDRY">#REF!</definedName>
    <definedName name="BRIMPL11MODFDSBG">#REF!</definedName>
    <definedName name="BRIMPL11OODFBG">#REF!</definedName>
    <definedName name="BRIMPL11OPCBG">#REF!</definedName>
    <definedName name="BRIMPL11ORALBG">#REF!</definedName>
    <definedName name="BRIMPL11OTHBSGBG">#REF!</definedName>
    <definedName name="BRIMPL11PWASHBG">#REF!</definedName>
    <definedName name="BRIMPL11RTDTEABG">#REF!</definedName>
    <definedName name="BRIMPL11SKINBG">#REF!</definedName>
    <definedName name="BRIMPL11TEABG">#REF!</definedName>
    <definedName name="BRIMPL11YFBG">#REF!</definedName>
    <definedName name="BRIMPL12APURABG">#REF!</definedName>
    <definedName name="BRIMPL12BAKERYBG">#REF!</definedName>
    <definedName name="BRIMPL12CFOBG">#REF!</definedName>
    <definedName name="BRIMPL12CHEESEBG">#REF!</definedName>
    <definedName name="BRIMPL12CULINARYBG">#REF!</definedName>
    <definedName name="BRIMPL12DEOBG">#REF!</definedName>
    <definedName name="BRIMPL12FCTFDSBG">#REF!</definedName>
    <definedName name="BRIMPL12HAIRBG">#REF!</definedName>
    <definedName name="BRIMPL12HOUSEHOLDBG">#REF!</definedName>
    <definedName name="BRIMPL12ICECRBG">#REF!</definedName>
    <definedName name="BRIMPL12LAUNDRY">#REF!</definedName>
    <definedName name="BRIMPL12MODFDSBG">#REF!</definedName>
    <definedName name="BRIMPL12OODFBG">#REF!</definedName>
    <definedName name="BRIMPL12OPCBG">#REF!</definedName>
    <definedName name="BRIMPL12ORALBG">#REF!</definedName>
    <definedName name="BRIMPL12OTHBSGBG">#REF!</definedName>
    <definedName name="BRIMPL12PWASHBG">#REF!</definedName>
    <definedName name="BRIMPL12RTDTEABG">#REF!</definedName>
    <definedName name="BRIMPL12SKINBG">#REF!</definedName>
    <definedName name="BRIMPL12TEABG">#REF!</definedName>
    <definedName name="BRIMPL12YFBG">#REF!</definedName>
    <definedName name="BRIMPL1APURABG">#REF!</definedName>
    <definedName name="BRIMPL1BAKERYBG">#REF!</definedName>
    <definedName name="BRIMPL1BRREM1">#REF!</definedName>
    <definedName name="BRIMPL1CFOBG">#REF!</definedName>
    <definedName name="BRIMPL1CHEESEBG">#REF!</definedName>
    <definedName name="BRIMPL1CULINARYBG">#REF!</definedName>
    <definedName name="BRIMPL1DEOBG">#REF!</definedName>
    <definedName name="BRIMPL1FCTFDSBG">#REF!</definedName>
    <definedName name="BRIMPL1HAIRBG">#REF!</definedName>
    <definedName name="BRIMPL1HOUSEHOLDBG">#REF!</definedName>
    <definedName name="BRIMPL1ICECRBG">#REF!</definedName>
    <definedName name="BRIMPL1LAUNDRY">#REF!</definedName>
    <definedName name="BRIMPL1MODFDSBG">#REF!</definedName>
    <definedName name="BRIMPL1OODFBG">#REF!</definedName>
    <definedName name="BRIMPL1OPCBG">#REF!</definedName>
    <definedName name="BRIMPL1ORALBG">#REF!</definedName>
    <definedName name="BRIMPL1OTHBSGBG">#REF!</definedName>
    <definedName name="BRIMPL1PWASHBG">#REF!</definedName>
    <definedName name="BRIMPL1RTDTEABG">#REF!</definedName>
    <definedName name="BRIMPL1SKINBG">#REF!</definedName>
    <definedName name="BRIMPL1TEABG">#REF!</definedName>
    <definedName name="BRIMPL1YFBG">#REF!</definedName>
    <definedName name="BRIMPL2APURABG">#REF!</definedName>
    <definedName name="BRIMPL2BAKERYBG">#REF!</definedName>
    <definedName name="BRIMPL2BRREM2">#REF!</definedName>
    <definedName name="BRIMPL2CFOBG">#REF!</definedName>
    <definedName name="BRIMPL2CHEESEBG">#REF!</definedName>
    <definedName name="BRIMPL2CULINARYBG">#REF!</definedName>
    <definedName name="BRIMPL2DEOBG">#REF!</definedName>
    <definedName name="BRIMPL2FCTFDSBG">#REF!</definedName>
    <definedName name="BRIMPL2HAIRBG">#REF!</definedName>
    <definedName name="BRIMPL2HOUSEHOLDBG">#REF!</definedName>
    <definedName name="BRIMPL2ICECRBG">#REF!</definedName>
    <definedName name="BRIMPL2LAUNDRY">#REF!</definedName>
    <definedName name="BRIMPL2MODFDSBG">#REF!</definedName>
    <definedName name="BRIMPL2OODFBG">#REF!</definedName>
    <definedName name="BRIMPL2OPCBG">#REF!</definedName>
    <definedName name="BRIMPL2ORALBG">#REF!</definedName>
    <definedName name="BRIMPL2OTHBSGBG">#REF!</definedName>
    <definedName name="BRIMPL2PWASHBG">#REF!</definedName>
    <definedName name="BRIMPL2RTDTEABG">#REF!</definedName>
    <definedName name="BRIMPL2SKINBG">#REF!</definedName>
    <definedName name="BRIMPL2TEABG">#REF!</definedName>
    <definedName name="BRIMPL2YFBG">#REF!</definedName>
    <definedName name="BRIMPL3APURABG">#REF!</definedName>
    <definedName name="BRIMPL3BAKERYBG">#REF!</definedName>
    <definedName name="BRIMPL3CFOBG">#REF!</definedName>
    <definedName name="BRIMPL3CHEESEBG">#REF!</definedName>
    <definedName name="BRIMPL3CULINARYBG">#REF!</definedName>
    <definedName name="BRIMPL3DEOBG">#REF!</definedName>
    <definedName name="BRIMPL3FCTFDSBG">#REF!</definedName>
    <definedName name="BRIMPL3HAIRBG">#REF!</definedName>
    <definedName name="BRIMPL3HOUSEHOLDBG">#REF!</definedName>
    <definedName name="BRIMPL3ICECRBG">#REF!</definedName>
    <definedName name="BRIMPL3LAUNDRY">#REF!</definedName>
    <definedName name="BRIMPL3MODFDSBG">#REF!</definedName>
    <definedName name="BRIMPL3OODFBG">#REF!</definedName>
    <definedName name="BRIMPL3OPCBG">#REF!</definedName>
    <definedName name="BRIMPL3ORALBG">#REF!</definedName>
    <definedName name="BRIMPL3OTHBSGBG">#REF!</definedName>
    <definedName name="BRIMPL3PWASHBG">#REF!</definedName>
    <definedName name="BRIMPL3RTDTEABG">#REF!</definedName>
    <definedName name="BRIMPL3SKINBG">#REF!</definedName>
    <definedName name="BRIMPL3TEABG">#REF!</definedName>
    <definedName name="BRIMPL3YFBG">#REF!</definedName>
    <definedName name="BRIMPL4APURABG">#REF!</definedName>
    <definedName name="BRIMPL4BAKERYBG">#REF!</definedName>
    <definedName name="BRIMPL4CFOBG">#REF!</definedName>
    <definedName name="BRIMPL4CHEESEBG">#REF!</definedName>
    <definedName name="BRIMPL4CULINARYBG">#REF!</definedName>
    <definedName name="BRIMPL4DEOBG">#REF!</definedName>
    <definedName name="BRIMPL4FCTFDSBG">#REF!</definedName>
    <definedName name="BRIMPL4HAIRBG">#REF!</definedName>
    <definedName name="BRIMPL4HOUSEHOLDBG">#REF!</definedName>
    <definedName name="BRIMPL4ICECRBG">#REF!</definedName>
    <definedName name="BRIMPL4LAUNDRY">#REF!</definedName>
    <definedName name="BRIMPL4MODFDSBG">#REF!</definedName>
    <definedName name="BRIMPL4OODFBG">#REF!</definedName>
    <definedName name="BRIMPL4OPCBG">#REF!</definedName>
    <definedName name="BRIMPL4ORALBG">#REF!</definedName>
    <definedName name="BRIMPL4OTHBSGBG">#REF!</definedName>
    <definedName name="BRIMPL4PWASHBG">#REF!</definedName>
    <definedName name="BRIMPL4RTDTEABG">#REF!</definedName>
    <definedName name="BRIMPL4SKINBG">#REF!</definedName>
    <definedName name="BRIMPL4TEABG">#REF!</definedName>
    <definedName name="BRIMPL4YFBG">#REF!</definedName>
    <definedName name="BRIMPL5APURABG">#REF!</definedName>
    <definedName name="BRIMPL5BAKERYBG">#REF!</definedName>
    <definedName name="BRIMPL5CFOBG">#REF!</definedName>
    <definedName name="BRIMPL5CHEESEBG">#REF!</definedName>
    <definedName name="BRIMPL5CULINARYBG">#REF!</definedName>
    <definedName name="BRIMPL5DEOBG">#REF!</definedName>
    <definedName name="BRIMPL5FCTFDSBG">#REF!</definedName>
    <definedName name="BRIMPL5HAIRBG">#REF!</definedName>
    <definedName name="BRIMPL5HOUSEHOLDBG">#REF!</definedName>
    <definedName name="BRIMPL5ICECRBG">#REF!</definedName>
    <definedName name="BRIMPL5LAUNDRY">#REF!</definedName>
    <definedName name="BRIMPL5MODFDSBG">#REF!</definedName>
    <definedName name="BRIMPL5OODFBG">#REF!</definedName>
    <definedName name="BRIMPL5OPCBG">#REF!</definedName>
    <definedName name="BRIMPL5ORALBG">#REF!</definedName>
    <definedName name="BRIMPL5OTHBSGBG">#REF!</definedName>
    <definedName name="BRIMPL5PWASHBG">#REF!</definedName>
    <definedName name="BRIMPL5RTDTEABG">#REF!</definedName>
    <definedName name="BRIMPL5SKINBG">#REF!</definedName>
    <definedName name="BRIMPL5TEABG">#REF!</definedName>
    <definedName name="BRIMPL5YFBG">#REF!</definedName>
    <definedName name="BRIMPL6APURABG">#REF!</definedName>
    <definedName name="BRIMPL6BAKERYBG">#REF!</definedName>
    <definedName name="BRIMPL6CFOBG">#REF!</definedName>
    <definedName name="BRIMPL6CHEESEBG">#REF!</definedName>
    <definedName name="BRIMPL6CULINARYBG">#REF!</definedName>
    <definedName name="BRIMPL6DEOBG">#REF!</definedName>
    <definedName name="BRIMPL6FCTFDSBG">#REF!</definedName>
    <definedName name="BRIMPL6HAIRBG">#REF!</definedName>
    <definedName name="BRIMPL6HOUSEHOLDBG">#REF!</definedName>
    <definedName name="BRIMPL6ICECRBG">#REF!</definedName>
    <definedName name="BRIMPL6LAUNDRY">#REF!</definedName>
    <definedName name="BRIMPL6MODFDSBG">#REF!</definedName>
    <definedName name="BRIMPL6OODFBG">#REF!</definedName>
    <definedName name="BRIMPL6OPCBG">#REF!</definedName>
    <definedName name="BRIMPL6ORALBG">#REF!</definedName>
    <definedName name="BRIMPL6OTHBSGBG">#REF!</definedName>
    <definedName name="BRIMPL6PWASHBG">#REF!</definedName>
    <definedName name="BRIMPL6RTDTEABG">#REF!</definedName>
    <definedName name="BRIMPL6SKINBG">#REF!</definedName>
    <definedName name="BRIMPL6TEABG">#REF!</definedName>
    <definedName name="BRIMPL6YFBG">#REF!</definedName>
    <definedName name="BRIMPL7APURABG">#REF!</definedName>
    <definedName name="BRIMPL7BAKERYBG">#REF!</definedName>
    <definedName name="BRIMPL7CFOBG">#REF!</definedName>
    <definedName name="BRIMPL7CHEESEBG">#REF!</definedName>
    <definedName name="BRIMPL7CULINARYBG">#REF!</definedName>
    <definedName name="BRIMPL7DEOBG">#REF!</definedName>
    <definedName name="BRIMPL7FCTFDSBG">#REF!</definedName>
    <definedName name="BRIMPL7HAIRBG">#REF!</definedName>
    <definedName name="BRIMPL7HOUSEHOLDBG">#REF!</definedName>
    <definedName name="BRIMPL7ICECRBG">#REF!</definedName>
    <definedName name="BRIMPL7LAUNDRY">#REF!</definedName>
    <definedName name="BRIMPL7MODFDSBG">#REF!</definedName>
    <definedName name="BRIMPL7OODFBG">#REF!</definedName>
    <definedName name="BRIMPL7OPCBG">#REF!</definedName>
    <definedName name="BRIMPL7ORALBG">#REF!</definedName>
    <definedName name="BRIMPL7OTHBSGBG">#REF!</definedName>
    <definedName name="BRIMPL7PWASHBG">#REF!</definedName>
    <definedName name="BRIMPL7RTDTEABG">#REF!</definedName>
    <definedName name="BRIMPL7SKINBG">#REF!</definedName>
    <definedName name="BRIMPL7TEABG">#REF!</definedName>
    <definedName name="BRIMPL7YFBG">#REF!</definedName>
    <definedName name="BRIMPL8APURABG">#REF!</definedName>
    <definedName name="BRIMPL8BAKERYBG">#REF!</definedName>
    <definedName name="BRIMPL8CFOBG">#REF!</definedName>
    <definedName name="BRIMPL8CHEESEBG">#REF!</definedName>
    <definedName name="BRIMPL8CULINARYBG">#REF!</definedName>
    <definedName name="BRIMPL8DEOBG">#REF!</definedName>
    <definedName name="BRIMPL8FCTFDSBG">#REF!</definedName>
    <definedName name="BRIMPL8HAIRBG">#REF!</definedName>
    <definedName name="BRIMPL8HOUSEHOLDBG">#REF!</definedName>
    <definedName name="BRIMPL8ICECRBG">#REF!</definedName>
    <definedName name="BRIMPL8LAUNDRY">#REF!</definedName>
    <definedName name="BRIMPL8MODFDSBG">#REF!</definedName>
    <definedName name="BRIMPL8OODFBG">#REF!</definedName>
    <definedName name="BRIMPL8OPCBG">#REF!</definedName>
    <definedName name="BRIMPL8ORALBG">#REF!</definedName>
    <definedName name="BRIMPL8OTHBSGBG">#REF!</definedName>
    <definedName name="BRIMPL8PWASHBG">#REF!</definedName>
    <definedName name="BRIMPL8RTDTEABG">#REF!</definedName>
    <definedName name="BRIMPL8SKINBG">#REF!</definedName>
    <definedName name="BRIMPL8TEABG">#REF!</definedName>
    <definedName name="BRIMPL8YFBG">#REF!</definedName>
    <definedName name="BRIMPL9APURABG">#REF!</definedName>
    <definedName name="BRIMPL9BAKERYBG">#REF!</definedName>
    <definedName name="BRIMPL9CFOBG">#REF!</definedName>
    <definedName name="BRIMPL9CHEESEBG">#REF!</definedName>
    <definedName name="BRIMPL9CULINARYBG">#REF!</definedName>
    <definedName name="BRIMPL9DEOBG">#REF!</definedName>
    <definedName name="BRIMPL9FCTFDSBG">#REF!</definedName>
    <definedName name="BRIMPL9HAIRBG">#REF!</definedName>
    <definedName name="BRIMPL9HOUSEHOLDBG">#REF!</definedName>
    <definedName name="BRIMPL9ICECRBG">#REF!</definedName>
    <definedName name="BRIMPL9LAUNDRY">#REF!</definedName>
    <definedName name="BRIMPL9MODFDSBG">#REF!</definedName>
    <definedName name="BRIMPL9OODFBG">#REF!</definedName>
    <definedName name="BRIMPL9OPCBG">#REF!</definedName>
    <definedName name="BRIMPL9ORALBG">#REF!</definedName>
    <definedName name="BRIMPL9OTHBSGBG">#REF!</definedName>
    <definedName name="BRIMPL9PWASHBG">#REF!</definedName>
    <definedName name="BRIMPL9RTDTEABG">#REF!</definedName>
    <definedName name="BRIMPL9SKINBG">#REF!</definedName>
    <definedName name="BRIMPL9TEABG">#REF!</definedName>
    <definedName name="BRIMPL9YFBG">#REF!</definedName>
    <definedName name="BRMDC1">#REF!</definedName>
    <definedName name="BRMDC10APURABG">#REF!</definedName>
    <definedName name="BRMDC10BAKERYBG">#REF!</definedName>
    <definedName name="BRMDC10CFOBG">#REF!</definedName>
    <definedName name="BRMDC10CHEESEBG">#REF!</definedName>
    <definedName name="BRMDC10COLCOSBG">#REF!</definedName>
    <definedName name="BRMDC10CULINARYBG">#REF!</definedName>
    <definedName name="BRMDC10DEOBG">#REF!</definedName>
    <definedName name="BRMDC10FCTFDSBG">#REF!</definedName>
    <definedName name="BRMDC10HAIRBG">#REF!</definedName>
    <definedName name="BRMDC10HOUSEHOLDBG">#REF!</definedName>
    <definedName name="BRMDC10ICECRBG">#REF!</definedName>
    <definedName name="BRMDC10LAUNDRY">#REF!</definedName>
    <definedName name="BRMDC10MODFDSBG">#REF!</definedName>
    <definedName name="BRMDC10OODFBG">#REF!</definedName>
    <definedName name="BRMDC10OPCBG">#REF!</definedName>
    <definedName name="BRMDC10ORALBG">#REF!</definedName>
    <definedName name="BRMDC10OTHBSGBG">#REF!</definedName>
    <definedName name="BRMDC10PERFUMBG">#REF!</definedName>
    <definedName name="BRMDC10PWASHBG">#REF!</definedName>
    <definedName name="BRMDC10RTDTEABG">#REF!</definedName>
    <definedName name="BRMDC10SKINBG">#REF!</definedName>
    <definedName name="BRMDC10TEABG">#REF!</definedName>
    <definedName name="BRMDC10YFBG">#REF!</definedName>
    <definedName name="BRMDC11APURABG">#REF!</definedName>
    <definedName name="BRMDC11BAKERYBG">#REF!</definedName>
    <definedName name="BRMDC11CFOBG">#REF!</definedName>
    <definedName name="BRMDC11CHEESEBG">#REF!</definedName>
    <definedName name="BRMDC11COLCOSBG">#REF!</definedName>
    <definedName name="BRMDC11CULINARYBG">#REF!</definedName>
    <definedName name="BRMDC11DEOBG">#REF!</definedName>
    <definedName name="BRMDC11FCTFDSBG">#REF!</definedName>
    <definedName name="BRMDC11HAIRBG">#REF!</definedName>
    <definedName name="BRMDC11HOUSEHOLDBG">#REF!</definedName>
    <definedName name="BRMDC11ICECRBG">#REF!</definedName>
    <definedName name="BRMDC11LAUNDRY">#REF!</definedName>
    <definedName name="BRMDC11MODFDSBG">#REF!</definedName>
    <definedName name="BRMDC11OODFBG">#REF!</definedName>
    <definedName name="BRMDC11OPCBG">#REF!</definedName>
    <definedName name="BRMDC11ORALBG">#REF!</definedName>
    <definedName name="BRMDC11OTHBSGBG">#REF!</definedName>
    <definedName name="BRMDC11PERFUMBG">#REF!</definedName>
    <definedName name="BRMDC11PWASHBG">#REF!</definedName>
    <definedName name="BRMDC11RTDTEABG">#REF!</definedName>
    <definedName name="BRMDC11SKINBG">#REF!</definedName>
    <definedName name="BRMDC11TEABG">#REF!</definedName>
    <definedName name="BRMDC11YFBG">#REF!</definedName>
    <definedName name="BRMDC12APURABG">#REF!</definedName>
    <definedName name="BRMDC12BAKERYBG">#REF!</definedName>
    <definedName name="BRMDC12CFOBG">#REF!</definedName>
    <definedName name="BRMDC12CHEESEBG">#REF!</definedName>
    <definedName name="BRMDC12COLCOSBG">#REF!</definedName>
    <definedName name="BRMDC12CULINARYBG">#REF!</definedName>
    <definedName name="BRMDC12DEOBG">#REF!</definedName>
    <definedName name="BRMDC12FCTFDSBG">#REF!</definedName>
    <definedName name="BRMDC12HAIRBG">#REF!</definedName>
    <definedName name="BRMDC12HOUSEHOLDBG">#REF!</definedName>
    <definedName name="BRMDC12ICECRBG">#REF!</definedName>
    <definedName name="BRMDC12LAUNDRY">#REF!</definedName>
    <definedName name="BRMDC12MODFDSBG">#REF!</definedName>
    <definedName name="BRMDC12OODFBG">#REF!</definedName>
    <definedName name="BRMDC12OPCBG">#REF!</definedName>
    <definedName name="BRMDC12ORALBG">#REF!</definedName>
    <definedName name="BRMDC12OTHBSGBG">#REF!</definedName>
    <definedName name="BRMDC12PERFUMBG">#REF!</definedName>
    <definedName name="BRMDC12PWASHBG">#REF!</definedName>
    <definedName name="BRMDC12RTDTEABG">#REF!</definedName>
    <definedName name="BRMDC12SKINBG">#REF!</definedName>
    <definedName name="BRMDC12TEABG">#REF!</definedName>
    <definedName name="BRMDC12YFBG">#REF!</definedName>
    <definedName name="BRMDC1APURABG">#REF!</definedName>
    <definedName name="BRMDC1BAKERYBG">#REF!</definedName>
    <definedName name="BRMDC1CFOBG">#REF!</definedName>
    <definedName name="BRMDC1CHEESEBG">#REF!</definedName>
    <definedName name="BRMDC1COLCOSBG">#REF!</definedName>
    <definedName name="BRMDC1CULINARYBG">#REF!</definedName>
    <definedName name="BRMDC1DEOBG">#REF!</definedName>
    <definedName name="BRMDC1FCTFDSBG">#REF!</definedName>
    <definedName name="BRMDC1HAIRBG">#REF!</definedName>
    <definedName name="BRMDC1HOUSEHOLDBG">#REF!</definedName>
    <definedName name="BRMDC1ICECRBG">#REF!</definedName>
    <definedName name="BRMDC1LAUNDRY">#REF!</definedName>
    <definedName name="BRMDC1MODFDSBG">#REF!</definedName>
    <definedName name="BRMDC1OODFBG">#REF!</definedName>
    <definedName name="BRMDC1OPCBG">#REF!</definedName>
    <definedName name="BRMDC1ORALBG">#REF!</definedName>
    <definedName name="BRMDC1OTHBSGBG">#REF!</definedName>
    <definedName name="BRMDC1PERFUMBG">#REF!</definedName>
    <definedName name="BRMDC1PWASHBG">#REF!</definedName>
    <definedName name="BRMDC1RTDTEABG">#REF!</definedName>
    <definedName name="BRMDC1SKINBG">#REF!</definedName>
    <definedName name="BRMDC1TEABG">#REF!</definedName>
    <definedName name="BRMDC1YFBG">#REF!</definedName>
    <definedName name="BRMDC2">#REF!</definedName>
    <definedName name="BRMDC2APURABG">#REF!</definedName>
    <definedName name="BRMDC2BAKERYBG">#REF!</definedName>
    <definedName name="BRMDC2CFOBG">#REF!</definedName>
    <definedName name="BRMDC2CHEESEBG">#REF!</definedName>
    <definedName name="BRMDC2COLCOSBG">#REF!</definedName>
    <definedName name="BRMDC2CULINARYBG">#REF!</definedName>
    <definedName name="BRMDC2DEOBG">#REF!</definedName>
    <definedName name="BRMDC2FCTFDSBG">#REF!</definedName>
    <definedName name="BRMDC2HAIRBG">#REF!</definedName>
    <definedName name="BRMDC2HOUSEHOLDBG">#REF!</definedName>
    <definedName name="BRMDC2ICECRBG">#REF!</definedName>
    <definedName name="BRMDC2LAUNDRY">#REF!</definedName>
    <definedName name="BRMDC2MODFDSBG">#REF!</definedName>
    <definedName name="BRMDC2OODFBG">#REF!</definedName>
    <definedName name="BRMDC2OPCBG">#REF!</definedName>
    <definedName name="BRMDC2ORALBG">#REF!</definedName>
    <definedName name="BRMDC2OTHBSGBG">#REF!</definedName>
    <definedName name="BRMDC2PERFUMBG">#REF!</definedName>
    <definedName name="BRMDC2PWASHBG">#REF!</definedName>
    <definedName name="BRMDC2RTDTEABG">#REF!</definedName>
    <definedName name="BRMDC2SKINBG">#REF!</definedName>
    <definedName name="BRMDC2TEABG">#REF!</definedName>
    <definedName name="BRMDC2YFBG">#REF!</definedName>
    <definedName name="BRMDC3APURABG">#REF!</definedName>
    <definedName name="BRMDC3BAKERYBG">#REF!</definedName>
    <definedName name="BRMDC3CFOBG">#REF!</definedName>
    <definedName name="BRMDC3CHEESEBG">#REF!</definedName>
    <definedName name="BRMDC3COLCOSBG">#REF!</definedName>
    <definedName name="BRMDC3CULINARYBG">#REF!</definedName>
    <definedName name="BRMDC3DEOBG">#REF!</definedName>
    <definedName name="BRMDC3FCTFDSBG">#REF!</definedName>
    <definedName name="BRMDC3HAIRBG">#REF!</definedName>
    <definedName name="BRMDC3HOUSEHOLDBG">#REF!</definedName>
    <definedName name="BRMDC3ICECRBG">#REF!</definedName>
    <definedName name="BRMDC3LAUNDRY">#REF!</definedName>
    <definedName name="BRMDC3MODFDSBG">#REF!</definedName>
    <definedName name="BRMDC3OODFBG">#REF!</definedName>
    <definedName name="BRMDC3OPCBG">#REF!</definedName>
    <definedName name="BRMDC3ORALBG">#REF!</definedName>
    <definedName name="BRMDC3OTHBSGBG">#REF!</definedName>
    <definedName name="BRMDC3PERFUMBG">#REF!</definedName>
    <definedName name="BRMDC3PWASHBG">#REF!</definedName>
    <definedName name="BRMDC3RTDTEABG">#REF!</definedName>
    <definedName name="BRMDC3SKINBG">#REF!</definedName>
    <definedName name="BRMDC3TEABG">#REF!</definedName>
    <definedName name="BRMDC3YFBG">#REF!</definedName>
    <definedName name="BRMDC4APURABG">#REF!</definedName>
    <definedName name="BRMDC4BAKERYBG">#REF!</definedName>
    <definedName name="BRMDC4CFOBG">#REF!</definedName>
    <definedName name="BRMDC4CHEESEBG">#REF!</definedName>
    <definedName name="BRMDC4COLCOSBG">#REF!</definedName>
    <definedName name="BRMDC4CULINARYBG">#REF!</definedName>
    <definedName name="BRMDC4DEOBG">#REF!</definedName>
    <definedName name="BRMDC4FCTFDSBG">#REF!</definedName>
    <definedName name="BRMDC4HAIRBG">#REF!</definedName>
    <definedName name="BRMDC4HOUSEHOLDBG">#REF!</definedName>
    <definedName name="BRMDC4ICECRBG">#REF!</definedName>
    <definedName name="BRMDC4LAUNDRY">#REF!</definedName>
    <definedName name="BRMDC4MODFDSBG">#REF!</definedName>
    <definedName name="BRMDC4OODFBG">#REF!</definedName>
    <definedName name="BRMDC4OPCBG">#REF!</definedName>
    <definedName name="BRMDC4ORALBG">#REF!</definedName>
    <definedName name="BRMDC4OTHBSGBG">#REF!</definedName>
    <definedName name="BRMDC4PERFUMBG">#REF!</definedName>
    <definedName name="BRMDC4PWASHBG">#REF!</definedName>
    <definedName name="BRMDC4RTDTEABG">#REF!</definedName>
    <definedName name="BRMDC4SKINBG">#REF!</definedName>
    <definedName name="BRMDC4TEABG">#REF!</definedName>
    <definedName name="BRMDC4YFBG">#REF!</definedName>
    <definedName name="BRMDC5APURABG">#REF!</definedName>
    <definedName name="BRMDC5BAKERYBG">#REF!</definedName>
    <definedName name="BRMDC5CFOBG">#REF!</definedName>
    <definedName name="BRMDC5CHEESEBG">#REF!</definedName>
    <definedName name="BRMDC5COLCOSBG">#REF!</definedName>
    <definedName name="BRMDC5CULINARYBG">#REF!</definedName>
    <definedName name="BRMDC5DEOBG">#REF!</definedName>
    <definedName name="BRMDC5FCTFDSBG">#REF!</definedName>
    <definedName name="BRMDC5HAIRBG">#REF!</definedName>
    <definedName name="BRMDC5HOUSEHOLDBG">#REF!</definedName>
    <definedName name="BRMDC5ICECRBG">#REF!</definedName>
    <definedName name="BRMDC5LAUNDRY">#REF!</definedName>
    <definedName name="BRMDC5MODFDSBG">#REF!</definedName>
    <definedName name="BRMDC5OODFBG">#REF!</definedName>
    <definedName name="BRMDC5OPCBG">#REF!</definedName>
    <definedName name="BRMDC5ORALBG">#REF!</definedName>
    <definedName name="BRMDC5OTHBSGBG">#REF!</definedName>
    <definedName name="BRMDC5PERFUMBG">#REF!</definedName>
    <definedName name="BRMDC5PWASHBG">#REF!</definedName>
    <definedName name="BRMDC5RTDTEABG">#REF!</definedName>
    <definedName name="BRMDC5SKINBG">#REF!</definedName>
    <definedName name="BRMDC5TEABG">#REF!</definedName>
    <definedName name="BRMDC5YFBG">#REF!</definedName>
    <definedName name="BRMDC6APURABG">#REF!</definedName>
    <definedName name="BRMDC6BAKERYBG">#REF!</definedName>
    <definedName name="BRMDC6CFOBG">#REF!</definedName>
    <definedName name="BRMDC6CHEESEBG">#REF!</definedName>
    <definedName name="BRMDC6COLCOSBG">#REF!</definedName>
    <definedName name="BRMDC6CULINARYBG">#REF!</definedName>
    <definedName name="BRMDC6DEOBG">#REF!</definedName>
    <definedName name="BRMDC6FCTFDSBG">#REF!</definedName>
    <definedName name="BRMDC6HAIRBG">#REF!</definedName>
    <definedName name="BRMDC6HOUSEHOLDBG">#REF!</definedName>
    <definedName name="BRMDC6ICECRBG">#REF!</definedName>
    <definedName name="BRMDC6LAUNDRY">#REF!</definedName>
    <definedName name="BRMDC6MODFDSBG">#REF!</definedName>
    <definedName name="BRMDC6OODFBG">#REF!</definedName>
    <definedName name="BRMDC6OPCBG">#REF!</definedName>
    <definedName name="BRMDC6ORALBG">#REF!</definedName>
    <definedName name="BRMDC6OTHBSGBG">#REF!</definedName>
    <definedName name="BRMDC6PERFUMBG">#REF!</definedName>
    <definedName name="BRMDC6PWASHBG">#REF!</definedName>
    <definedName name="BRMDC6RTDTEABG">#REF!</definedName>
    <definedName name="BRMDC6SKINBG">#REF!</definedName>
    <definedName name="BRMDC6TEABG">#REF!</definedName>
    <definedName name="BRMDC6YFBG">#REF!</definedName>
    <definedName name="BRMDC7APURABG">#REF!</definedName>
    <definedName name="BRMDC7BAKERYBG">#REF!</definedName>
    <definedName name="BRMDC7CFOBG">#REF!</definedName>
    <definedName name="BRMDC7CHEESEBG">#REF!</definedName>
    <definedName name="BRMDC7COLCOSBG">#REF!</definedName>
    <definedName name="BRMDC7CULINARYBG">#REF!</definedName>
    <definedName name="BRMDC7DEOBG">#REF!</definedName>
    <definedName name="BRMDC7FCTFDSBG">#REF!</definedName>
    <definedName name="BRMDC7HAIRBG">#REF!</definedName>
    <definedName name="BRMDC7HOUSEHOLDBG">#REF!</definedName>
    <definedName name="BRMDC7ICECRBG">#REF!</definedName>
    <definedName name="BRMDC7LAUNDRY">#REF!</definedName>
    <definedName name="BRMDC7MODFDSBG">#REF!</definedName>
    <definedName name="BRMDC7OODFBG">#REF!</definedName>
    <definedName name="BRMDC7OPCBG">#REF!</definedName>
    <definedName name="BRMDC7ORALBG">#REF!</definedName>
    <definedName name="BRMDC7OTHBSGBG">#REF!</definedName>
    <definedName name="BRMDC7PERFUMBG">#REF!</definedName>
    <definedName name="BRMDC7PWASHBG">#REF!</definedName>
    <definedName name="BRMDC7RTDTEABG">#REF!</definedName>
    <definedName name="BRMDC7SKINBG">#REF!</definedName>
    <definedName name="BRMDC7TEABG">#REF!</definedName>
    <definedName name="BRMDC7YFBG">#REF!</definedName>
    <definedName name="BRMDC8APURABG">#REF!</definedName>
    <definedName name="BRMDC8BAKERYBG">#REF!</definedName>
    <definedName name="BRMDC8CFOBG">#REF!</definedName>
    <definedName name="BRMDC8CHEESEBG">#REF!</definedName>
    <definedName name="BRMDC8COLCOSBG">#REF!</definedName>
    <definedName name="BRMDC8CULINARYBG">#REF!</definedName>
    <definedName name="BRMDC8DEOBG">#REF!</definedName>
    <definedName name="BRMDC8FCTFDSBG">#REF!</definedName>
    <definedName name="BRMDC8HAIRBG">#REF!</definedName>
    <definedName name="BRMDC8HOUSEHOLDBG">#REF!</definedName>
    <definedName name="BRMDC8ICECRBG">#REF!</definedName>
    <definedName name="BRMDC8LAUNDRY">#REF!</definedName>
    <definedName name="BRMDC8MODFDSBG">#REF!</definedName>
    <definedName name="BRMDC8OODFBG">#REF!</definedName>
    <definedName name="BRMDC8OPCBG">#REF!</definedName>
    <definedName name="BRMDC8ORALBG">#REF!</definedName>
    <definedName name="BRMDC8OTHBSGBG">#REF!</definedName>
    <definedName name="BRMDC8PERFUMBG">#REF!</definedName>
    <definedName name="BRMDC8PWASHBG">#REF!</definedName>
    <definedName name="BRMDC8RTDTEABG">#REF!</definedName>
    <definedName name="BRMDC8SKINBG">#REF!</definedName>
    <definedName name="BRMDC8TEABG">#REF!</definedName>
    <definedName name="BRMDC8YFBG">#REF!</definedName>
    <definedName name="BRMDC9APURABG">#REF!</definedName>
    <definedName name="BRMDC9BAKERYBG">#REF!</definedName>
    <definedName name="BRMDC9CFOBG">#REF!</definedName>
    <definedName name="BRMDC9CHEESEBG">#REF!</definedName>
    <definedName name="BRMDC9COLCOSBG">#REF!</definedName>
    <definedName name="BRMDC9CULINARYBG">#REF!</definedName>
    <definedName name="BRMDC9DEOBG">#REF!</definedName>
    <definedName name="BRMDC9FCTFDSBG">#REF!</definedName>
    <definedName name="BRMDC9HAIRBG">#REF!</definedName>
    <definedName name="BRMDC9HOUSEHOLDBG">#REF!</definedName>
    <definedName name="BRMDC9ICECRBG">#REF!</definedName>
    <definedName name="BRMDC9LAUNDRY">#REF!</definedName>
    <definedName name="BRMDC9MODFDSBG">#REF!</definedName>
    <definedName name="BRMDC9OODFBG">#REF!</definedName>
    <definedName name="BRMDC9OPCBG">#REF!</definedName>
    <definedName name="BRMDC9ORALBG">#REF!</definedName>
    <definedName name="BRMDC9OTHBSGBG">#REF!</definedName>
    <definedName name="BRMDC9PERFUMBG">#REF!</definedName>
    <definedName name="BRMDC9PWASHBG">#REF!</definedName>
    <definedName name="BRMDC9RTDTEABG">#REF!</definedName>
    <definedName name="BRMDC9SKINBG">#REF!</definedName>
    <definedName name="BRMDC9TEABG">#REF!</definedName>
    <definedName name="BRMDC9YFBG">#REF!</definedName>
    <definedName name="BRMKTBPS1">#REF!</definedName>
    <definedName name="BRMKTBPS10APURABG">#REF!</definedName>
    <definedName name="BRMKTBPS10BAKERYBG">#REF!</definedName>
    <definedName name="BRMKTBPS10CFOBG">#REF!</definedName>
    <definedName name="BRMKTBPS10CHEESEBG">#REF!</definedName>
    <definedName name="BRMKTBPS10CULINARYBG">#REF!</definedName>
    <definedName name="BRMKTBPS10DEOBG">#REF!</definedName>
    <definedName name="BRMKTBPS10FCTFDSBG">#REF!</definedName>
    <definedName name="BRMKTBPS10HAIRBG">#REF!</definedName>
    <definedName name="BRMKTBPS10HOUSEHOLDBG">#REF!</definedName>
    <definedName name="BRMKTBPS10ICECRBG">#REF!</definedName>
    <definedName name="BRMKTBPS10LAUNDRY">#REF!</definedName>
    <definedName name="BRMKTBPS10MODFDSBG">#REF!</definedName>
    <definedName name="BRMKTBPS10OODFBG">#REF!</definedName>
    <definedName name="BRMKTBPS10OPCBG">#REF!</definedName>
    <definedName name="BRMKTBPS10ORALBG">#REF!</definedName>
    <definedName name="BRMKTBPS10OTHBSGBG">#REF!</definedName>
    <definedName name="BRMKTBPS10PWASHBG">#REF!</definedName>
    <definedName name="BRMKTBPS10RTDTEABG">#REF!</definedName>
    <definedName name="BRMKTBPS10SKINBG">#REF!</definedName>
    <definedName name="BRMKTBPS10TEABG">#REF!</definedName>
    <definedName name="BRMKTBPS10YFBG">#REF!</definedName>
    <definedName name="BRMKTBPS11APURABG">#REF!</definedName>
    <definedName name="BRMKTBPS11BAKERYBG">#REF!</definedName>
    <definedName name="BRMKTBPS11CFOBG">#REF!</definedName>
    <definedName name="BRMKTBPS11CHEESEBG">#REF!</definedName>
    <definedName name="BRMKTBPS11CULINARYBG">#REF!</definedName>
    <definedName name="BRMKTBPS11DEOBG">#REF!</definedName>
    <definedName name="BRMKTBPS11FCTFDSBG">#REF!</definedName>
    <definedName name="BRMKTBPS11HAIRBG">#REF!</definedName>
    <definedName name="BRMKTBPS11HOUSEHOLDBG">#REF!</definedName>
    <definedName name="BRMKTBPS11ICECRBG">#REF!</definedName>
    <definedName name="BRMKTBPS11LAUNDRY">#REF!</definedName>
    <definedName name="BRMKTBPS11MODFDSBG">#REF!</definedName>
    <definedName name="BRMKTBPS11OODFBG">#REF!</definedName>
    <definedName name="BRMKTBPS11OPCBG">#REF!</definedName>
    <definedName name="BRMKTBPS11ORALBG">#REF!</definedName>
    <definedName name="BRMKTBPS11OTHBSGBG">#REF!</definedName>
    <definedName name="BRMKTBPS11PWASHBG">#REF!</definedName>
    <definedName name="BRMKTBPS11RTDTEABG">#REF!</definedName>
    <definedName name="BRMKTBPS11SKINBG">#REF!</definedName>
    <definedName name="BRMKTBPS11TEABG">#REF!</definedName>
    <definedName name="BRMKTBPS11YFBG">#REF!</definedName>
    <definedName name="BRMKTBPS12APURABG">#REF!</definedName>
    <definedName name="BRMKTBPS12BAKERYBG">#REF!</definedName>
    <definedName name="BRMKTBPS12CFOBG">#REF!</definedName>
    <definedName name="BRMKTBPS12CHEESEBG">#REF!</definedName>
    <definedName name="BRMKTBPS12CULINARYBG">#REF!</definedName>
    <definedName name="BRMKTBPS12DEOBG">#REF!</definedName>
    <definedName name="BRMKTBPS12FCTFDSBG">#REF!</definedName>
    <definedName name="BRMKTBPS12HAIRBG">#REF!</definedName>
    <definedName name="BRMKTBPS12HOUSEHOLDBG">#REF!</definedName>
    <definedName name="BRMKTBPS12ICECRBG">#REF!</definedName>
    <definedName name="BRMKTBPS12LAUNDRY">#REF!</definedName>
    <definedName name="BRMKTBPS12MODFDSBG">#REF!</definedName>
    <definedName name="BRMKTBPS12OODFBG">#REF!</definedName>
    <definedName name="BRMKTBPS12OPCBG">#REF!</definedName>
    <definedName name="BRMKTBPS12ORALBG">#REF!</definedName>
    <definedName name="BRMKTBPS12OTHBSGBG">#REF!</definedName>
    <definedName name="BRMKTBPS12PWASHBG">#REF!</definedName>
    <definedName name="BRMKTBPS12RTDTEABG">#REF!</definedName>
    <definedName name="BRMKTBPS12SKINBG">#REF!</definedName>
    <definedName name="BRMKTBPS12TEABG">#REF!</definedName>
    <definedName name="BRMKTBPS12YFBG">#REF!</definedName>
    <definedName name="BRMKTBPS1APURABG">#REF!</definedName>
    <definedName name="BRMKTBPS1BAKERYBG">#REF!</definedName>
    <definedName name="BRMKTBPS1CFOBG">#REF!</definedName>
    <definedName name="BRMKTBPS1CHEESEBG">#REF!</definedName>
    <definedName name="BRMKTBPS1CULINARYBG">#REF!</definedName>
    <definedName name="BRMKTBPS1DEOBG">#REF!</definedName>
    <definedName name="BRMKTBPS1FCTFDSBG">#REF!</definedName>
    <definedName name="BRMKTBPS1HAIRBG">#REF!</definedName>
    <definedName name="BRMKTBPS1HOUSEHOLDBG">#REF!</definedName>
    <definedName name="BRMKTBPS1ICECRBG">#REF!</definedName>
    <definedName name="BRMKTBPS1LAUNDRY">#REF!</definedName>
    <definedName name="BRMKTBPS1MODFDSBG">#REF!</definedName>
    <definedName name="BRMKTBPS1OODFBG">#REF!</definedName>
    <definedName name="BRMKTBPS1OPCBG">#REF!</definedName>
    <definedName name="BRMKTBPS1ORALBG">#REF!</definedName>
    <definedName name="BRMKTBPS1OTHBSGBG">#REF!</definedName>
    <definedName name="BRMKTBPS1PWASHBG">#REF!</definedName>
    <definedName name="BRMKTBPS1RTDTEABG">#REF!</definedName>
    <definedName name="BRMKTBPS1SKINBG">#REF!</definedName>
    <definedName name="BRMKTBPS1TEABG">#REF!</definedName>
    <definedName name="BRMKTBPS1YFBG">#REF!</definedName>
    <definedName name="BRMKTBPS2">#REF!</definedName>
    <definedName name="BRMKTBPS2APURABG">#REF!</definedName>
    <definedName name="BRMKTBPS2BAKERYBG">#REF!</definedName>
    <definedName name="BRMKTBPS2CFOBG">#REF!</definedName>
    <definedName name="BRMKTBPS2CHEESEBG">#REF!</definedName>
    <definedName name="BRMKTBPS2CULINARYBG">#REF!</definedName>
    <definedName name="BRMKTBPS2DEOBG">#REF!</definedName>
    <definedName name="BRMKTBPS2FCTFDSBG">#REF!</definedName>
    <definedName name="BRMKTBPS2HAIRBG">#REF!</definedName>
    <definedName name="BRMKTBPS2HOUSEHOLDBG">#REF!</definedName>
    <definedName name="BRMKTBPS2ICECRBG">#REF!</definedName>
    <definedName name="BRMKTBPS2LAUNDRY">#REF!</definedName>
    <definedName name="BRMKTBPS2MODFDSBG">#REF!</definedName>
    <definedName name="BRMKTBPS2OODFBG">#REF!</definedName>
    <definedName name="BRMKTBPS2OPCBG">#REF!</definedName>
    <definedName name="BRMKTBPS2ORALBG">#REF!</definedName>
    <definedName name="BRMKTBPS2OTHBSGBG">#REF!</definedName>
    <definedName name="BRMKTBPS2PWASHBG">#REF!</definedName>
    <definedName name="BRMKTBPS2RTDTEABG">#REF!</definedName>
    <definedName name="BRMKTBPS2SKINBG">#REF!</definedName>
    <definedName name="BRMKTBPS2TEABG">#REF!</definedName>
    <definedName name="BRMKTBPS2YFBG">#REF!</definedName>
    <definedName name="BRMKTBPS3APURABG">#REF!</definedName>
    <definedName name="BRMKTBPS3BAKERYBG">#REF!</definedName>
    <definedName name="BRMKTBPS3CFOBG">#REF!</definedName>
    <definedName name="BRMKTBPS3CHEESEBG">#REF!</definedName>
    <definedName name="BRMKTBPS3CULINARYBG">#REF!</definedName>
    <definedName name="BRMKTBPS3DEOBG">#REF!</definedName>
    <definedName name="BRMKTBPS3FCTFDSBG">#REF!</definedName>
    <definedName name="BRMKTBPS3HAIRBG">#REF!</definedName>
    <definedName name="BRMKTBPS3HOUSEHOLDBG">#REF!</definedName>
    <definedName name="BRMKTBPS3ICECRBG">#REF!</definedName>
    <definedName name="BRMKTBPS3LAUNDRY">#REF!</definedName>
    <definedName name="BRMKTBPS3MODFDSBG">#REF!</definedName>
    <definedName name="BRMKTBPS3OODFBG">#REF!</definedName>
    <definedName name="BRMKTBPS3OPCBG">#REF!</definedName>
    <definedName name="BRMKTBPS3ORALBG">#REF!</definedName>
    <definedName name="BRMKTBPS3OTHBSGBG">#REF!</definedName>
    <definedName name="BRMKTBPS3PWASHBG">#REF!</definedName>
    <definedName name="BRMKTBPS3RTDTEABG">#REF!</definedName>
    <definedName name="BRMKTBPS3SKINBG">#REF!</definedName>
    <definedName name="BRMKTBPS3TEABG">#REF!</definedName>
    <definedName name="BRMKTBPS3YFBG">#REF!</definedName>
    <definedName name="BRMKTBPS4APURABG">#REF!</definedName>
    <definedName name="BRMKTBPS4BAKERYBG">#REF!</definedName>
    <definedName name="BRMKTBPS4CFOBG">#REF!</definedName>
    <definedName name="BRMKTBPS4CHEESEBG">#REF!</definedName>
    <definedName name="BRMKTBPS4CULINARYBG">#REF!</definedName>
    <definedName name="BRMKTBPS4DEOBG">#REF!</definedName>
    <definedName name="BRMKTBPS4FCTFDSBG">#REF!</definedName>
    <definedName name="BRMKTBPS4HAIRBG">#REF!</definedName>
    <definedName name="BRMKTBPS4HOUSEHOLDBG">#REF!</definedName>
    <definedName name="BRMKTBPS4ICECRBG">#REF!</definedName>
    <definedName name="BRMKTBPS4LAUNDRY">#REF!</definedName>
    <definedName name="BRMKTBPS4MODFDSBG">#REF!</definedName>
    <definedName name="BRMKTBPS4OODFBG">#REF!</definedName>
    <definedName name="BRMKTBPS4OPCBG">#REF!</definedName>
    <definedName name="BRMKTBPS4ORALBG">#REF!</definedName>
    <definedName name="BRMKTBPS4OTHBSGBG">#REF!</definedName>
    <definedName name="BRMKTBPS4PWASHBG">#REF!</definedName>
    <definedName name="BRMKTBPS4RTDTEABG">#REF!</definedName>
    <definedName name="BRMKTBPS4SKINBG">#REF!</definedName>
    <definedName name="BRMKTBPS4TEABG">#REF!</definedName>
    <definedName name="BRMKTBPS4YFBG">#REF!</definedName>
    <definedName name="BRMKTBPS5APURABG">#REF!</definedName>
    <definedName name="BRMKTBPS5BAKERYBG">#REF!</definedName>
    <definedName name="BRMKTBPS5CFOBG">#REF!</definedName>
    <definedName name="BRMKTBPS5CHEESEBG">#REF!</definedName>
    <definedName name="BRMKTBPS5CULINARYBG">#REF!</definedName>
    <definedName name="BRMKTBPS5DEOBG">#REF!</definedName>
    <definedName name="BRMKTBPS5FCTFDSBG">#REF!</definedName>
    <definedName name="BRMKTBPS5HAIRBG">#REF!</definedName>
    <definedName name="BRMKTBPS5HOUSEHOLDBG">#REF!</definedName>
    <definedName name="BRMKTBPS5ICECRBG">#REF!</definedName>
    <definedName name="BRMKTBPS5LAUNDRY">#REF!</definedName>
    <definedName name="BRMKTBPS5MODFDSBG">#REF!</definedName>
    <definedName name="BRMKTBPS5OODFBG">#REF!</definedName>
    <definedName name="BRMKTBPS5OPCBG">#REF!</definedName>
    <definedName name="BRMKTBPS5ORALBG">#REF!</definedName>
    <definedName name="BRMKTBPS5OTHBSGBG">#REF!</definedName>
    <definedName name="BRMKTBPS5PWASHBG">#REF!</definedName>
    <definedName name="BRMKTBPS5RTDTEABG">#REF!</definedName>
    <definedName name="BRMKTBPS5SKINBG">#REF!</definedName>
    <definedName name="BRMKTBPS5TEABG">#REF!</definedName>
    <definedName name="BRMKTBPS5YFBG">#REF!</definedName>
    <definedName name="BRMKTBPS6APURABG">#REF!</definedName>
    <definedName name="BRMKTBPS6BAKERYBG">#REF!</definedName>
    <definedName name="BRMKTBPS6CFOBG">#REF!</definedName>
    <definedName name="BRMKTBPS6CHEESEBG">#REF!</definedName>
    <definedName name="BRMKTBPS6CULINARYBG">#REF!</definedName>
    <definedName name="BRMKTBPS6DEOBG">#REF!</definedName>
    <definedName name="BRMKTBPS6FCTFDSBG">#REF!</definedName>
    <definedName name="BRMKTBPS6HAIRBG">#REF!</definedName>
    <definedName name="BRMKTBPS6HOUSEHOLDBG">#REF!</definedName>
    <definedName name="BRMKTBPS6ICECRBG">#REF!</definedName>
    <definedName name="BRMKTBPS6LAUNDRY">#REF!</definedName>
    <definedName name="BRMKTBPS6MODFDSBG">#REF!</definedName>
    <definedName name="BRMKTBPS6OODFBG">#REF!</definedName>
    <definedName name="BRMKTBPS6OPCBG">#REF!</definedName>
    <definedName name="BRMKTBPS6ORALBG">#REF!</definedName>
    <definedName name="BRMKTBPS6OTHBSGBG">#REF!</definedName>
    <definedName name="BRMKTBPS6PWASHBG">#REF!</definedName>
    <definedName name="BRMKTBPS6RTDTEABG">#REF!</definedName>
    <definedName name="BRMKTBPS6SKINBG">#REF!</definedName>
    <definedName name="BRMKTBPS6TEABG">#REF!</definedName>
    <definedName name="BRMKTBPS6YFBG">#REF!</definedName>
    <definedName name="BRMKTBPS7APURABG">#REF!</definedName>
    <definedName name="BRMKTBPS7BAKERYBG">#REF!</definedName>
    <definedName name="BRMKTBPS7CFOBG">#REF!</definedName>
    <definedName name="BRMKTBPS7CHEESEBG">#REF!</definedName>
    <definedName name="BRMKTBPS7CULINARYBG">#REF!</definedName>
    <definedName name="BRMKTBPS7DEOBG">#REF!</definedName>
    <definedName name="BRMKTBPS7FCTFDSBG">#REF!</definedName>
    <definedName name="BRMKTBPS7HAIRBG">#REF!</definedName>
    <definedName name="BRMKTBPS7HOUSEHOLDBG">#REF!</definedName>
    <definedName name="BRMKTBPS7ICECRBG">#REF!</definedName>
    <definedName name="BRMKTBPS7LAUNDRY">#REF!</definedName>
    <definedName name="BRMKTBPS7MODFDSBG">#REF!</definedName>
    <definedName name="BRMKTBPS7OODFBG">#REF!</definedName>
    <definedName name="BRMKTBPS7OPCBG">#REF!</definedName>
    <definedName name="BRMKTBPS7ORALBG">#REF!</definedName>
    <definedName name="BRMKTBPS7OTHBSGBG">#REF!</definedName>
    <definedName name="BRMKTBPS7PWASHBG">#REF!</definedName>
    <definedName name="BRMKTBPS7RTDTEABG">#REF!</definedName>
    <definedName name="BRMKTBPS7SKINBG">#REF!</definedName>
    <definedName name="BRMKTBPS7TEABG">#REF!</definedName>
    <definedName name="BRMKTBPS7YFBG">#REF!</definedName>
    <definedName name="BRMKTBPS8APURABG">#REF!</definedName>
    <definedName name="BRMKTBPS8BAKERYBG">#REF!</definedName>
    <definedName name="BRMKTBPS8CFOBG">#REF!</definedName>
    <definedName name="BRMKTBPS8CHEESEBG">#REF!</definedName>
    <definedName name="BRMKTBPS8CULINARYBG">#REF!</definedName>
    <definedName name="BRMKTBPS8DEOBG">#REF!</definedName>
    <definedName name="BRMKTBPS8FCTFDSBG">#REF!</definedName>
    <definedName name="BRMKTBPS8HAIRBG">#REF!</definedName>
    <definedName name="BRMKTBPS8HOUSEHOLDBG">#REF!</definedName>
    <definedName name="BRMKTBPS8ICECRBG">#REF!</definedName>
    <definedName name="BRMKTBPS8LAUNDRY">#REF!</definedName>
    <definedName name="BRMKTBPS8MODFDSBG">#REF!</definedName>
    <definedName name="BRMKTBPS8OODFBG">#REF!</definedName>
    <definedName name="BRMKTBPS8OPCBG">#REF!</definedName>
    <definedName name="BRMKTBPS8ORALBG">#REF!</definedName>
    <definedName name="BRMKTBPS8OTHBSGBG">#REF!</definedName>
    <definedName name="BRMKTBPS8PWASHBG">#REF!</definedName>
    <definedName name="BRMKTBPS8RTDTEABG">#REF!</definedName>
    <definedName name="BRMKTBPS8SKINBG">#REF!</definedName>
    <definedName name="BRMKTBPS8TEABG">#REF!</definedName>
    <definedName name="BRMKTBPS8YFBG">#REF!</definedName>
    <definedName name="BRMKTBPS9APURABG">#REF!</definedName>
    <definedName name="BRMKTBPS9BAKERYBG">#REF!</definedName>
    <definedName name="BRMKTBPS9CFOBG">#REF!</definedName>
    <definedName name="BRMKTBPS9CHEESEBG">#REF!</definedName>
    <definedName name="BRMKTBPS9CULINARYBG">#REF!</definedName>
    <definedName name="BRMKTBPS9DEOBG">#REF!</definedName>
    <definedName name="BRMKTBPS9FCTFDSBG">#REF!</definedName>
    <definedName name="BRMKTBPS9HAIRBG">#REF!</definedName>
    <definedName name="BRMKTBPS9HOUSEHOLDBG">#REF!</definedName>
    <definedName name="BRMKTBPS9ICECRBG">#REF!</definedName>
    <definedName name="BRMKTBPS9LAUNDRY">#REF!</definedName>
    <definedName name="BRMKTBPS9MODFDSBG">#REF!</definedName>
    <definedName name="BRMKTBPS9OODFBG">#REF!</definedName>
    <definedName name="BRMKTBPS9OPCBG">#REF!</definedName>
    <definedName name="BRMKTBPS9ORALBG">#REF!</definedName>
    <definedName name="BRMKTBPS9OTHBSGBG">#REF!</definedName>
    <definedName name="BRMKTBPS9PWASHBG">#REF!</definedName>
    <definedName name="BRMKTBPS9RTDTEABG">#REF!</definedName>
    <definedName name="BRMKTBPS9SKINBG">#REF!</definedName>
    <definedName name="BRMKTBPS9TEABG">#REF!</definedName>
    <definedName name="BRMKTBPS9YFBG">#REF!</definedName>
    <definedName name="BRMKTSHR10APURABG">#REF!</definedName>
    <definedName name="BRMKTSHR10BAKERYBG">#REF!</definedName>
    <definedName name="BRMKTSHR10CFOBG">#REF!</definedName>
    <definedName name="BRMKTSHR10CHEESEBG">#REF!</definedName>
    <definedName name="BRMKTSHR10CULINARYBG">#REF!</definedName>
    <definedName name="BRMKTSHR10DEOBG">#REF!</definedName>
    <definedName name="BRMKTSHR10FCTFDSBG">#REF!</definedName>
    <definedName name="BRMKTSHR10HAIRBG">#REF!</definedName>
    <definedName name="BRMKTSHR10HOUSEHOLDBG">#REF!</definedName>
    <definedName name="BRMKTSHR10ICECRBG">#REF!</definedName>
    <definedName name="BRMKTSHR10LAUNDRY">#REF!</definedName>
    <definedName name="BRMKTSHR10MODFDSBG">#REF!</definedName>
    <definedName name="BRMKTSHR10OODFBG">#REF!</definedName>
    <definedName name="BRMKTSHR10OPCBG">#REF!</definedName>
    <definedName name="BRMKTSHR10ORALBG">#REF!</definedName>
    <definedName name="BRMKTSHR10OTHBSGBG">#REF!</definedName>
    <definedName name="BRMKTSHR10PWASHBG">#REF!</definedName>
    <definedName name="BRMKTSHR10RTDTEABG">#REF!</definedName>
    <definedName name="BRMKTSHR10SKINBG">#REF!</definedName>
    <definedName name="BRMKTSHR10TEABG">#REF!</definedName>
    <definedName name="BRMKTSHR10YFBG">#REF!</definedName>
    <definedName name="BRMKTSHR11APURABG">#REF!</definedName>
    <definedName name="BRMKTSHR11BAKERYBG">#REF!</definedName>
    <definedName name="BRMKTSHR11CFOBG">#REF!</definedName>
    <definedName name="BRMKTSHR11CHEESEBG">#REF!</definedName>
    <definedName name="BRMKTSHR11CULINARYBG">#REF!</definedName>
    <definedName name="BRMKTSHR11DEOBG">#REF!</definedName>
    <definedName name="BRMKTSHR11FCTFDSBG">#REF!</definedName>
    <definedName name="BRMKTSHR11HAIRBG">#REF!</definedName>
    <definedName name="BRMKTSHR11HOUSEHOLDBG">#REF!</definedName>
    <definedName name="BRMKTSHR11ICECRBG">#REF!</definedName>
    <definedName name="BRMKTSHR11LAUNDRY">#REF!</definedName>
    <definedName name="BRMKTSHR11MODFDSBG">#REF!</definedName>
    <definedName name="BRMKTSHR11OODFBG">#REF!</definedName>
    <definedName name="BRMKTSHR11OPCBG">#REF!</definedName>
    <definedName name="BRMKTSHR11ORALBG">#REF!</definedName>
    <definedName name="BRMKTSHR11OTHBSGBG">#REF!</definedName>
    <definedName name="BRMKTSHR11PWASHBG">#REF!</definedName>
    <definedName name="BRMKTSHR11RTDTEABG">#REF!</definedName>
    <definedName name="BRMKTSHR11SKINBG">#REF!</definedName>
    <definedName name="BRMKTSHR11TEABG">#REF!</definedName>
    <definedName name="BRMKTSHR11YFBG">#REF!</definedName>
    <definedName name="BRMKTSHR12APURABG">#REF!</definedName>
    <definedName name="BRMKTSHR12BAKERYBG">#REF!</definedName>
    <definedName name="BRMKTSHR12CFOBG">#REF!</definedName>
    <definedName name="BRMKTSHR12CHEESEBG">#REF!</definedName>
    <definedName name="BRMKTSHR12CULINARYBG">#REF!</definedName>
    <definedName name="BRMKTSHR12DEOBG">#REF!</definedName>
    <definedName name="BRMKTSHR12FCTFDSBG">#REF!</definedName>
    <definedName name="BRMKTSHR12HAIRBG">#REF!</definedName>
    <definedName name="BRMKTSHR12HOUSEHOLDBG">#REF!</definedName>
    <definedName name="BRMKTSHR12ICECRBG">#REF!</definedName>
    <definedName name="BRMKTSHR12LAUNDRY">#REF!</definedName>
    <definedName name="BRMKTSHR12MODFDSBG">#REF!</definedName>
    <definedName name="BRMKTSHR12OODFBG">#REF!</definedName>
    <definedName name="BRMKTSHR12OPCBG">#REF!</definedName>
    <definedName name="BRMKTSHR12ORALBG">#REF!</definedName>
    <definedName name="BRMKTSHR12OTHBSGBG">#REF!</definedName>
    <definedName name="BRMKTSHR12PWASHBG">#REF!</definedName>
    <definedName name="BRMKTSHR12RTDTEABG">#REF!</definedName>
    <definedName name="BRMKTSHR12SKINBG">#REF!</definedName>
    <definedName name="BRMKTSHR12TEABG">#REF!</definedName>
    <definedName name="BRMKTSHR12YFBG">#REF!</definedName>
    <definedName name="BRMKTSHR1APURABG">#REF!</definedName>
    <definedName name="BRMKTSHR1BAKERYBG">#REF!</definedName>
    <definedName name="BRMKTSHR1CFOBG">#REF!</definedName>
    <definedName name="BRMKTSHR1CHEESEBG">#REF!</definedName>
    <definedName name="BRMKTSHR1CULINARYBG">#REF!</definedName>
    <definedName name="BRMKTSHR1DEOBG">#REF!</definedName>
    <definedName name="BRMKTSHR1FCTFDSBG">#REF!</definedName>
    <definedName name="BRMKTSHR1HAIRBG">#REF!</definedName>
    <definedName name="BRMKTSHR1HOUSEHOLDBG">#REF!</definedName>
    <definedName name="BRMKTSHR1ICECRBG">#REF!</definedName>
    <definedName name="BRMKTSHR1LAUNDRY">#REF!</definedName>
    <definedName name="BRMKTSHR1MODFDSBG">#REF!</definedName>
    <definedName name="BRMKTSHR1OODFBG">#REF!</definedName>
    <definedName name="BRMKTSHR1OPCBG">#REF!</definedName>
    <definedName name="BRMKTSHR1ORALBG">#REF!</definedName>
    <definedName name="BRMKTSHR1OTHBSGBG">#REF!</definedName>
    <definedName name="BRMKTSHR1PWASHBG">#REF!</definedName>
    <definedName name="BRMKTSHR1RTDTEABG">#REF!</definedName>
    <definedName name="BRMKTSHR1SKINBG">#REF!</definedName>
    <definedName name="BRMKTSHR1TEABG">#REF!</definedName>
    <definedName name="BRMKTSHR1YFBG">#REF!</definedName>
    <definedName name="BRMKTSHR2APURABG">#REF!</definedName>
    <definedName name="BRMKTSHR2BAKERYBG">#REF!</definedName>
    <definedName name="BRMKTSHR2CFOBG">#REF!</definedName>
    <definedName name="BRMKTSHR2CHEESEBG">#REF!</definedName>
    <definedName name="BRMKTSHR2CULINARYBG">#REF!</definedName>
    <definedName name="BRMKTSHR2DEOBG">#REF!</definedName>
    <definedName name="BRMKTSHR2FCTFDSBG">#REF!</definedName>
    <definedName name="BRMKTSHR2HAIRBG">#REF!</definedName>
    <definedName name="BRMKTSHR2HOUSEHOLDBG">#REF!</definedName>
    <definedName name="BRMKTSHR2ICECRBG">#REF!</definedName>
    <definedName name="BRMKTSHR2LAUNDRY">#REF!</definedName>
    <definedName name="BRMKTSHR2MODFDSBG">#REF!</definedName>
    <definedName name="BRMKTSHR2OODFBG">#REF!</definedName>
    <definedName name="BRMKTSHR2OPCBG">#REF!</definedName>
    <definedName name="BRMKTSHR2ORALBG">#REF!</definedName>
    <definedName name="BRMKTSHR2OTHBSGBG">#REF!</definedName>
    <definedName name="BRMKTSHR2PWASHBG">#REF!</definedName>
    <definedName name="BRMKTSHR2RTDTEABG">#REF!</definedName>
    <definedName name="BRMKTSHR2SKINBG">#REF!</definedName>
    <definedName name="BRMKTSHR2TEABG">#REF!</definedName>
    <definedName name="BRMKTSHR2YFBG">#REF!</definedName>
    <definedName name="BRMKTSHR3APURABG">#REF!</definedName>
    <definedName name="BRMKTSHR3BAKERYBG">#REF!</definedName>
    <definedName name="BRMKTSHR3CFOBG">#REF!</definedName>
    <definedName name="BRMKTSHR3CHEESEBG">#REF!</definedName>
    <definedName name="BRMKTSHR3CULINARYBG">#REF!</definedName>
    <definedName name="BRMKTSHR3DEOBG">#REF!</definedName>
    <definedName name="BRMKTSHR3FCTFDSBG">#REF!</definedName>
    <definedName name="BRMKTSHR3HAIRBG">#REF!</definedName>
    <definedName name="BRMKTSHR3HOUSEHOLDBG">#REF!</definedName>
    <definedName name="BRMKTSHR3ICECRBG">#REF!</definedName>
    <definedName name="BRMKTSHR3LAUNDRY">#REF!</definedName>
    <definedName name="BRMKTSHR3MODFDSBG">#REF!</definedName>
    <definedName name="BRMKTSHR3OODFBG">#REF!</definedName>
    <definedName name="BRMKTSHR3OPCBG">#REF!</definedName>
    <definedName name="BRMKTSHR3ORALBG">#REF!</definedName>
    <definedName name="BRMKTSHR3OTHBSGBG">#REF!</definedName>
    <definedName name="BRMKTSHR3PWASHBG">#REF!</definedName>
    <definedName name="BRMKTSHR3RTDTEABG">#REF!</definedName>
    <definedName name="BRMKTSHR3SKINBG">#REF!</definedName>
    <definedName name="BRMKTSHR3TEABG">#REF!</definedName>
    <definedName name="BRMKTSHR3YFBG">#REF!</definedName>
    <definedName name="BRMKTSHR4APURABG">#REF!</definedName>
    <definedName name="BRMKTSHR4BAKERYBG">#REF!</definedName>
    <definedName name="BRMKTSHR4CFOBG">#REF!</definedName>
    <definedName name="BRMKTSHR4CHEESEBG">#REF!</definedName>
    <definedName name="BRMKTSHR4CULINARYBG">#REF!</definedName>
    <definedName name="BRMKTSHR4DEOBG">#REF!</definedName>
    <definedName name="BRMKTSHR4FCTFDSBG">#REF!</definedName>
    <definedName name="BRMKTSHR4HAIRBG">#REF!</definedName>
    <definedName name="BRMKTSHR4HOUSEHOLDBG">#REF!</definedName>
    <definedName name="BRMKTSHR4ICECRBG">#REF!</definedName>
    <definedName name="BRMKTSHR4LAUNDRY">#REF!</definedName>
    <definedName name="BRMKTSHR4MODFDSBG">#REF!</definedName>
    <definedName name="BRMKTSHR4OODFBG">#REF!</definedName>
    <definedName name="BRMKTSHR4OPCBG">#REF!</definedName>
    <definedName name="BRMKTSHR4ORALBG">#REF!</definedName>
    <definedName name="BRMKTSHR4OTHBSGBG">#REF!</definedName>
    <definedName name="BRMKTSHR4PWASHBG">#REF!</definedName>
    <definedName name="BRMKTSHR4RTDTEABG">#REF!</definedName>
    <definedName name="BRMKTSHR4SKINBG">#REF!</definedName>
    <definedName name="BRMKTSHR4TEABG">#REF!</definedName>
    <definedName name="BRMKTSHR4YFBG">#REF!</definedName>
    <definedName name="BRMKTSHR5APURABG">#REF!</definedName>
    <definedName name="BRMKTSHR5BAKERYBG">#REF!</definedName>
    <definedName name="BRMKTSHR5CFOBG">#REF!</definedName>
    <definedName name="BRMKTSHR5CHEESEBG">#REF!</definedName>
    <definedName name="BRMKTSHR5CULINARYBG">#REF!</definedName>
    <definedName name="BRMKTSHR5DEOBG">#REF!</definedName>
    <definedName name="BRMKTSHR5FCTFDSBG">#REF!</definedName>
    <definedName name="BRMKTSHR5HAIRBG">#REF!</definedName>
    <definedName name="BRMKTSHR5HOUSEHOLDBG">#REF!</definedName>
    <definedName name="BRMKTSHR5ICECRBG">#REF!</definedName>
    <definedName name="BRMKTSHR5LAUNDRY">#REF!</definedName>
    <definedName name="BRMKTSHR5MODFDSBG">#REF!</definedName>
    <definedName name="BRMKTSHR5OODFBG">#REF!</definedName>
    <definedName name="BRMKTSHR5OPCBG">#REF!</definedName>
    <definedName name="BRMKTSHR5ORALBG">#REF!</definedName>
    <definedName name="BRMKTSHR5OTHBSGBG">#REF!</definedName>
    <definedName name="BRMKTSHR5PWASHBG">#REF!</definedName>
    <definedName name="BRMKTSHR5RTDTEABG">#REF!</definedName>
    <definedName name="BRMKTSHR5SKINBG">#REF!</definedName>
    <definedName name="BRMKTSHR5TEABG">#REF!</definedName>
    <definedName name="BRMKTSHR5YFBG">#REF!</definedName>
    <definedName name="BRMKTSHR6APURABG">#REF!</definedName>
    <definedName name="BRMKTSHR6BAKERYBG">#REF!</definedName>
    <definedName name="BRMKTSHR6CFOBG">#REF!</definedName>
    <definedName name="BRMKTSHR6CHEESEBG">#REF!</definedName>
    <definedName name="BRMKTSHR6CULINARYBG">#REF!</definedName>
    <definedName name="BRMKTSHR6DEOBG">#REF!</definedName>
    <definedName name="BRMKTSHR6FCTFDSBG">#REF!</definedName>
    <definedName name="BRMKTSHR6HAIRBG">#REF!</definedName>
    <definedName name="BRMKTSHR6HOUSEHOLDBG">#REF!</definedName>
    <definedName name="BRMKTSHR6ICECRBG">#REF!</definedName>
    <definedName name="BRMKTSHR6LAUNDRY">#REF!</definedName>
    <definedName name="BRMKTSHR6MODFDSBG">#REF!</definedName>
    <definedName name="BRMKTSHR6OODFBG">#REF!</definedName>
    <definedName name="BRMKTSHR6OPCBG">#REF!</definedName>
    <definedName name="BRMKTSHR6ORALBG">#REF!</definedName>
    <definedName name="BRMKTSHR6OTHBSGBG">#REF!</definedName>
    <definedName name="BRMKTSHR6PWASHBG">#REF!</definedName>
    <definedName name="BRMKTSHR6RTDTEABG">#REF!</definedName>
    <definedName name="BRMKTSHR6SKINBG">#REF!</definedName>
    <definedName name="BRMKTSHR6TEABG">#REF!</definedName>
    <definedName name="BRMKTSHR6YFBG">#REF!</definedName>
    <definedName name="BRMKTSHR7APURABG">#REF!</definedName>
    <definedName name="BRMKTSHR7BAKERYBG">#REF!</definedName>
    <definedName name="BRMKTSHR7CFOBG">#REF!</definedName>
    <definedName name="BRMKTSHR7CHEESEBG">#REF!</definedName>
    <definedName name="BRMKTSHR7CULINARYBG">#REF!</definedName>
    <definedName name="BRMKTSHR7DEOBG">#REF!</definedName>
    <definedName name="BRMKTSHR7FCTFDSBG">#REF!</definedName>
    <definedName name="BRMKTSHR7HAIRBG">#REF!</definedName>
    <definedName name="BRMKTSHR7HOUSEHOLDBG">#REF!</definedName>
    <definedName name="BRMKTSHR7ICECRBG">#REF!</definedName>
    <definedName name="BRMKTSHR7LAUNDRY">#REF!</definedName>
    <definedName name="BRMKTSHR7MODFDSBG">#REF!</definedName>
    <definedName name="BRMKTSHR7OODFBG">#REF!</definedName>
    <definedName name="BRMKTSHR7OPCBG">#REF!</definedName>
    <definedName name="BRMKTSHR7ORALBG">#REF!</definedName>
    <definedName name="BRMKTSHR7OTHBSGBG">#REF!</definedName>
    <definedName name="BRMKTSHR7PWASHBG">#REF!</definedName>
    <definedName name="BRMKTSHR7RTDTEABG">#REF!</definedName>
    <definedName name="BRMKTSHR7SKINBG">#REF!</definedName>
    <definedName name="BRMKTSHR7TEABG">#REF!</definedName>
    <definedName name="BRMKTSHR7YFBG">#REF!</definedName>
    <definedName name="BRMKTSHR8APURABG">#REF!</definedName>
    <definedName name="BRMKTSHR8BAKERYBG">#REF!</definedName>
    <definedName name="BRMKTSHR8CFOBG">#REF!</definedName>
    <definedName name="BRMKTSHR8CHEESEBG">#REF!</definedName>
    <definedName name="BRMKTSHR8CULINARYBG">#REF!</definedName>
    <definedName name="BRMKTSHR8DEOBG">#REF!</definedName>
    <definedName name="BRMKTSHR8FCTFDSBG">#REF!</definedName>
    <definedName name="BRMKTSHR8HAIRBG">#REF!</definedName>
    <definedName name="BRMKTSHR8HOUSEHOLDBG">#REF!</definedName>
    <definedName name="BRMKTSHR8ICECRBG">#REF!</definedName>
    <definedName name="BRMKTSHR8LAUNDRY">#REF!</definedName>
    <definedName name="BRMKTSHR8MODFDSBG">#REF!</definedName>
    <definedName name="BRMKTSHR8OODFBG">#REF!</definedName>
    <definedName name="BRMKTSHR8OPCBG">#REF!</definedName>
    <definedName name="BRMKTSHR8ORALBG">#REF!</definedName>
    <definedName name="BRMKTSHR8OTHBSGBG">#REF!</definedName>
    <definedName name="BRMKTSHR8PWASHBG">#REF!</definedName>
    <definedName name="BRMKTSHR8RTDTEABG">#REF!</definedName>
    <definedName name="BRMKTSHR8SKINBG">#REF!</definedName>
    <definedName name="BRMKTSHR8TEABG">#REF!</definedName>
    <definedName name="BRMKTSHR8YFBG">#REF!</definedName>
    <definedName name="BRMKTSHR9APURABG">#REF!</definedName>
    <definedName name="BRMKTSHR9BAKERYBG">#REF!</definedName>
    <definedName name="BRMKTSHR9CFOBG">#REF!</definedName>
    <definedName name="BRMKTSHR9CHEESEBG">#REF!</definedName>
    <definedName name="BRMKTSHR9CULINARYBG">#REF!</definedName>
    <definedName name="BRMKTSHR9DEOBG">#REF!</definedName>
    <definedName name="BRMKTSHR9FCTFDSBG">#REF!</definedName>
    <definedName name="BRMKTSHR9HAIRBG">#REF!</definedName>
    <definedName name="BRMKTSHR9HOUSEHOLDBG">#REF!</definedName>
    <definedName name="BRMKTSHR9ICECRBG">#REF!</definedName>
    <definedName name="BRMKTSHR9LAUNDRY">#REF!</definedName>
    <definedName name="BRMKTSHR9MODFDSBG">#REF!</definedName>
    <definedName name="BRMKTSHR9OODFBG">#REF!</definedName>
    <definedName name="BRMKTSHR9OPCBG">#REF!</definedName>
    <definedName name="BRMKTSHR9ORALBG">#REF!</definedName>
    <definedName name="BRMKTSHR9OTHBSGBG">#REF!</definedName>
    <definedName name="BRMKTSHR9PWASHBG">#REF!</definedName>
    <definedName name="BRMKTSHR9RTDTEABG">#REF!</definedName>
    <definedName name="BRMKTSHR9SKINBG">#REF!</definedName>
    <definedName name="BRMKTSHR9TEABG">#REF!</definedName>
    <definedName name="BRMKTSHR9YFBG">#REF!</definedName>
    <definedName name="BRNPS1">#REF!</definedName>
    <definedName name="BRNPS10APURABG">#REF!</definedName>
    <definedName name="BRNPS10BAKERYBG">#REF!</definedName>
    <definedName name="BRNPS10CFOBG">#REF!</definedName>
    <definedName name="BRNPS10CHEESEBG">#REF!</definedName>
    <definedName name="BRNPS10COLCOSBG">#REF!</definedName>
    <definedName name="BRNPS10CULINARYBG">#REF!</definedName>
    <definedName name="BRNPS10DEOBG">#REF!</definedName>
    <definedName name="BRNPS10FCTFDSBG">#REF!</definedName>
    <definedName name="BRNPS10HAIRBG">#REF!</definedName>
    <definedName name="BRNPS10HOUSEHOLDBG">#REF!</definedName>
    <definedName name="BRNPS10ICECRBG">#REF!</definedName>
    <definedName name="BRNPS10LAUNDRY">#REF!</definedName>
    <definedName name="BRNPS10MODFDSBG">#REF!</definedName>
    <definedName name="BRNPS10OODFBG">#REF!</definedName>
    <definedName name="BRNPS10OPCBG">#REF!</definedName>
    <definedName name="BRNPS10ORALBG">#REF!</definedName>
    <definedName name="BRNPS10OTHBSGBG">#REF!</definedName>
    <definedName name="BRNPS10PERFUMBG">#REF!</definedName>
    <definedName name="BRNPS10PWASHBG">#REF!</definedName>
    <definedName name="BRNPS10RTDTEABG">#REF!</definedName>
    <definedName name="BRNPS10SKINBG">#REF!</definedName>
    <definedName name="BRNPS10TEABG">#REF!</definedName>
    <definedName name="BRNPS10YFBG">#REF!</definedName>
    <definedName name="BRNPS11APURABG">#REF!</definedName>
    <definedName name="BRNPS11BAKERYBG">#REF!</definedName>
    <definedName name="BRNPS11CFOBG">#REF!</definedName>
    <definedName name="BRNPS11CHEESEBG">#REF!</definedName>
    <definedName name="BRNPS11COLCOSBG">#REF!</definedName>
    <definedName name="BRNPS11CULINARYBG">#REF!</definedName>
    <definedName name="BRNPS11DEOBG">#REF!</definedName>
    <definedName name="BRNPS11FCTFDSBG">#REF!</definedName>
    <definedName name="BRNPS11HAIRBG">#REF!</definedName>
    <definedName name="BRNPS11HOUSEHOLDBG">#REF!</definedName>
    <definedName name="BRNPS11ICECRBG">#REF!</definedName>
    <definedName name="BRNPS11LAUNDRY">#REF!</definedName>
    <definedName name="BRNPS11MODFDSBG">#REF!</definedName>
    <definedName name="BRNPS11OODFBG">#REF!</definedName>
    <definedName name="BRNPS11OPCBG">#REF!</definedName>
    <definedName name="BRNPS11ORALBG">#REF!</definedName>
    <definedName name="BRNPS11OTHBSGBG">#REF!</definedName>
    <definedName name="BRNPS11PERFUMBG">#REF!</definedName>
    <definedName name="BRNPS11PWASHBG">#REF!</definedName>
    <definedName name="BRNPS11RTDTEABG">#REF!</definedName>
    <definedName name="BRNPS11SKINBG">#REF!</definedName>
    <definedName name="BRNPS11TEABG">#REF!</definedName>
    <definedName name="BRNPS11YFBG">#REF!</definedName>
    <definedName name="BRNPS12APURABG">#REF!</definedName>
    <definedName name="BRNPS12BAKERYBG">#REF!</definedName>
    <definedName name="BRNPS12CFOBG">#REF!</definedName>
    <definedName name="BRNPS12CHEESEBG">#REF!</definedName>
    <definedName name="BRNPS12COLCOSBG">#REF!</definedName>
    <definedName name="BRNPS12CULINARYBG">#REF!</definedName>
    <definedName name="BRNPS12DEOBG">#REF!</definedName>
    <definedName name="BRNPS12FCTFDSBG">#REF!</definedName>
    <definedName name="BRNPS12HAIRBG">#REF!</definedName>
    <definedName name="BRNPS12HOUSEHOLDBG">#REF!</definedName>
    <definedName name="BRNPS12ICECRBG">#REF!</definedName>
    <definedName name="BRNPS12LAUNDRY">#REF!</definedName>
    <definedName name="BRNPS12MODFDSBG">#REF!</definedName>
    <definedName name="BRNPS12OODFBG">#REF!</definedName>
    <definedName name="BRNPS12OPCBG">#REF!</definedName>
    <definedName name="BRNPS12ORALBG">#REF!</definedName>
    <definedName name="BRNPS12OTHBSGBG">#REF!</definedName>
    <definedName name="BRNPS12PERFUMBG">#REF!</definedName>
    <definedName name="BRNPS12PWASHBG">#REF!</definedName>
    <definedName name="BRNPS12RTDTEABG">#REF!</definedName>
    <definedName name="BRNPS12SKINBG">#REF!</definedName>
    <definedName name="BRNPS12TEABG">#REF!</definedName>
    <definedName name="BRNPS12YFBG">#REF!</definedName>
    <definedName name="BRNPS1APURABG">#REF!</definedName>
    <definedName name="BRNPS1BAKERYBG">#REF!</definedName>
    <definedName name="BRNPS1CFOBG">#REF!</definedName>
    <definedName name="BRNPS1CHEESEBG">#REF!</definedName>
    <definedName name="BRNPS1COLCOSBG">#REF!</definedName>
    <definedName name="BRNPS1CULINARYBG">#REF!</definedName>
    <definedName name="BRNPS1DEOBG">#REF!</definedName>
    <definedName name="BRNPS1FCTFDSBG">#REF!</definedName>
    <definedName name="BRNPS1HAIRBG">#REF!</definedName>
    <definedName name="BRNPS1HOUSEHOLDBG">#REF!</definedName>
    <definedName name="BRNPS1ICECRBG">#REF!</definedName>
    <definedName name="BRNPS1LAUNDRY">#REF!</definedName>
    <definedName name="BRNPS1MODFDSBG">#REF!</definedName>
    <definedName name="BRNPS1OODFBG">#REF!</definedName>
    <definedName name="BRNPS1OPCBG">#REF!</definedName>
    <definedName name="BRNPS1ORALBG">#REF!</definedName>
    <definedName name="BRNPS1OTHBSGBG">#REF!</definedName>
    <definedName name="BRNPS1PERFUMBG">#REF!</definedName>
    <definedName name="BRNPS1PWASHBG">#REF!</definedName>
    <definedName name="BRNPS1RTDTEABG">#REF!</definedName>
    <definedName name="BRNPS1SKINBG">#REF!</definedName>
    <definedName name="BRNPS1TEABG">#REF!</definedName>
    <definedName name="BRNPS1YFBG">#REF!</definedName>
    <definedName name="BRNPS2">#REF!</definedName>
    <definedName name="BRNPS2APURABG">#REF!</definedName>
    <definedName name="BRNPS2BAKERYBG">#REF!</definedName>
    <definedName name="BRNPS2CFOBG">#REF!</definedName>
    <definedName name="BRNPS2CHEESEBG">#REF!</definedName>
    <definedName name="BRNPS2COLCOSBG">#REF!</definedName>
    <definedName name="BRNPS2CULINARYBG">#REF!</definedName>
    <definedName name="BRNPS2DEOBG">#REF!</definedName>
    <definedName name="BRNPS2FCTFDSBG">#REF!</definedName>
    <definedName name="BRNPS2HAIRBG">#REF!</definedName>
    <definedName name="BRNPS2HOUSEHOLDBG">#REF!</definedName>
    <definedName name="BRNPS2ICECRBG">#REF!</definedName>
    <definedName name="BRNPS2LAUNDRY">#REF!</definedName>
    <definedName name="BRNPS2MODFDSBG">#REF!</definedName>
    <definedName name="BRNPS2OODFBG">#REF!</definedName>
    <definedName name="BRNPS2OPCBG">#REF!</definedName>
    <definedName name="BRNPS2ORALBG">#REF!</definedName>
    <definedName name="BRNPS2OTHBSGBG">#REF!</definedName>
    <definedName name="BRNPS2PERFUMBG">#REF!</definedName>
    <definedName name="BRNPS2PWASHBG">#REF!</definedName>
    <definedName name="BRNPS2RTDTEABG">#REF!</definedName>
    <definedName name="BRNPS2SKINBG">#REF!</definedName>
    <definedName name="BRNPS2TEABG">#REF!</definedName>
    <definedName name="BRNPS2YFBG">#REF!</definedName>
    <definedName name="BRNPS3APURABG">#REF!</definedName>
    <definedName name="BRNPS3BAKERYBG">#REF!</definedName>
    <definedName name="BRNPS3CFOBG">#REF!</definedName>
    <definedName name="BRNPS3CHEESEBG">#REF!</definedName>
    <definedName name="BRNPS3COLCOSBG">#REF!</definedName>
    <definedName name="BRNPS3CULINARYBG">#REF!</definedName>
    <definedName name="BRNPS3DEOBG">#REF!</definedName>
    <definedName name="BRNPS3FCTFDSBG">#REF!</definedName>
    <definedName name="BRNPS3HAIRBG">#REF!</definedName>
    <definedName name="BRNPS3HOUSEHOLDBG">#REF!</definedName>
    <definedName name="BRNPS3ICECRBG">#REF!</definedName>
    <definedName name="BRNPS3LAUNDRY">#REF!</definedName>
    <definedName name="BRNPS3MODFDSBG">#REF!</definedName>
    <definedName name="BRNPS3OODFBG">#REF!</definedName>
    <definedName name="BRNPS3OPCBG">#REF!</definedName>
    <definedName name="BRNPS3ORALBG">#REF!</definedName>
    <definedName name="BRNPS3OTHBSGBG">#REF!</definedName>
    <definedName name="BRNPS3PERFUMBG">#REF!</definedName>
    <definedName name="BRNPS3PWASHBG">#REF!</definedName>
    <definedName name="BRNPS3RTDTEABG">#REF!</definedName>
    <definedName name="BRNPS3SKINBG">#REF!</definedName>
    <definedName name="BRNPS3TEABG">#REF!</definedName>
    <definedName name="BRNPS3YFBG">#REF!</definedName>
    <definedName name="BRNPS4APURABG">#REF!</definedName>
    <definedName name="BRNPS4BAKERYBG">#REF!</definedName>
    <definedName name="BRNPS4CFOBG">#REF!</definedName>
    <definedName name="BRNPS4CHEESEBG">#REF!</definedName>
    <definedName name="BRNPS4COLCOSBG">#REF!</definedName>
    <definedName name="BRNPS4CULINARYBG">#REF!</definedName>
    <definedName name="BRNPS4DEOBG">#REF!</definedName>
    <definedName name="BRNPS4FCTFDSBG">#REF!</definedName>
    <definedName name="BRNPS4HAIRBG">#REF!</definedName>
    <definedName name="BRNPS4HOUSEHOLDBG">#REF!</definedName>
    <definedName name="BRNPS4ICECRBG">#REF!</definedName>
    <definedName name="BRNPS4LAUNDRY">#REF!</definedName>
    <definedName name="BRNPS4MODFDSBG">#REF!</definedName>
    <definedName name="BRNPS4OODFBG">#REF!</definedName>
    <definedName name="BRNPS4OPCBG">#REF!</definedName>
    <definedName name="BRNPS4ORALBG">#REF!</definedName>
    <definedName name="BRNPS4OTHBSGBG">#REF!</definedName>
    <definedName name="BRNPS4PERFUMBG">#REF!</definedName>
    <definedName name="BRNPS4PWASHBG">#REF!</definedName>
    <definedName name="BRNPS4RTDTEABG">#REF!</definedName>
    <definedName name="BRNPS4SKINBG">#REF!</definedName>
    <definedName name="BRNPS4TEABG">#REF!</definedName>
    <definedName name="BRNPS4YFBG">#REF!</definedName>
    <definedName name="BRNPS5APURABG">#REF!</definedName>
    <definedName name="BRNPS5BAKERYBG">#REF!</definedName>
    <definedName name="BRNPS5CFOBG">#REF!</definedName>
    <definedName name="BRNPS5CHEESEBG">#REF!</definedName>
    <definedName name="BRNPS5COLCOSBG">#REF!</definedName>
    <definedName name="BRNPS5CULINARYBG">#REF!</definedName>
    <definedName name="BRNPS5DEOBG">#REF!</definedName>
    <definedName name="BRNPS5FCTFDSBG">#REF!</definedName>
    <definedName name="BRNPS5HAIRBG">#REF!</definedName>
    <definedName name="BRNPS5HOUSEHOLDBG">#REF!</definedName>
    <definedName name="BRNPS5ICECRBG">#REF!</definedName>
    <definedName name="BRNPS5LAUNDRY">#REF!</definedName>
    <definedName name="BRNPS5MODFDSBG">#REF!</definedName>
    <definedName name="BRNPS5OODFBG">#REF!</definedName>
    <definedName name="BRNPS5OPCBG">#REF!</definedName>
    <definedName name="BRNPS5ORALBG">#REF!</definedName>
    <definedName name="BRNPS5OTHBSGBG">#REF!</definedName>
    <definedName name="BRNPS5PERFUMBG">#REF!</definedName>
    <definedName name="BRNPS5PWASHBG">#REF!</definedName>
    <definedName name="BRNPS5RTDTEABG">#REF!</definedName>
    <definedName name="BRNPS5SKINBG">#REF!</definedName>
    <definedName name="BRNPS5TEABG">#REF!</definedName>
    <definedName name="BRNPS5YFBG">#REF!</definedName>
    <definedName name="BRNPS6APURABG">#REF!</definedName>
    <definedName name="BRNPS6BAKERYBG">#REF!</definedName>
    <definedName name="BRNPS6CFOBG">#REF!</definedName>
    <definedName name="BRNPS6CHEESEBG">#REF!</definedName>
    <definedName name="BRNPS6COLCOSBG">#REF!</definedName>
    <definedName name="BRNPS6CULINARYBG">#REF!</definedName>
    <definedName name="BRNPS6DEOBG">#REF!</definedName>
    <definedName name="BRNPS6FCTFDSBG">#REF!</definedName>
    <definedName name="BRNPS6HAIRBG">#REF!</definedName>
    <definedName name="BRNPS6HOUSEHOLDBG">#REF!</definedName>
    <definedName name="BRNPS6ICECRBG">#REF!</definedName>
    <definedName name="BRNPS6LAUNDRY">#REF!</definedName>
    <definedName name="BRNPS6MODFDSBG">#REF!</definedName>
    <definedName name="BRNPS6OODFBG">#REF!</definedName>
    <definedName name="BRNPS6OPCBG">#REF!</definedName>
    <definedName name="BRNPS6ORALBG">#REF!</definedName>
    <definedName name="BRNPS6OTHBSGBG">#REF!</definedName>
    <definedName name="BRNPS6PERFUMBG">#REF!</definedName>
    <definedName name="BRNPS6PWASHBG">#REF!</definedName>
    <definedName name="BRNPS6RTDTEABG">#REF!</definedName>
    <definedName name="BRNPS6SKINBG">#REF!</definedName>
    <definedName name="BRNPS6TEABG">#REF!</definedName>
    <definedName name="BRNPS6YFBG">#REF!</definedName>
    <definedName name="BRNPS7APURABG">#REF!</definedName>
    <definedName name="BRNPS7BAKERYBG">#REF!</definedName>
    <definedName name="BRNPS7CFOBG">#REF!</definedName>
    <definedName name="BRNPS7CHEESEBG">#REF!</definedName>
    <definedName name="BRNPS7COLCOSBG">#REF!</definedName>
    <definedName name="BRNPS7CULINARYBG">#REF!</definedName>
    <definedName name="BRNPS7DEOBG">#REF!</definedName>
    <definedName name="BRNPS7FCTFDSBG">#REF!</definedName>
    <definedName name="BRNPS7HAIRBG">#REF!</definedName>
    <definedName name="BRNPS7HOUSEHOLDBG">#REF!</definedName>
    <definedName name="BRNPS7ICECRBG">#REF!</definedName>
    <definedName name="BRNPS7LAUNDRY">#REF!</definedName>
    <definedName name="BRNPS7MODFDSBG">#REF!</definedName>
    <definedName name="BRNPS7OODFBG">#REF!</definedName>
    <definedName name="BRNPS7OPCBG">#REF!</definedName>
    <definedName name="BRNPS7ORALBG">#REF!</definedName>
    <definedName name="BRNPS7OTHBSGBG">#REF!</definedName>
    <definedName name="BRNPS7PERFUMBG">#REF!</definedName>
    <definedName name="BRNPS7PWASHBG">#REF!</definedName>
    <definedName name="BRNPS7RTDTEABG">#REF!</definedName>
    <definedName name="BRNPS7SKINBG">#REF!</definedName>
    <definedName name="BRNPS7TEABG">#REF!</definedName>
    <definedName name="BRNPS7YFBG">#REF!</definedName>
    <definedName name="BRNPS8APURABG">#REF!</definedName>
    <definedName name="BRNPS8BAKERYBG">#REF!</definedName>
    <definedName name="BRNPS8CFOBG">#REF!</definedName>
    <definedName name="BRNPS8CHEESEBG">#REF!</definedName>
    <definedName name="BRNPS8COLCOSBG">#REF!</definedName>
    <definedName name="BRNPS8CULINARYBG">#REF!</definedName>
    <definedName name="BRNPS8DEOBG">#REF!</definedName>
    <definedName name="BRNPS8FCTFDSBG">#REF!</definedName>
    <definedName name="BRNPS8HAIRBG">#REF!</definedName>
    <definedName name="BRNPS8HOUSEHOLDBG">#REF!</definedName>
    <definedName name="BRNPS8ICECRBG">#REF!</definedName>
    <definedName name="BRNPS8LAUNDRY">#REF!</definedName>
    <definedName name="BRNPS8MODFDSBG">#REF!</definedName>
    <definedName name="BRNPS8OODFBG">#REF!</definedName>
    <definedName name="BRNPS8OPCBG">#REF!</definedName>
    <definedName name="BRNPS8ORALBG">#REF!</definedName>
    <definedName name="BRNPS8OTHBSGBG">#REF!</definedName>
    <definedName name="BRNPS8PERFUMBG">#REF!</definedName>
    <definedName name="BRNPS8PWASHBG">#REF!</definedName>
    <definedName name="BRNPS8RTDTEABG">#REF!</definedName>
    <definedName name="BRNPS8SKINBG">#REF!</definedName>
    <definedName name="BRNPS8TEABG">#REF!</definedName>
    <definedName name="BRNPS8YFBG">#REF!</definedName>
    <definedName name="BRNPS9APURABG">#REF!</definedName>
    <definedName name="BRNPS9BAKERYBG">#REF!</definedName>
    <definedName name="BRNPS9CFOBG">#REF!</definedName>
    <definedName name="BRNPS9CHEESEBG">#REF!</definedName>
    <definedName name="BRNPS9COLCOSBG">#REF!</definedName>
    <definedName name="BRNPS9CULINARYBG">#REF!</definedName>
    <definedName name="BRNPS9DEOBG">#REF!</definedName>
    <definedName name="BRNPS9FCTFDSBG">#REF!</definedName>
    <definedName name="BRNPS9HAIRBG">#REF!</definedName>
    <definedName name="BRNPS9HOUSEHOLDBG">#REF!</definedName>
    <definedName name="BRNPS9ICECRBG">#REF!</definedName>
    <definedName name="BRNPS9LAUNDRY">#REF!</definedName>
    <definedName name="BRNPS9MODFDSBG">#REF!</definedName>
    <definedName name="BRNPS9OODFBG">#REF!</definedName>
    <definedName name="BRNPS9OPCBG">#REF!</definedName>
    <definedName name="BRNPS9ORALBG">#REF!</definedName>
    <definedName name="BRNPS9OTHBSGBG">#REF!</definedName>
    <definedName name="BRNPS9PERFUMBG">#REF!</definedName>
    <definedName name="BRNPS9PWASHBG">#REF!</definedName>
    <definedName name="BRNPS9RTDTEABG">#REF!</definedName>
    <definedName name="BRNPS9SKINBG">#REF!</definedName>
    <definedName name="BRNPS9TEABG">#REF!</definedName>
    <definedName name="BRNPS9YFBG">#REF!</definedName>
    <definedName name="BROROLE10APURABG">#REF!</definedName>
    <definedName name="BROROLE10BAKERYBG">#REF!</definedName>
    <definedName name="BROROLE10CFOBG">#REF!</definedName>
    <definedName name="BROROLE10CHEESEBG">#REF!</definedName>
    <definedName name="BROROLE10CULINARYBG">#REF!</definedName>
    <definedName name="BROROLE10DEOBG">#REF!</definedName>
    <definedName name="BROROLE10FCTFDSBG">#REF!</definedName>
    <definedName name="BROROLE10HAIRBG">#REF!</definedName>
    <definedName name="BROROLE10HOUSEHOLDBG">#REF!</definedName>
    <definedName name="BROROLE10ICECRBG">#REF!</definedName>
    <definedName name="BROROLE10LAUNDRY">#REF!</definedName>
    <definedName name="BROROLE10MODFDSBG">#REF!</definedName>
    <definedName name="BROROLE10OODFBG">#REF!</definedName>
    <definedName name="BROROLE10OPCBG">#REF!</definedName>
    <definedName name="BROROLE10ORALBG">#REF!</definedName>
    <definedName name="BROROLE10OTHBSGBG">#REF!</definedName>
    <definedName name="BROROLE10PWASHBG">#REF!</definedName>
    <definedName name="BROROLE10RTDTEABG">#REF!</definedName>
    <definedName name="BROROLE10SKINBG">#REF!</definedName>
    <definedName name="BROROLE10TEABG">#REF!</definedName>
    <definedName name="BROROLE10YFBG">#REF!</definedName>
    <definedName name="BROROLE11APURABG">#REF!</definedName>
    <definedName name="BROROLE11BAKERYBG">#REF!</definedName>
    <definedName name="BROROLE11CFOBG">#REF!</definedName>
    <definedName name="BROROLE11CHEESEBG">#REF!</definedName>
    <definedName name="BROROLE11CULINARYBG">#REF!</definedName>
    <definedName name="BROROLE11DEOBG">#REF!</definedName>
    <definedName name="BROROLE11FCTFDSBG">#REF!</definedName>
    <definedName name="BROROLE11HAIRBG">#REF!</definedName>
    <definedName name="BROROLE11HOUSEHOLDBG">#REF!</definedName>
    <definedName name="BROROLE11ICECRBG">#REF!</definedName>
    <definedName name="BROROLE11LAUNDRY">#REF!</definedName>
    <definedName name="BROROLE11MODFDSBG">#REF!</definedName>
    <definedName name="BROROLE11OODFBG">#REF!</definedName>
    <definedName name="BROROLE11OPCBG">#REF!</definedName>
    <definedName name="BROROLE11ORALBG">#REF!</definedName>
    <definedName name="BROROLE11OTHBSGBG">#REF!</definedName>
    <definedName name="BROROLE11PWASHBG">#REF!</definedName>
    <definedName name="BROROLE11RTDTEABG">#REF!</definedName>
    <definedName name="BROROLE11SKINBG">#REF!</definedName>
    <definedName name="BROROLE11TEABG">#REF!</definedName>
    <definedName name="BROROLE11YFBG">#REF!</definedName>
    <definedName name="BROROLE12APURABG">#REF!</definedName>
    <definedName name="BROROLE12BAKERYBG">#REF!</definedName>
    <definedName name="BROROLE12CFOBG">#REF!</definedName>
    <definedName name="BROROLE12CHEESEBG">#REF!</definedName>
    <definedName name="BROROLE12CULINARYBG">#REF!</definedName>
    <definedName name="BROROLE12DEOBG">#REF!</definedName>
    <definedName name="BROROLE12FCTFDSBG">#REF!</definedName>
    <definedName name="BROROLE12HAIRBG">#REF!</definedName>
    <definedName name="BROROLE12HOUSEHOLDBG">#REF!</definedName>
    <definedName name="BROROLE12ICECRBG">#REF!</definedName>
    <definedName name="BROROLE12LAUNDRY">#REF!</definedName>
    <definedName name="BROROLE12MODFDSBG">#REF!</definedName>
    <definedName name="BROROLE12OODFBG">#REF!</definedName>
    <definedName name="BROROLE12OPCBG">#REF!</definedName>
    <definedName name="BROROLE12ORALBG">#REF!</definedName>
    <definedName name="BROROLE12OTHBSGBG">#REF!</definedName>
    <definedName name="BROROLE12PWASHBG">#REF!</definedName>
    <definedName name="BROROLE12RTDTEABG">#REF!</definedName>
    <definedName name="BROROLE12SKINBG">#REF!</definedName>
    <definedName name="BROROLE12TEABG">#REF!</definedName>
    <definedName name="BROROLE12YFBG">#REF!</definedName>
    <definedName name="BROROLE1APURABG">#REF!</definedName>
    <definedName name="BROROLE1BAKERYBG">#REF!</definedName>
    <definedName name="BROROLE1BRAND1">#REF!</definedName>
    <definedName name="BROROLE1CFOBG">#REF!</definedName>
    <definedName name="BROROLE1CHEESEBG">#REF!</definedName>
    <definedName name="BROROLE1CULINARYBG">#REF!</definedName>
    <definedName name="BROROLE1DEOBG">#REF!</definedName>
    <definedName name="BROROLE1FCTFDSBG">#REF!</definedName>
    <definedName name="BROROLE1HAIRBG">#REF!</definedName>
    <definedName name="BROROLE1HOUSEHOLDBG">#REF!</definedName>
    <definedName name="BROROLE1ICECRBG">#REF!</definedName>
    <definedName name="BROROLE1LAUNDRY">#REF!</definedName>
    <definedName name="BROROLE1MODFDSBG">#REF!</definedName>
    <definedName name="BROROLE1OODFBG">#REF!</definedName>
    <definedName name="BROROLE1OPCBG">#REF!</definedName>
    <definedName name="BROROLE1ORALBG">#REF!</definedName>
    <definedName name="BROROLE1OTHBSGBG">#REF!</definedName>
    <definedName name="BROROLE1PWASHBG">#REF!</definedName>
    <definedName name="BROROLE1RTDTEABG">#REF!</definedName>
    <definedName name="BROROLE1SKINBG">#REF!</definedName>
    <definedName name="BROROLE1TEABG">#REF!</definedName>
    <definedName name="BROROLE1YFBG">#REF!</definedName>
    <definedName name="BROROLE2APURABG">#REF!</definedName>
    <definedName name="BROROLE2BAKERYBG">#REF!</definedName>
    <definedName name="BROROLE2BRAND2">#REF!</definedName>
    <definedName name="BROROLE2CFOBG">#REF!</definedName>
    <definedName name="BROROLE2CHEESEBG">#REF!</definedName>
    <definedName name="BROROLE2CULINARYBG">#REF!</definedName>
    <definedName name="BROROLE2DEOBG">#REF!</definedName>
    <definedName name="BROROLE2FCTFDSBG">#REF!</definedName>
    <definedName name="BROROLE2HAIRBG">#REF!</definedName>
    <definedName name="BROROLE2HOUSEHOLDBG">#REF!</definedName>
    <definedName name="BROROLE2ICECRBG">#REF!</definedName>
    <definedName name="BROROLE2LAUNDRY">#REF!</definedName>
    <definedName name="BROROLE2MODFDSBG">#REF!</definedName>
    <definedName name="BROROLE2OODFBG">#REF!</definedName>
    <definedName name="BROROLE2OPCBG">#REF!</definedName>
    <definedName name="BROROLE2ORALBG">#REF!</definedName>
    <definedName name="BROROLE2OTHBSGBG">#REF!</definedName>
    <definedName name="BROROLE2PWASHBG">#REF!</definedName>
    <definedName name="BROROLE2RTDTEABG">#REF!</definedName>
    <definedName name="BROROLE2SKINBG">#REF!</definedName>
    <definedName name="BROROLE2TEABG">#REF!</definedName>
    <definedName name="BROROLE2YFBG">#REF!</definedName>
    <definedName name="BROROLE3APURABG">#REF!</definedName>
    <definedName name="BROROLE3BAKERYBG">#REF!</definedName>
    <definedName name="BROROLE3CFOBG">#REF!</definedName>
    <definedName name="BROROLE3CHEESEBG">#REF!</definedName>
    <definedName name="BROROLE3CULINARYBG">#REF!</definedName>
    <definedName name="BROROLE3DEOBG">#REF!</definedName>
    <definedName name="BROROLE3FCTFDSBG">#REF!</definedName>
    <definedName name="BROROLE3HAIRBG">#REF!</definedName>
    <definedName name="BROROLE3HOUSEHOLDBG">#REF!</definedName>
    <definedName name="BROROLE3ICECRBG">#REF!</definedName>
    <definedName name="BROROLE3LAUNDRY">#REF!</definedName>
    <definedName name="BROROLE3MODFDSBG">#REF!</definedName>
    <definedName name="BROROLE3OODFBG">#REF!</definedName>
    <definedName name="BROROLE3OPCBG">#REF!</definedName>
    <definedName name="BROROLE3ORALBG">#REF!</definedName>
    <definedName name="BROROLE3OTHBSGBG">#REF!</definedName>
    <definedName name="BROROLE3PWASHBG">#REF!</definedName>
    <definedName name="BROROLE3RTDTEABG">#REF!</definedName>
    <definedName name="BROROLE3SKINBG">#REF!</definedName>
    <definedName name="BROROLE3TEABG">#REF!</definedName>
    <definedName name="BROROLE3YFBG">#REF!</definedName>
    <definedName name="BROROLE4APURABG">#REF!</definedName>
    <definedName name="BROROLE4BAKERYBG">#REF!</definedName>
    <definedName name="BROROLE4CFOBG">#REF!</definedName>
    <definedName name="BROROLE4CHEESEBG">#REF!</definedName>
    <definedName name="BROROLE4CULINARYBG">#REF!</definedName>
    <definedName name="BROROLE4DEOBG">#REF!</definedName>
    <definedName name="BROROLE4FCTFDSBG">#REF!</definedName>
    <definedName name="BROROLE4HAIRBG">#REF!</definedName>
    <definedName name="BROROLE4HOUSEHOLDBG">#REF!</definedName>
    <definedName name="BROROLE4ICECRBG">#REF!</definedName>
    <definedName name="BROROLE4LAUNDRY">#REF!</definedName>
    <definedName name="BROROLE4MODFDSBG">#REF!</definedName>
    <definedName name="BROROLE4OODFBG">#REF!</definedName>
    <definedName name="BROROLE4OPCBG">#REF!</definedName>
    <definedName name="BROROLE4ORALBG">#REF!</definedName>
    <definedName name="BROROLE4OTHBSGBG">#REF!</definedName>
    <definedName name="BROROLE4PWASHBG">#REF!</definedName>
    <definedName name="BROROLE4RTDTEABG">#REF!</definedName>
    <definedName name="BROROLE4SKINBG">#REF!</definedName>
    <definedName name="BROROLE4TEABG">#REF!</definedName>
    <definedName name="BROROLE4YFBG">#REF!</definedName>
    <definedName name="BROROLE5APURABG">#REF!</definedName>
    <definedName name="BROROLE5BAKERYBG">#REF!</definedName>
    <definedName name="BROROLE5CFOBG">#REF!</definedName>
    <definedName name="BROROLE5CHEESEBG">#REF!</definedName>
    <definedName name="BROROLE5CULINARYBG">#REF!</definedName>
    <definedName name="BROROLE5DEOBG">#REF!</definedName>
    <definedName name="BROROLE5FCTFDSBG">#REF!</definedName>
    <definedName name="BROROLE5HAIRBG">#REF!</definedName>
    <definedName name="BROROLE5HOUSEHOLDBG">#REF!</definedName>
    <definedName name="BROROLE5ICECRBG">#REF!</definedName>
    <definedName name="BROROLE5LAUNDRY">#REF!</definedName>
    <definedName name="BROROLE5MODFDSBG">#REF!</definedName>
    <definedName name="BROROLE5OODFBG">#REF!</definedName>
    <definedName name="BROROLE5OPCBG">#REF!</definedName>
    <definedName name="BROROLE5ORALBG">#REF!</definedName>
    <definedName name="BROROLE5OTHBSGBG">#REF!</definedName>
    <definedName name="BROROLE5PWASHBG">#REF!</definedName>
    <definedName name="BROROLE5RTDTEABG">#REF!</definedName>
    <definedName name="BROROLE5SKINBG">#REF!</definedName>
    <definedName name="BROROLE5TEABG">#REF!</definedName>
    <definedName name="BROROLE5YFBG">#REF!</definedName>
    <definedName name="BROROLE6APURABG">#REF!</definedName>
    <definedName name="BROROLE6BAKERYBG">#REF!</definedName>
    <definedName name="BROROLE6CFOBG">#REF!</definedName>
    <definedName name="BROROLE6CHEESEBG">#REF!</definedName>
    <definedName name="BROROLE6CULINARYBG">#REF!</definedName>
    <definedName name="BROROLE6DEOBG">#REF!</definedName>
    <definedName name="BROROLE6FCTFDSBG">#REF!</definedName>
    <definedName name="BROROLE6HAIRBG">#REF!</definedName>
    <definedName name="BROROLE6HOUSEHOLDBG">#REF!</definedName>
    <definedName name="BROROLE6ICECRBG">#REF!</definedName>
    <definedName name="BROROLE6LAUNDRY">#REF!</definedName>
    <definedName name="BROROLE6MODFDSBG">#REF!</definedName>
    <definedName name="BROROLE6OODFBG">#REF!</definedName>
    <definedName name="BROROLE6OPCBG">#REF!</definedName>
    <definedName name="BROROLE6ORALBG">#REF!</definedName>
    <definedName name="BROROLE6OTHBSGBG">#REF!</definedName>
    <definedName name="BROROLE6PWASHBG">#REF!</definedName>
    <definedName name="BROROLE6RTDTEABG">#REF!</definedName>
    <definedName name="BROROLE6SKINBG">#REF!</definedName>
    <definedName name="BROROLE6TEABG">#REF!</definedName>
    <definedName name="BROROLE6YFBG">#REF!</definedName>
    <definedName name="BROROLE7APURABG">#REF!</definedName>
    <definedName name="BROROLE7BAKERYBG">#REF!</definedName>
    <definedName name="BROROLE7CFOBG">#REF!</definedName>
    <definedName name="BROROLE7CHEESEBG">#REF!</definedName>
    <definedName name="BROROLE7CULINARYBG">#REF!</definedName>
    <definedName name="BROROLE7DEOBG">#REF!</definedName>
    <definedName name="BROROLE7FCTFDSBG">#REF!</definedName>
    <definedName name="BROROLE7HAIRBG">#REF!</definedName>
    <definedName name="BROROLE7HOUSEHOLDBG">#REF!</definedName>
    <definedName name="BROROLE7ICECRBG">#REF!</definedName>
    <definedName name="BROROLE7LAUNDRY">#REF!</definedName>
    <definedName name="BROROLE7MODFDSBG">#REF!</definedName>
    <definedName name="BROROLE7OODFBG">#REF!</definedName>
    <definedName name="BROROLE7OPCBG">#REF!</definedName>
    <definedName name="BROROLE7ORALBG">#REF!</definedName>
    <definedName name="BROROLE7OTHBSGBG">#REF!</definedName>
    <definedName name="BROROLE7PWASHBG">#REF!</definedName>
    <definedName name="BROROLE7RTDTEABG">#REF!</definedName>
    <definedName name="BROROLE7SKINBG">#REF!</definedName>
    <definedName name="BROROLE7TEABG">#REF!</definedName>
    <definedName name="BROROLE7YFBG">#REF!</definedName>
    <definedName name="BROROLE8APURABG">#REF!</definedName>
    <definedName name="BROROLE8BAKERYBG">#REF!</definedName>
    <definedName name="BROROLE8CFOBG">#REF!</definedName>
    <definedName name="BROROLE8CHEESEBG">#REF!</definedName>
    <definedName name="BROROLE8CULINARYBG">#REF!</definedName>
    <definedName name="BROROLE8DEOBG">#REF!</definedName>
    <definedName name="BROROLE8FCTFDSBG">#REF!</definedName>
    <definedName name="BROROLE8HAIRBG">#REF!</definedName>
    <definedName name="BROROLE8HOUSEHOLDBG">#REF!</definedName>
    <definedName name="BROROLE8ICECRBG">#REF!</definedName>
    <definedName name="BROROLE8LAUNDRY">#REF!</definedName>
    <definedName name="BROROLE8MODFDSBG">#REF!</definedName>
    <definedName name="BROROLE8OODFBG">#REF!</definedName>
    <definedName name="BROROLE8OPCBG">#REF!</definedName>
    <definedName name="BROROLE8ORALBG">#REF!</definedName>
    <definedName name="BROROLE8OTHBSGBG">#REF!</definedName>
    <definedName name="BROROLE8PWASHBG">#REF!</definedName>
    <definedName name="BROROLE8RTDTEABG">#REF!</definedName>
    <definedName name="BROROLE8SKINBG">#REF!</definedName>
    <definedName name="BROROLE8TEABG">#REF!</definedName>
    <definedName name="BROROLE8YFBG">#REF!</definedName>
    <definedName name="BROROLE9APURABG">#REF!</definedName>
    <definedName name="BROROLE9BAKERYBG">#REF!</definedName>
    <definedName name="BROROLE9CFOBG">#REF!</definedName>
    <definedName name="BROROLE9CHEESEBG">#REF!</definedName>
    <definedName name="BROROLE9CULINARYBG">#REF!</definedName>
    <definedName name="BROROLE9DEOBG">#REF!</definedName>
    <definedName name="BROROLE9FCTFDSBG">#REF!</definedName>
    <definedName name="BROROLE9HAIRBG">#REF!</definedName>
    <definedName name="BROROLE9HOUSEHOLDBG">#REF!</definedName>
    <definedName name="BROROLE9ICECRBG">#REF!</definedName>
    <definedName name="BROROLE9LAUNDRY">#REF!</definedName>
    <definedName name="BROROLE9MODFDSBG">#REF!</definedName>
    <definedName name="BROROLE9OODFBG">#REF!</definedName>
    <definedName name="BROROLE9OPCBG">#REF!</definedName>
    <definedName name="BROROLE9ORALBG">#REF!</definedName>
    <definedName name="BROROLE9OTHBSGBG">#REF!</definedName>
    <definedName name="BROROLE9PWASHBG">#REF!</definedName>
    <definedName name="BROROLE9RTDTEABG">#REF!</definedName>
    <definedName name="BROROLE9SKINBG">#REF!</definedName>
    <definedName name="BROROLE9TEABG">#REF!</definedName>
    <definedName name="BROROLE9YFBG">#REF!</definedName>
    <definedName name="BRREM10APURABG">#REF!</definedName>
    <definedName name="BRREM10BAKERYBG">#REF!</definedName>
    <definedName name="BRREM10CFOBG">#REF!</definedName>
    <definedName name="BRREM10CHEESEBG">#REF!</definedName>
    <definedName name="BRREM10CULINARYBG">#REF!</definedName>
    <definedName name="BRREM10DEOBG">#REF!</definedName>
    <definedName name="BRREM10FCTFDSBG">#REF!</definedName>
    <definedName name="BRREM10HAIRBG">#REF!</definedName>
    <definedName name="BRREM10HOUSEHOLDBG">#REF!</definedName>
    <definedName name="BRREM10ICECRBG">#REF!</definedName>
    <definedName name="BRREM10LAUNDRY">#REF!</definedName>
    <definedName name="BRREM10MODFDSBG">#REF!</definedName>
    <definedName name="BRREM10OODFBG">#REF!</definedName>
    <definedName name="BRREM10OPCBG">#REF!</definedName>
    <definedName name="BRREM10ORALBG">#REF!</definedName>
    <definedName name="BRREM10OTHBSGBG">#REF!</definedName>
    <definedName name="BRREM10PWASHBG">#REF!</definedName>
    <definedName name="BRREM10RTDTEABG">#REF!</definedName>
    <definedName name="BRREM10SKINBG">#REF!</definedName>
    <definedName name="BRREM10TEABG">#REF!</definedName>
    <definedName name="BRREM10YFBG">#REF!</definedName>
    <definedName name="BRREM11APURABG">#REF!</definedName>
    <definedName name="BRREM11BAKERYBG">#REF!</definedName>
    <definedName name="BRREM11CFOBG">#REF!</definedName>
    <definedName name="BRREM11CHEESEBG">#REF!</definedName>
    <definedName name="BRREM11CULINARYBG">#REF!</definedName>
    <definedName name="BRREM11DEOBG">#REF!</definedName>
    <definedName name="BRREM11FCTFDSBG">#REF!</definedName>
    <definedName name="BRREM11HAIRBG">#REF!</definedName>
    <definedName name="BRREM11HOUSEHOLDBG">#REF!</definedName>
    <definedName name="BRREM11ICECRBG">#REF!</definedName>
    <definedName name="BRREM11LAUNDRY">#REF!</definedName>
    <definedName name="BRREM11MODFDSBG">#REF!</definedName>
    <definedName name="BRREM11OODFBG">#REF!</definedName>
    <definedName name="BRREM11OPCBG">#REF!</definedName>
    <definedName name="BRREM11ORALBG">#REF!</definedName>
    <definedName name="BRREM11OTHBSGBG">#REF!</definedName>
    <definedName name="BRREM11PWASHBG">#REF!</definedName>
    <definedName name="BRREM11RTDTEABG">#REF!</definedName>
    <definedName name="BRREM11SKINBG">#REF!</definedName>
    <definedName name="BRREM11TEABG">#REF!</definedName>
    <definedName name="BRREM11YFBG">#REF!</definedName>
    <definedName name="BRREM12APURABG">#REF!</definedName>
    <definedName name="BRREM12BAKERYBG">#REF!</definedName>
    <definedName name="BRREM12CFOBG">#REF!</definedName>
    <definedName name="BRREM12CHEESEBG">#REF!</definedName>
    <definedName name="BRREM12CULINARYBG">#REF!</definedName>
    <definedName name="BRREM12DEOBG">#REF!</definedName>
    <definedName name="BRREM12FCTFDSBG">#REF!</definedName>
    <definedName name="BRREM12HAIRBG">#REF!</definedName>
    <definedName name="BRREM12HOUSEHOLDBG">#REF!</definedName>
    <definedName name="BRREM12ICECRBG">#REF!</definedName>
    <definedName name="BRREM12LAUNDRY">#REF!</definedName>
    <definedName name="BRREM12MODFDSBG">#REF!</definedName>
    <definedName name="BRREM12OODFBG">#REF!</definedName>
    <definedName name="BRREM12OPCBG">#REF!</definedName>
    <definedName name="BRREM12ORALBG">#REF!</definedName>
    <definedName name="BRREM12OTHBSGBG">#REF!</definedName>
    <definedName name="BRREM12PWASHBG">#REF!</definedName>
    <definedName name="BRREM12RTDTEABG">#REF!</definedName>
    <definedName name="BRREM12SKINBG">#REF!</definedName>
    <definedName name="BRREM12TEABG">#REF!</definedName>
    <definedName name="BRREM12YFBG">#REF!</definedName>
    <definedName name="BRREM1APURABG">#REF!</definedName>
    <definedName name="BRREM1BAKERYBG">#REF!</definedName>
    <definedName name="BRREM1BRREVROLE1">#REF!</definedName>
    <definedName name="BRREM1CFOBG">#REF!</definedName>
    <definedName name="BRREM1CHEESEBG">#REF!</definedName>
    <definedName name="BRREM1CULINARYBG">#REF!</definedName>
    <definedName name="BRREM1DEOBG">#REF!</definedName>
    <definedName name="BRREM1FCTFDSBG">#REF!</definedName>
    <definedName name="BRREM1HAIRBG">#REF!</definedName>
    <definedName name="BRREM1HOUSEHOLDBG">#REF!</definedName>
    <definedName name="BRREM1ICECRBG">#REF!</definedName>
    <definedName name="BRREM1LAUNDRY">#REF!</definedName>
    <definedName name="BRREM1MODFDSBG">#REF!</definedName>
    <definedName name="BRREM1OODFBG">#REF!</definedName>
    <definedName name="BRREM1OPCBG">#REF!</definedName>
    <definedName name="BRREM1ORALBG">#REF!</definedName>
    <definedName name="BRREM1OTHBSGBG">#REF!</definedName>
    <definedName name="BRREM1PWASHBG">#REF!</definedName>
    <definedName name="BRREM1RTDTEABG">#REF!</definedName>
    <definedName name="BRREM1SKINBG">#REF!</definedName>
    <definedName name="BRREM1TEABG">#REF!</definedName>
    <definedName name="BRREM1YFBG">#REF!</definedName>
    <definedName name="BRREM2APURABG">#REF!</definedName>
    <definedName name="BRREM2BAKERYBG">#REF!</definedName>
    <definedName name="BRREM2BRREVROLE2">#REF!</definedName>
    <definedName name="BRREM2CFOBG">#REF!</definedName>
    <definedName name="BRREM2CHEESEBG">#REF!</definedName>
    <definedName name="BRREM2CULINARYBG">#REF!</definedName>
    <definedName name="BRREM2DEOBG">#REF!</definedName>
    <definedName name="BRREM2FCTFDSBG">#REF!</definedName>
    <definedName name="BRREM2HAIRBG">#REF!</definedName>
    <definedName name="BRREM2HOUSEHOLDBG">#REF!</definedName>
    <definedName name="BRREM2ICECRBG">#REF!</definedName>
    <definedName name="BRREM2LAUNDRY">#REF!</definedName>
    <definedName name="BRREM2MODFDSBG">#REF!</definedName>
    <definedName name="BRREM2OODFBG">#REF!</definedName>
    <definedName name="BRREM2OPCBG">#REF!</definedName>
    <definedName name="BRREM2ORALBG">#REF!</definedName>
    <definedName name="BRREM2OTHBSGBG">#REF!</definedName>
    <definedName name="BRREM2PWASHBG">#REF!</definedName>
    <definedName name="BRREM2RTDTEABG">#REF!</definedName>
    <definedName name="BRREM2SKINBG">#REF!</definedName>
    <definedName name="BRREM2TEABG">#REF!</definedName>
    <definedName name="BRREM2YFBG">#REF!</definedName>
    <definedName name="BRREM3APURABG">#REF!</definedName>
    <definedName name="BRREM3BAKERYBG">#REF!</definedName>
    <definedName name="BRREM3CFOBG">#REF!</definedName>
    <definedName name="BRREM3CHEESEBG">#REF!</definedName>
    <definedName name="BRREM3CULINARYBG">#REF!</definedName>
    <definedName name="BRREM3DEOBG">#REF!</definedName>
    <definedName name="BRREM3FCTFDSBG">#REF!</definedName>
    <definedName name="BRREM3HAIRBG">#REF!</definedName>
    <definedName name="BRREM3HOUSEHOLDBG">#REF!</definedName>
    <definedName name="BRREM3ICECRBG">#REF!</definedName>
    <definedName name="BRREM3LAUNDRY">#REF!</definedName>
    <definedName name="BRREM3MODFDSBG">#REF!</definedName>
    <definedName name="BRREM3OODFBG">#REF!</definedName>
    <definedName name="BRREM3OPCBG">#REF!</definedName>
    <definedName name="BRREM3ORALBG">#REF!</definedName>
    <definedName name="BRREM3OTHBSGBG">#REF!</definedName>
    <definedName name="BRREM3PWASHBG">#REF!</definedName>
    <definedName name="BRREM3RTDTEABG">#REF!</definedName>
    <definedName name="BRREM3SKINBG">#REF!</definedName>
    <definedName name="BRREM3TEABG">#REF!</definedName>
    <definedName name="BRREM3YFBG">#REF!</definedName>
    <definedName name="BRREM4APURABG">#REF!</definedName>
    <definedName name="BRREM4BAKERYBG">#REF!</definedName>
    <definedName name="BRREM4CFOBG">#REF!</definedName>
    <definedName name="BRREM4CHEESEBG">#REF!</definedName>
    <definedName name="BRREM4CULINARYBG">#REF!</definedName>
    <definedName name="BRREM4DEOBG">#REF!</definedName>
    <definedName name="BRREM4FCTFDSBG">#REF!</definedName>
    <definedName name="BRREM4HAIRBG">#REF!</definedName>
    <definedName name="BRREM4HOUSEHOLDBG">#REF!</definedName>
    <definedName name="BRREM4ICECRBG">#REF!</definedName>
    <definedName name="BRREM4LAUNDRY">#REF!</definedName>
    <definedName name="BRREM4MODFDSBG">#REF!</definedName>
    <definedName name="BRREM4OODFBG">#REF!</definedName>
    <definedName name="BRREM4OPCBG">#REF!</definedName>
    <definedName name="BRREM4ORALBG">#REF!</definedName>
    <definedName name="BRREM4OTHBSGBG">#REF!</definedName>
    <definedName name="BRREM4PWASHBG">#REF!</definedName>
    <definedName name="BRREM4RTDTEABG">#REF!</definedName>
    <definedName name="BRREM4SKINBG">#REF!</definedName>
    <definedName name="BRREM4TEABG">#REF!</definedName>
    <definedName name="BRREM4YFBG">#REF!</definedName>
    <definedName name="BRREM5APURABG">#REF!</definedName>
    <definedName name="BRREM5BAKERYBG">#REF!</definedName>
    <definedName name="BRREM5CFOBG">#REF!</definedName>
    <definedName name="BRREM5CHEESEBG">#REF!</definedName>
    <definedName name="BRREM5CULINARYBG">#REF!</definedName>
    <definedName name="BRREM5DEOBG">#REF!</definedName>
    <definedName name="BRREM5FCTFDSBG">#REF!</definedName>
    <definedName name="BRREM5HAIRBG">#REF!</definedName>
    <definedName name="BRREM5HOUSEHOLDBG">#REF!</definedName>
    <definedName name="BRREM5ICECRBG">#REF!</definedName>
    <definedName name="BRREM5LAUNDRY">#REF!</definedName>
    <definedName name="BRREM5MODFDSBG">#REF!</definedName>
    <definedName name="BRREM5OODFBG">#REF!</definedName>
    <definedName name="BRREM5OPCBG">#REF!</definedName>
    <definedName name="BRREM5ORALBG">#REF!</definedName>
    <definedName name="BRREM5OTHBSGBG">#REF!</definedName>
    <definedName name="BRREM5PWASHBG">#REF!</definedName>
    <definedName name="BRREM5RTDTEABG">#REF!</definedName>
    <definedName name="BRREM5SKINBG">#REF!</definedName>
    <definedName name="BRREM5TEABG">#REF!</definedName>
    <definedName name="BRREM5YFBG">#REF!</definedName>
    <definedName name="BRREM6APURABG">#REF!</definedName>
    <definedName name="BRREM6BAKERYBG">#REF!</definedName>
    <definedName name="BRREM6CFOBG">#REF!</definedName>
    <definedName name="BRREM6CHEESEBG">#REF!</definedName>
    <definedName name="BRREM6CULINARYBG">#REF!</definedName>
    <definedName name="BRREM6DEOBG">#REF!</definedName>
    <definedName name="BRREM6FCTFDSBG">#REF!</definedName>
    <definedName name="BRREM6HAIRBG">#REF!</definedName>
    <definedName name="BRREM6HOUSEHOLDBG">#REF!</definedName>
    <definedName name="BRREM6ICECRBG">#REF!</definedName>
    <definedName name="BRREM6LAUNDRY">#REF!</definedName>
    <definedName name="BRREM6MODFDSBG">#REF!</definedName>
    <definedName name="BRREM6OODFBG">#REF!</definedName>
    <definedName name="BRREM6OPCBG">#REF!</definedName>
    <definedName name="BRREM6ORALBG">#REF!</definedName>
    <definedName name="BRREM6OTHBSGBG">#REF!</definedName>
    <definedName name="BRREM6PWASHBG">#REF!</definedName>
    <definedName name="BRREM6RTDTEABG">#REF!</definedName>
    <definedName name="BRREM6SKINBG">#REF!</definedName>
    <definedName name="BRREM6TEABG">#REF!</definedName>
    <definedName name="BRREM6YFBG">#REF!</definedName>
    <definedName name="BRREM7APURABG">#REF!</definedName>
    <definedName name="BRREM7BAKERYBG">#REF!</definedName>
    <definedName name="BRREM7CFOBG">#REF!</definedName>
    <definedName name="BRREM7CHEESEBG">#REF!</definedName>
    <definedName name="BRREM7CULINARYBG">#REF!</definedName>
    <definedName name="BRREM7DEOBG">#REF!</definedName>
    <definedName name="BRREM7FCTFDSBG">#REF!</definedName>
    <definedName name="BRREM7HAIRBG">#REF!</definedName>
    <definedName name="BRREM7HOUSEHOLDBG">#REF!</definedName>
    <definedName name="BRREM7ICECRBG">#REF!</definedName>
    <definedName name="BRREM7LAUNDRY">#REF!</definedName>
    <definedName name="BRREM7MODFDSBG">#REF!</definedName>
    <definedName name="BRREM7OODFBG">#REF!</definedName>
    <definedName name="BRREM7OPCBG">#REF!</definedName>
    <definedName name="BRREM7ORALBG">#REF!</definedName>
    <definedName name="BRREM7OTHBSGBG">#REF!</definedName>
    <definedName name="BRREM7PWASHBG">#REF!</definedName>
    <definedName name="BRREM7RTDTEABG">#REF!</definedName>
    <definedName name="BRREM7SKINBG">#REF!</definedName>
    <definedName name="BRREM7TEABG">#REF!</definedName>
    <definedName name="BRREM7YFBG">#REF!</definedName>
    <definedName name="BRREM8APURABG">#REF!</definedName>
    <definedName name="BRREM8BAKERYBG">#REF!</definedName>
    <definedName name="BRREM8CFOBG">#REF!</definedName>
    <definedName name="BRREM8CHEESEBG">#REF!</definedName>
    <definedName name="BRREM8CULINARYBG">#REF!</definedName>
    <definedName name="BRREM8DEOBG">#REF!</definedName>
    <definedName name="BRREM8FCTFDSBG">#REF!</definedName>
    <definedName name="BRREM8HAIRBG">#REF!</definedName>
    <definedName name="BRREM8HOUSEHOLDBG">#REF!</definedName>
    <definedName name="BRREM8ICECRBG">#REF!</definedName>
    <definedName name="BRREM8LAUNDRY">#REF!</definedName>
    <definedName name="BRREM8MODFDSBG">#REF!</definedName>
    <definedName name="BRREM8OODFBG">#REF!</definedName>
    <definedName name="BRREM8OPCBG">#REF!</definedName>
    <definedName name="BRREM8ORALBG">#REF!</definedName>
    <definedName name="BRREM8OTHBSGBG">#REF!</definedName>
    <definedName name="BRREM8PWASHBG">#REF!</definedName>
    <definedName name="BRREM8RTDTEABG">#REF!</definedName>
    <definedName name="BRREM8SKINBG">#REF!</definedName>
    <definedName name="BRREM8TEABG">#REF!</definedName>
    <definedName name="BRREM8YFBG">#REF!</definedName>
    <definedName name="BRREM9APURABG">#REF!</definedName>
    <definedName name="BRREM9BAKERYBG">#REF!</definedName>
    <definedName name="BRREM9CFOBG">#REF!</definedName>
    <definedName name="BRREM9CHEESEBG">#REF!</definedName>
    <definedName name="BRREM9CULINARYBG">#REF!</definedName>
    <definedName name="BRREM9DEOBG">#REF!</definedName>
    <definedName name="BRREM9FCTFDSBG">#REF!</definedName>
    <definedName name="BRREM9HAIRBG">#REF!</definedName>
    <definedName name="BRREM9HOUSEHOLDBG">#REF!</definedName>
    <definedName name="BRREM9ICECRBG">#REF!</definedName>
    <definedName name="BRREM9LAUNDRY">#REF!</definedName>
    <definedName name="BRREM9MODFDSBG">#REF!</definedName>
    <definedName name="BRREM9OODFBG">#REF!</definedName>
    <definedName name="BRREM9OPCBG">#REF!</definedName>
    <definedName name="BRREM9ORALBG">#REF!</definedName>
    <definedName name="BRREM9OTHBSGBG">#REF!</definedName>
    <definedName name="BRREM9PWASHBG">#REF!</definedName>
    <definedName name="BRREM9RTDTEABG">#REF!</definedName>
    <definedName name="BRREM9SKINBG">#REF!</definedName>
    <definedName name="BRREM9TEABG">#REF!</definedName>
    <definedName name="BRREM9YFBG">#REF!</definedName>
    <definedName name="BRREVROLE10APURABG">#REF!</definedName>
    <definedName name="BRREVROLE10BAKERYBG">#REF!</definedName>
    <definedName name="BRREVROLE10CFOBG">#REF!</definedName>
    <definedName name="BRREVROLE10CHEESEBG">#REF!</definedName>
    <definedName name="BRREVROLE10COLCOSBG">#REF!</definedName>
    <definedName name="BRREVROLE10CULINARYBG">#REF!</definedName>
    <definedName name="BRREVROLE10DEOBG">#REF!</definedName>
    <definedName name="BRREVROLE10FCTFDSBG">#REF!</definedName>
    <definedName name="BRREVROLE10HAIRBG">#REF!</definedName>
    <definedName name="BRREVROLE10HOUSEHOLDBG">#REF!</definedName>
    <definedName name="BRREVROLE10ICECRBG">#REF!</definedName>
    <definedName name="BRREVROLE10LAUNDRY">#REF!</definedName>
    <definedName name="BRREVROLE10MODFDSBG">#REF!</definedName>
    <definedName name="BRREVROLE10OODFBG">#REF!</definedName>
    <definedName name="BRREVROLE10OPCBG">#REF!</definedName>
    <definedName name="BRREVROLE10ORALBG">#REF!</definedName>
    <definedName name="BRREVROLE10OTHBSGBG">#REF!</definedName>
    <definedName name="BRREVROLE10PERFUMBG">#REF!</definedName>
    <definedName name="BRREVROLE10PWASHBG">#REF!</definedName>
    <definedName name="BRREVROLE10RTDTEABG">#REF!</definedName>
    <definedName name="BRREVROLE10SKINBG">#REF!</definedName>
    <definedName name="BRREVROLE10TEABG">#REF!</definedName>
    <definedName name="BRREVROLE10YFBG">#REF!</definedName>
    <definedName name="BRREVROLE11APURABG">#REF!</definedName>
    <definedName name="BRREVROLE11BAKERYBG">#REF!</definedName>
    <definedName name="BRREVROLE11CFOBG">#REF!</definedName>
    <definedName name="BRREVROLE11CHEESEBG">#REF!</definedName>
    <definedName name="BRREVROLE11COLCOSBG">#REF!</definedName>
    <definedName name="BRREVROLE11CULINARYBG">#REF!</definedName>
    <definedName name="BRREVROLE11DEOBG">#REF!</definedName>
    <definedName name="BRREVROLE11FCTFDSBG">#REF!</definedName>
    <definedName name="BRREVROLE11HAIRBG">#REF!</definedName>
    <definedName name="BRREVROLE11HOUSEHOLDBG">#REF!</definedName>
    <definedName name="BRREVROLE11ICECRBG">#REF!</definedName>
    <definedName name="BRREVROLE11LAUNDRY">#REF!</definedName>
    <definedName name="BRREVROLE11MODFDSBG">#REF!</definedName>
    <definedName name="BRREVROLE11OODFBG">#REF!</definedName>
    <definedName name="BRREVROLE11OPCBG">#REF!</definedName>
    <definedName name="BRREVROLE11ORALBG">#REF!</definedName>
    <definedName name="BRREVROLE11OTHBSGBG">#REF!</definedName>
    <definedName name="BRREVROLE11PERFUMBG">#REF!</definedName>
    <definedName name="BRREVROLE11PWASHBG">#REF!</definedName>
    <definedName name="BRREVROLE11RTDTEABG">#REF!</definedName>
    <definedName name="BRREVROLE11SKINBG">#REF!</definedName>
    <definedName name="BRREVROLE11TEABG">#REF!</definedName>
    <definedName name="BRREVROLE11YFBG">#REF!</definedName>
    <definedName name="BRREVROLE12APURABG">#REF!</definedName>
    <definedName name="BRREVROLE12BAKERYBG">#REF!</definedName>
    <definedName name="BRREVROLE12CFOBG">#REF!</definedName>
    <definedName name="BRREVROLE12CHEESEBG">#REF!</definedName>
    <definedName name="BRREVROLE12COLCOSBG">#REF!</definedName>
    <definedName name="BRREVROLE12CULINARYBG">#REF!</definedName>
    <definedName name="BRREVROLE12DEOBG">#REF!</definedName>
    <definedName name="BRREVROLE12FCTFDSBG">#REF!</definedName>
    <definedName name="BRREVROLE12HAIRBG">#REF!</definedName>
    <definedName name="BRREVROLE12HOUSEHOLDBG">#REF!</definedName>
    <definedName name="BRREVROLE12ICECRBG">#REF!</definedName>
    <definedName name="BRREVROLE12LAUNDRY">#REF!</definedName>
    <definedName name="BRREVROLE12MODFDSBG">#REF!</definedName>
    <definedName name="BRREVROLE12OODFBG">#REF!</definedName>
    <definedName name="BRREVROLE12OPCBG">#REF!</definedName>
    <definedName name="BRREVROLE12ORALBG">#REF!</definedName>
    <definedName name="BRREVROLE12OTHBSGBG">#REF!</definedName>
    <definedName name="BRREVROLE12PERFUMBG">#REF!</definedName>
    <definedName name="BRREVROLE12PWASHBG">#REF!</definedName>
    <definedName name="BRREVROLE12RTDTEABG">#REF!</definedName>
    <definedName name="BRREVROLE12SKINBG">#REF!</definedName>
    <definedName name="BRREVROLE12TEABG">#REF!</definedName>
    <definedName name="BRREVROLE12YFBG">#REF!</definedName>
    <definedName name="BRREVROLE1APURABG">#REF!</definedName>
    <definedName name="BRREVROLE1BAKERYBG">#REF!</definedName>
    <definedName name="BRREVROLE1BROROLE1">#REF!</definedName>
    <definedName name="BRREVROLE1CFOBG">#REF!</definedName>
    <definedName name="BRREVROLE1CHEESEBG">#REF!</definedName>
    <definedName name="BRREVROLE1COLCOSBG">#REF!</definedName>
    <definedName name="BRREVROLE1CULINARYBG">#REF!</definedName>
    <definedName name="BRREVROLE1DEOBG">#REF!</definedName>
    <definedName name="BRREVROLE1FCTFDSBG">#REF!</definedName>
    <definedName name="BRREVROLE1HAIRBG">#REF!</definedName>
    <definedName name="BRREVROLE1HOUSEHOLDBG">#REF!</definedName>
    <definedName name="BRREVROLE1ICECRBG">#REF!</definedName>
    <definedName name="BRREVROLE1LAUNDRY">#REF!</definedName>
    <definedName name="BRREVROLE1MODFDSBG">#REF!</definedName>
    <definedName name="BRREVROLE1OODFBG">#REF!</definedName>
    <definedName name="BRREVROLE1OPCBG">#REF!</definedName>
    <definedName name="BRREVROLE1ORALBG">#REF!</definedName>
    <definedName name="BRREVROLE1OTHBSGBG">#REF!</definedName>
    <definedName name="BRREVROLE1PERFUMBG">#REF!</definedName>
    <definedName name="BRREVROLE1PWASHBG">#REF!</definedName>
    <definedName name="BRREVROLE1RTDTEABG">#REF!</definedName>
    <definedName name="BRREVROLE1SKINBG">#REF!</definedName>
    <definedName name="BRREVROLE1TEABG">#REF!</definedName>
    <definedName name="BRREVROLE1YFBG">#REF!</definedName>
    <definedName name="BRREVROLE2APURABG">#REF!</definedName>
    <definedName name="BRREVROLE2BAKERYBG">#REF!</definedName>
    <definedName name="BRREVROLE2BROROLE2">#REF!</definedName>
    <definedName name="BRREVROLE2CFOBG">#REF!</definedName>
    <definedName name="BRREVROLE2CHEESEBG">#REF!</definedName>
    <definedName name="BRREVROLE2COLCOSBG">#REF!</definedName>
    <definedName name="BRREVROLE2CULINARYBG">#REF!</definedName>
    <definedName name="BRREVROLE2DEOBG">#REF!</definedName>
    <definedName name="BRREVROLE2FCTFDSBG">#REF!</definedName>
    <definedName name="BRREVROLE2HAIRBG">#REF!</definedName>
    <definedName name="BRREVROLE2HOUSEHOLDBG">#REF!</definedName>
    <definedName name="BRREVROLE2ICECRBG">#REF!</definedName>
    <definedName name="BRREVROLE2LAUNDRY">#REF!</definedName>
    <definedName name="BRREVROLE2MODFDSBG">#REF!</definedName>
    <definedName name="BRREVROLE2OODFBG">#REF!</definedName>
    <definedName name="BRREVROLE2OPCBG">#REF!</definedName>
    <definedName name="BRREVROLE2ORALBG">#REF!</definedName>
    <definedName name="BRREVROLE2OTHBSGBG">#REF!</definedName>
    <definedName name="BRREVROLE2PERFUMBG">#REF!</definedName>
    <definedName name="BRREVROLE2PWASHBG">#REF!</definedName>
    <definedName name="BRREVROLE2RTDTEABG">#REF!</definedName>
    <definedName name="BRREVROLE2SKINBG">#REF!</definedName>
    <definedName name="BRREVROLE2TEABG">#REF!</definedName>
    <definedName name="BRREVROLE2YFBG">#REF!</definedName>
    <definedName name="BRREVROLE3APURABG">#REF!</definedName>
    <definedName name="BRREVROLE3BAKERYBG">#REF!</definedName>
    <definedName name="BRREVROLE3CFOBG">#REF!</definedName>
    <definedName name="BRREVROLE3CHEESEBG">#REF!</definedName>
    <definedName name="BRREVROLE3COLCOSBG">#REF!</definedName>
    <definedName name="BRREVROLE3CULINARYBG">#REF!</definedName>
    <definedName name="BRREVROLE3DEOBG">#REF!</definedName>
    <definedName name="BRREVROLE3FCTFDSBG">#REF!</definedName>
    <definedName name="BRREVROLE3HAIRBG">#REF!</definedName>
    <definedName name="BRREVROLE3HOUSEHOLDBG">#REF!</definedName>
    <definedName name="BRREVROLE3ICECRBG">#REF!</definedName>
    <definedName name="BRREVROLE3LAUNDRY">#REF!</definedName>
    <definedName name="BRREVROLE3MODFDSBG">#REF!</definedName>
    <definedName name="BRREVROLE3OODFBG">#REF!</definedName>
    <definedName name="BRREVROLE3OPCBG">#REF!</definedName>
    <definedName name="BRREVROLE3ORALBG">#REF!</definedName>
    <definedName name="BRREVROLE3OTHBSGBG">#REF!</definedName>
    <definedName name="BRREVROLE3PERFUMBG">#REF!</definedName>
    <definedName name="BRREVROLE3PWASHBG">#REF!</definedName>
    <definedName name="BRREVROLE3RTDTEABG">#REF!</definedName>
    <definedName name="BRREVROLE3SKINBG">#REF!</definedName>
    <definedName name="BRREVROLE3TEABG">#REF!</definedName>
    <definedName name="BRREVROLE3YFBG">#REF!</definedName>
    <definedName name="BRREVROLE4APURABG">#REF!</definedName>
    <definedName name="BRREVROLE4BAKERYBG">#REF!</definedName>
    <definedName name="BRREVROLE4CFOBG">#REF!</definedName>
    <definedName name="BRREVROLE4CHEESEBG">#REF!</definedName>
    <definedName name="BRREVROLE4COLCOSBG">#REF!</definedName>
    <definedName name="BRREVROLE4CULINARYBG">#REF!</definedName>
    <definedName name="BRREVROLE4DEOBG">#REF!</definedName>
    <definedName name="BRREVROLE4FCTFDSBG">#REF!</definedName>
    <definedName name="BRREVROLE4HAIRBG">#REF!</definedName>
    <definedName name="BRREVROLE4HOUSEHOLDBG">#REF!</definedName>
    <definedName name="BRREVROLE4ICECRBG">#REF!</definedName>
    <definedName name="BRREVROLE4LAUNDRY">#REF!</definedName>
    <definedName name="BRREVROLE4MODFDSBG">#REF!</definedName>
    <definedName name="BRREVROLE4OODFBG">#REF!</definedName>
    <definedName name="BRREVROLE4OPCBG">#REF!</definedName>
    <definedName name="BRREVROLE4ORALBG">#REF!</definedName>
    <definedName name="BRREVROLE4OTHBSGBG">#REF!</definedName>
    <definedName name="BRREVROLE4PERFUMBG">#REF!</definedName>
    <definedName name="BRREVROLE4PWASHBG">#REF!</definedName>
    <definedName name="BRREVROLE4RTDTEABG">#REF!</definedName>
    <definedName name="BRREVROLE4SKINBG">#REF!</definedName>
    <definedName name="BRREVROLE4TEABG">#REF!</definedName>
    <definedName name="BRREVROLE4YFBG">#REF!</definedName>
    <definedName name="BRREVROLE5APURABG">#REF!</definedName>
    <definedName name="BRREVROLE5BAKERYBG">#REF!</definedName>
    <definedName name="BRREVROLE5CFOBG">#REF!</definedName>
    <definedName name="BRREVROLE5CHEESEBG">#REF!</definedName>
    <definedName name="BRREVROLE5COLCOSBG">#REF!</definedName>
    <definedName name="BRREVROLE5CULINARYBG">#REF!</definedName>
    <definedName name="BRREVROLE5DEOBG">#REF!</definedName>
    <definedName name="BRREVROLE5FCTFDSBG">#REF!</definedName>
    <definedName name="BRREVROLE5HAIRBG">#REF!</definedName>
    <definedName name="BRREVROLE5HOUSEHOLDBG">#REF!</definedName>
    <definedName name="BRREVROLE5ICECRBG">#REF!</definedName>
    <definedName name="BRREVROLE5LAUNDRY">#REF!</definedName>
    <definedName name="BRREVROLE5MODFDSBG">#REF!</definedName>
    <definedName name="BRREVROLE5OODFBG">#REF!</definedName>
    <definedName name="BRREVROLE5OPCBG">#REF!</definedName>
    <definedName name="BRREVROLE5ORALBG">#REF!</definedName>
    <definedName name="BRREVROLE5OTHBSGBG">#REF!</definedName>
    <definedName name="BRREVROLE5PERFUMBG">#REF!</definedName>
    <definedName name="BRREVROLE5PWASHBG">#REF!</definedName>
    <definedName name="BRREVROLE5RTDTEABG">#REF!</definedName>
    <definedName name="BRREVROLE5SKINBG">#REF!</definedName>
    <definedName name="BRREVROLE5TEABG">#REF!</definedName>
    <definedName name="BRREVROLE5YFBG">#REF!</definedName>
    <definedName name="BRREVROLE6APURABG">#REF!</definedName>
    <definedName name="BRREVROLE6BAKERYBG">#REF!</definedName>
    <definedName name="BRREVROLE6CFOBG">#REF!</definedName>
    <definedName name="BRREVROLE6CHEESEBG">#REF!</definedName>
    <definedName name="BRREVROLE6COLCOSBG">#REF!</definedName>
    <definedName name="BRREVROLE6CULINARYBG">#REF!</definedName>
    <definedName name="BRREVROLE6DEOBG">#REF!</definedName>
    <definedName name="BRREVROLE6FCTFDSBG">#REF!</definedName>
    <definedName name="BRREVROLE6HAIRBG">#REF!</definedName>
    <definedName name="BRREVROLE6HOUSEHOLDBG">#REF!</definedName>
    <definedName name="BRREVROLE6ICECRBG">#REF!</definedName>
    <definedName name="BRREVROLE6LAUNDRY">#REF!</definedName>
    <definedName name="BRREVROLE6MODFDSBG">#REF!</definedName>
    <definedName name="BRREVROLE6OODFBG">#REF!</definedName>
    <definedName name="BRREVROLE6OPCBG">#REF!</definedName>
    <definedName name="BRREVROLE6ORALBG">#REF!</definedName>
    <definedName name="BRREVROLE6OTHBSGBG">#REF!</definedName>
    <definedName name="BRREVROLE6PERFUMBG">#REF!</definedName>
    <definedName name="BRREVROLE6PWASHBG">#REF!</definedName>
    <definedName name="BRREVROLE6RTDTEABG">#REF!</definedName>
    <definedName name="BRREVROLE6SKINBG">#REF!</definedName>
    <definedName name="BRREVROLE6TEABG">#REF!</definedName>
    <definedName name="BRREVROLE6YFBG">#REF!</definedName>
    <definedName name="BRREVROLE7APURABG">#REF!</definedName>
    <definedName name="BRREVROLE7BAKERYBG">#REF!</definedName>
    <definedName name="BRREVROLE7CFOBG">#REF!</definedName>
    <definedName name="BRREVROLE7CHEESEBG">#REF!</definedName>
    <definedName name="BRREVROLE7COLCOSBG">#REF!</definedName>
    <definedName name="BRREVROLE7CULINARYBG">#REF!</definedName>
    <definedName name="BRREVROLE7DEOBG">#REF!</definedName>
    <definedName name="BRREVROLE7FCTFDSBG">#REF!</definedName>
    <definedName name="BRREVROLE7HAIRBG">#REF!</definedName>
    <definedName name="BRREVROLE7HOUSEHOLDBG">#REF!</definedName>
    <definedName name="BRREVROLE7ICECRBG">#REF!</definedName>
    <definedName name="BRREVROLE7LAUNDRY">#REF!</definedName>
    <definedName name="BRREVROLE7MODFDSBG">#REF!</definedName>
    <definedName name="BRREVROLE7OODFBG">#REF!</definedName>
    <definedName name="BRREVROLE7OPCBG">#REF!</definedName>
    <definedName name="BRREVROLE7ORALBG">#REF!</definedName>
    <definedName name="BRREVROLE7OTHBSGBG">#REF!</definedName>
    <definedName name="BRREVROLE7PERFUMBG">#REF!</definedName>
    <definedName name="BRREVROLE7PWASHBG">#REF!</definedName>
    <definedName name="BRREVROLE7RTDTEABG">#REF!</definedName>
    <definedName name="BRREVROLE7SKINBG">#REF!</definedName>
    <definedName name="BRREVROLE7TEABG">#REF!</definedName>
    <definedName name="BRREVROLE7YFBG">#REF!</definedName>
    <definedName name="BRREVROLE8APURABG">#REF!</definedName>
    <definedName name="BRREVROLE8BAKERYBG">#REF!</definedName>
    <definedName name="BRREVROLE8CFOBG">#REF!</definedName>
    <definedName name="BRREVROLE8CHEESEBG">#REF!</definedName>
    <definedName name="BRREVROLE8COLCOSBG">#REF!</definedName>
    <definedName name="BRREVROLE8CULINARYBG">#REF!</definedName>
    <definedName name="BRREVROLE8DEOBG">#REF!</definedName>
    <definedName name="BRREVROLE8FCTFDSBG">#REF!</definedName>
    <definedName name="BRREVROLE8HAIRBG">#REF!</definedName>
    <definedName name="BRREVROLE8HOUSEHOLDBG">#REF!</definedName>
    <definedName name="BRREVROLE8ICECRBG">#REF!</definedName>
    <definedName name="BRREVROLE8LAUNDRY">#REF!</definedName>
    <definedName name="BRREVROLE8MODFDSBG">#REF!</definedName>
    <definedName name="BRREVROLE8OODFBG">#REF!</definedName>
    <definedName name="BRREVROLE8OPCBG">#REF!</definedName>
    <definedName name="BRREVROLE8ORALBG">#REF!</definedName>
    <definedName name="BRREVROLE8OTHBSGBG">#REF!</definedName>
    <definedName name="BRREVROLE8PERFUMBG">#REF!</definedName>
    <definedName name="BRREVROLE8PWASHBG">#REF!</definedName>
    <definedName name="BRREVROLE8RTDTEABG">#REF!</definedName>
    <definedName name="BRREVROLE8SKINBG">#REF!</definedName>
    <definedName name="BRREVROLE8TEABG">#REF!</definedName>
    <definedName name="BRREVROLE8YFBG">#REF!</definedName>
    <definedName name="BRREVROLE9APURABG">#REF!</definedName>
    <definedName name="BRREVROLE9BAKERYBG">#REF!</definedName>
    <definedName name="BRREVROLE9CFOBG">#REF!</definedName>
    <definedName name="BRREVROLE9CHEESEBG">#REF!</definedName>
    <definedName name="BRREVROLE9COLCOSBG">#REF!</definedName>
    <definedName name="BRREVROLE9CULINARYBG">#REF!</definedName>
    <definedName name="BRREVROLE9DEOBG">#REF!</definedName>
    <definedName name="BRREVROLE9FCTFDSBG">#REF!</definedName>
    <definedName name="BRREVROLE9HAIRBG">#REF!</definedName>
    <definedName name="BRREVROLE9HOUSEHOLDBG">#REF!</definedName>
    <definedName name="BRREVROLE9ICECRBG">#REF!</definedName>
    <definedName name="BRREVROLE9LAUNDRY">#REF!</definedName>
    <definedName name="BRREVROLE9MODFDSBG">#REF!</definedName>
    <definedName name="BRREVROLE9OODFBG">#REF!</definedName>
    <definedName name="BRREVROLE9OPCBG">#REF!</definedName>
    <definedName name="BRREVROLE9ORALBG">#REF!</definedName>
    <definedName name="BRREVROLE9OTHBSGBG">#REF!</definedName>
    <definedName name="BRREVROLE9PERFUMBG">#REF!</definedName>
    <definedName name="BRREVROLE9PWASHBG">#REF!</definedName>
    <definedName name="BRREVROLE9RTDTEABG">#REF!</definedName>
    <definedName name="BRREVROLE9SKINBG">#REF!</definedName>
    <definedName name="BRREVROLE9TEABG">#REF!</definedName>
    <definedName name="BRREVROLE9YFBG">#REF!</definedName>
    <definedName name="BS">#REF!</definedName>
    <definedName name="c_">#REF!</definedName>
    <definedName name="CAME">#REF!</definedName>
    <definedName name="cap">#REF!</definedName>
    <definedName name="cap0.7">#REF!</definedName>
    <definedName name="CAPAUTHDISP">#REF!</definedName>
    <definedName name="CAPAUTHEXP">#REF!</definedName>
    <definedName name="CAPAUTHLEA">#REF!</definedName>
    <definedName name="CAPAUTHR2">#REF!</definedName>
    <definedName name="Cash">#REF!</definedName>
    <definedName name="cat">#REF!</definedName>
    <definedName name="Categ">#REF!</definedName>
    <definedName name="Category">#REF!</definedName>
    <definedName name="CATOCFActYr">#REF!</definedName>
    <definedName name="CATOCFAPYr">#REF!</definedName>
    <definedName name="CATOCFBACQActYr">#REF!</definedName>
    <definedName name="CATOCFBACQAPYr">#REF!</definedName>
    <definedName name="CATOCFBACQBGSP">#REF!</definedName>
    <definedName name="CATOCFBACQDatYr">#REF!</definedName>
    <definedName name="CATOCFBACQLEYr">#REF!</definedName>
    <definedName name="CATOCFLEYr">#REF!</definedName>
    <definedName name="CB">#REF!</definedName>
    <definedName name="CCdetails">#REF!</definedName>
    <definedName name="CCNK">#REF!</definedName>
    <definedName name="CEE">#REF!</definedName>
    <definedName name="CFACQBGActYr">#REF!</definedName>
    <definedName name="CFACQBGAPYr">#REF!</definedName>
    <definedName name="CFACQBGBGSP">#REF!</definedName>
    <definedName name="CFACQBGDatYr">#REF!</definedName>
    <definedName name="CFACQBGLEYr">#REF!</definedName>
    <definedName name="CFACQCONCActYr">#REF!</definedName>
    <definedName name="CFACQCONCAPYr">#REF!</definedName>
    <definedName name="CFACQCONCBGSP">#REF!</definedName>
    <definedName name="CFACQCONCDatYr">#REF!</definedName>
    <definedName name="CFACQCONCLEYr">#REF!</definedName>
    <definedName name="CFDISPBGActYr">#REF!</definedName>
    <definedName name="CFDISPBGAPYr">#REF!</definedName>
    <definedName name="CFDISPBGBGSP">#REF!</definedName>
    <definedName name="CFDISPBGDatYr">#REF!</definedName>
    <definedName name="CFDISPBGLEYr">#REF!</definedName>
    <definedName name="CFDISPCONCActYr">#REF!</definedName>
    <definedName name="CFDISPCONCAPYr">#REF!</definedName>
    <definedName name="CFDISPCONCBGSP">#REF!</definedName>
    <definedName name="CFDISPCONCDatYr">#REF!</definedName>
    <definedName name="CFDISPCONCLEYr">#REF!</definedName>
    <definedName name="CFFCFActYr">#REF!</definedName>
    <definedName name="CFFCFAPYr">#REF!</definedName>
    <definedName name="CFFCFBGSP">#REF!</definedName>
    <definedName name="CFFCFDatYr">#REF!</definedName>
    <definedName name="CFFCFLEYr">#REF!</definedName>
    <definedName name="CFOBGActYr">#REF!</definedName>
    <definedName name="CFOBGAPYr">#REF!</definedName>
    <definedName name="CFOBGBGSP">#REF!</definedName>
    <definedName name="CFOBGBrand1">#REF!</definedName>
    <definedName name="CFOBGBrand10">#REF!</definedName>
    <definedName name="CFOBGBRAND10ActYr">#REF!</definedName>
    <definedName name="CFOBGBRAND10APYr">#REF!</definedName>
    <definedName name="CFOBGBRAND10DatYr">#REF!</definedName>
    <definedName name="CFOBGBRAND10LEYr">#REF!</definedName>
    <definedName name="CFOBGBRAND10NAME">#REF!</definedName>
    <definedName name="CFOBGBrand11">#REF!</definedName>
    <definedName name="CFOBGBRAND11ActYr">#REF!</definedName>
    <definedName name="CFOBGBRAND11APYr">#REF!</definedName>
    <definedName name="CFOBGBRAND11DatYr">#REF!</definedName>
    <definedName name="CFOBGBRAND11LEYr">#REF!</definedName>
    <definedName name="CFOBGBRAND11NAME">#REF!</definedName>
    <definedName name="CFOBGBrand12">#REF!</definedName>
    <definedName name="CFOBGBRAND12ActYr">#REF!</definedName>
    <definedName name="CFOBGBRAND12APYr">#REF!</definedName>
    <definedName name="CFOBGBRAND12DatYr">#REF!</definedName>
    <definedName name="CFOBGBRAND12LEYr">#REF!</definedName>
    <definedName name="CFOBGBRAND12NAME">#REF!</definedName>
    <definedName name="CFOBGBRAND1ActYr">#REF!</definedName>
    <definedName name="CFOBGBRAND1APYr">#REF!</definedName>
    <definedName name="CFOBGBRAND1DatYr">#REF!</definedName>
    <definedName name="CFOBGBRAND1LEYr">#REF!</definedName>
    <definedName name="CFOBGBRAND1NAME">#REF!</definedName>
    <definedName name="CFOBGBrand2">#REF!</definedName>
    <definedName name="CFOBGBRAND2ActYr">#REF!</definedName>
    <definedName name="CFOBGBRAND2APYr">#REF!</definedName>
    <definedName name="CFOBGBRAND2DatYr">#REF!</definedName>
    <definedName name="CFOBGBRAND2LEYr">#REF!</definedName>
    <definedName name="CFOBGBRAND2NAME">#REF!</definedName>
    <definedName name="CFOBGBrand3">#REF!</definedName>
    <definedName name="CFOBGBRAND3ActYr">#REF!</definedName>
    <definedName name="CFOBGBRAND3APYr">#REF!</definedName>
    <definedName name="CFOBGBRAND3DatYr">#REF!</definedName>
    <definedName name="CFOBGBRAND3LEYr">#REF!</definedName>
    <definedName name="CFOBGBRAND3NAME">#REF!</definedName>
    <definedName name="CFOBGBrand4">#REF!</definedName>
    <definedName name="CFOBGBRAND4ActYr">#REF!</definedName>
    <definedName name="CFOBGBRAND4APYr">#REF!</definedName>
    <definedName name="CFOBGBRAND4DatYr">#REF!</definedName>
    <definedName name="CFOBGBRAND4LEYr">#REF!</definedName>
    <definedName name="CFOBGBRAND4NAME">#REF!</definedName>
    <definedName name="CFOBGBrand5">#REF!</definedName>
    <definedName name="CFOBGBRAND5ActYr">#REF!</definedName>
    <definedName name="CFOBGBRAND5APYr">#REF!</definedName>
    <definedName name="CFOBGBRAND5DatYr">#REF!</definedName>
    <definedName name="CFOBGBRAND5LEYr">#REF!</definedName>
    <definedName name="CFOBGBRAND5NAME">#REF!</definedName>
    <definedName name="CFOBGBrand6">#REF!</definedName>
    <definedName name="CFOBGBRAND6ActYr">#REF!</definedName>
    <definedName name="CFOBGBRAND6APYr">#REF!</definedName>
    <definedName name="CFOBGBRAND6DatYr">#REF!</definedName>
    <definedName name="CFOBGBRAND6LEYr">#REF!</definedName>
    <definedName name="CFOBGBRAND6NAME">#REF!</definedName>
    <definedName name="CFOBGBrand7">#REF!</definedName>
    <definedName name="CFOBGBRAND7ActYr">#REF!</definedName>
    <definedName name="CFOBGBRAND7APYr">#REF!</definedName>
    <definedName name="CFOBGBRAND7DatYr">#REF!</definedName>
    <definedName name="CFOBGBRAND7LEYr">#REF!</definedName>
    <definedName name="CFOBGBRAND7NAME">#REF!</definedName>
    <definedName name="CFOBGBrand8">#REF!</definedName>
    <definedName name="CFOBGBRAND8ActYr">#REF!</definedName>
    <definedName name="CFOBGBRAND8APYr">#REF!</definedName>
    <definedName name="CFOBGBRAND8DatYr">#REF!</definedName>
    <definedName name="CFOBGBRAND8LEYr">#REF!</definedName>
    <definedName name="CFOBGBRAND8NAME">#REF!</definedName>
    <definedName name="CFOBGBrand9">#REF!</definedName>
    <definedName name="CFOBGBRAND9ActYr">#REF!</definedName>
    <definedName name="CFOBGBRAND9APYr">#REF!</definedName>
    <definedName name="CFOBGBRAND9DatYr">#REF!</definedName>
    <definedName name="CFOBGBRAND9LEYr">#REF!</definedName>
    <definedName name="CFOBGBRAND9NAME">#REF!</definedName>
    <definedName name="CFOBGCode">#REF!</definedName>
    <definedName name="CFOBGDatYr">#REF!</definedName>
    <definedName name="CFOBGLEYr">#REF!</definedName>
    <definedName name="CFOCFActYr">#REF!</definedName>
    <definedName name="CFOCFAPYr">#REF!</definedName>
    <definedName name="CFOCFBCONCActYr">#REF!</definedName>
    <definedName name="CFOCFBCONCAPYr">#REF!</definedName>
    <definedName name="CFOCFBCONCBGSP">#REF!</definedName>
    <definedName name="CFOCFBCONCDatYr">#REF!</definedName>
    <definedName name="CFOCFBCONCLEYr">#REF!</definedName>
    <definedName name="CFOCFBGSP">#REF!</definedName>
    <definedName name="CFOCFDatYr">#REF!</definedName>
    <definedName name="CFOCFLEYr">#REF!</definedName>
    <definedName name="CFOTHERActYr">#REF!</definedName>
    <definedName name="CFOTHERAPYr">#REF!</definedName>
    <definedName name="CFOTHERBGSP">#REF!</definedName>
    <definedName name="CFOTHERDatYr">#REF!</definedName>
    <definedName name="CFOTHERLEYr">#REF!</definedName>
    <definedName name="CFPOFSALESActYr">#REF!</definedName>
    <definedName name="CFPOFSALESAPYr">#REF!</definedName>
    <definedName name="CFPOFSALESBGSP">#REF!</definedName>
    <definedName name="CFPOFSALESDatYr">#REF!</definedName>
    <definedName name="CFPOFSALESLEYr">#REF!</definedName>
    <definedName name="CGFCAPEXActYr">#REF!</definedName>
    <definedName name="CGFCAPEXAPYr">#REF!</definedName>
    <definedName name="CGFCAPEXBGSP">#REF!</definedName>
    <definedName name="CGFCAPEXDatYr">#REF!</definedName>
    <definedName name="CGFCAPEXLEYr">#REF!</definedName>
    <definedName name="CHEESEBGActYr">#REF!</definedName>
    <definedName name="CHEESEBGAPYr">#REF!</definedName>
    <definedName name="CHEESEBGBGSP">#REF!</definedName>
    <definedName name="CHEESEBGBrand1">#REF!</definedName>
    <definedName name="CHEESEBGBrand10">#REF!</definedName>
    <definedName name="CHEESEBGBRAND10ActYr">#REF!</definedName>
    <definedName name="CHEESEBGBRAND10APYr">#REF!</definedName>
    <definedName name="CHEESEBGBRAND10DatYr">#REF!</definedName>
    <definedName name="CHEESEBGBRAND10LEYr">#REF!</definedName>
    <definedName name="CHEESEBGBRAND10NAME">#REF!</definedName>
    <definedName name="CHEESEBGBrand11">#REF!</definedName>
    <definedName name="CHEESEBGBRAND11ActYr">#REF!</definedName>
    <definedName name="CHEESEBGBRAND11APYr">#REF!</definedName>
    <definedName name="CHEESEBGBRAND11DatYr">#REF!</definedName>
    <definedName name="CHEESEBGBRAND11LEYr">#REF!</definedName>
    <definedName name="CHEESEBGBRAND11NAME">#REF!</definedName>
    <definedName name="CHEESEBGBrand12">#REF!</definedName>
    <definedName name="CHEESEBGBRAND12ActYr">#REF!</definedName>
    <definedName name="CHEESEBGBRAND12APYr">#REF!</definedName>
    <definedName name="CHEESEBGBRAND12DatYr">#REF!</definedName>
    <definedName name="CHEESEBGBRAND12LEYr">#REF!</definedName>
    <definedName name="CHEESEBGBRAND12NAME">#REF!</definedName>
    <definedName name="CHEESEBGBRAND1ActYr">#REF!</definedName>
    <definedName name="CHEESEBGBRAND1APYr">#REF!</definedName>
    <definedName name="CHEESEBGBRAND1DatYr">#REF!</definedName>
    <definedName name="CHEESEBGBRAND1LEYr">#REF!</definedName>
    <definedName name="CHEESEBGBRAND1NAME">#REF!</definedName>
    <definedName name="CHEESEBGBrand2">#REF!</definedName>
    <definedName name="CHEESEBGBRAND2ActYr">#REF!</definedName>
    <definedName name="CHEESEBGBRAND2APYr">#REF!</definedName>
    <definedName name="CHEESEBGBRAND2DatYr">#REF!</definedName>
    <definedName name="CHEESEBGBRAND2LEYr">#REF!</definedName>
    <definedName name="CHEESEBGBRAND2NAME">#REF!</definedName>
    <definedName name="CHEESEBGBrand3">#REF!</definedName>
    <definedName name="CHEESEBGBRAND3ActYr">#REF!</definedName>
    <definedName name="CHEESEBGBRAND3APYr">#REF!</definedName>
    <definedName name="CHEESEBGBRAND3DatYr">#REF!</definedName>
    <definedName name="CHEESEBGBRAND3LEYr">#REF!</definedName>
    <definedName name="CHEESEBGBRAND3NAME">#REF!</definedName>
    <definedName name="CHEESEBGBrand4">#REF!</definedName>
    <definedName name="CHEESEBGBRAND4ActYr">#REF!</definedName>
    <definedName name="CHEESEBGBRAND4APYr">#REF!</definedName>
    <definedName name="CHEESEBGBRAND4DatYr">#REF!</definedName>
    <definedName name="CHEESEBGBRAND4LEYr">#REF!</definedName>
    <definedName name="CHEESEBGBRAND4NAME">#REF!</definedName>
    <definedName name="CHEESEBGBrand5">#REF!</definedName>
    <definedName name="CHEESEBGBRAND5ActYr">#REF!</definedName>
    <definedName name="CHEESEBGBRAND5APYr">#REF!</definedName>
    <definedName name="CHEESEBGBRAND5DatYr">#REF!</definedName>
    <definedName name="CHEESEBGBRAND5LEYr">#REF!</definedName>
    <definedName name="CHEESEBGBRAND5NAME">#REF!</definedName>
    <definedName name="CHEESEBGBrand6">#REF!</definedName>
    <definedName name="CHEESEBGBRAND6ActYr">#REF!</definedName>
    <definedName name="CHEESEBGBRAND6APYr">#REF!</definedName>
    <definedName name="CHEESEBGBRAND6DatYr">#REF!</definedName>
    <definedName name="CHEESEBGBRAND6LEYr">#REF!</definedName>
    <definedName name="CHEESEBGBRAND6NAME">#REF!</definedName>
    <definedName name="CHEESEBGBrand7">#REF!</definedName>
    <definedName name="CHEESEBGBRAND7ActYr">#REF!</definedName>
    <definedName name="CHEESEBGBRAND7APYr">#REF!</definedName>
    <definedName name="CHEESEBGBRAND7DatYr">#REF!</definedName>
    <definedName name="CHEESEBGBRAND7LEYr">#REF!</definedName>
    <definedName name="CHEESEBGBRAND7NAME">#REF!</definedName>
    <definedName name="CHEESEBGBrand8">#REF!</definedName>
    <definedName name="CHEESEBGBRAND8ActYr">#REF!</definedName>
    <definedName name="CHEESEBGBRAND8APYr">#REF!</definedName>
    <definedName name="CHEESEBGBRAND8DatYr">#REF!</definedName>
    <definedName name="CHEESEBGBRAND8LEYr">#REF!</definedName>
    <definedName name="CHEESEBGBRAND8NAME">#REF!</definedName>
    <definedName name="CHEESEBGBrand9">#REF!</definedName>
    <definedName name="CHEESEBGBRAND9ActYr">#REF!</definedName>
    <definedName name="CHEESEBGBRAND9APYr">#REF!</definedName>
    <definedName name="CHEESEBGBRAND9DatYr">#REF!</definedName>
    <definedName name="CHEESEBGBRAND9LEYr">#REF!</definedName>
    <definedName name="CHEESEBGBRAND9NAME">#REF!</definedName>
    <definedName name="CHEESEBGCode">#REF!</definedName>
    <definedName name="CHEESEBGDatYr">#REF!</definedName>
    <definedName name="CHEESEBGLEYr">#REF!</definedName>
    <definedName name="CHN">#REF!</definedName>
    <definedName name="CL">#REF!</definedName>
    <definedName name="Class">#REF!</definedName>
    <definedName name="Classification">#REF!</definedName>
    <definedName name="clear_cogs">#REF!</definedName>
    <definedName name="CLOSEDFACT">#REF!</definedName>
    <definedName name="CLTMP">#REF!</definedName>
    <definedName name="CLVC">#REF!</definedName>
    <definedName name="COLCOSBGActYr">#REF!</definedName>
    <definedName name="COLCOSBGAPYr">#REF!</definedName>
    <definedName name="COLCOSBGBGSP">#REF!</definedName>
    <definedName name="COLCOSBGBrand1">#REF!</definedName>
    <definedName name="COLCOSBGBrand10">#REF!</definedName>
    <definedName name="COLCOSBGBRAND10ActYr">#REF!</definedName>
    <definedName name="COLCOSBGBRAND10APYr">#REF!</definedName>
    <definedName name="COLCOSBGBRAND10LEYr">#REF!</definedName>
    <definedName name="COLCOSBGBRAND10NAME">#REF!</definedName>
    <definedName name="COLCOSBGBrand11">#REF!</definedName>
    <definedName name="COLCOSBGBRAND11ActYr">#REF!</definedName>
    <definedName name="COLCOSBGBRAND11APYr">#REF!</definedName>
    <definedName name="COLCOSBGBRAND11LEYr">#REF!</definedName>
    <definedName name="COLCOSBGBRAND11NAME">#REF!</definedName>
    <definedName name="COLCOSBGBrand12">#REF!</definedName>
    <definedName name="COLCOSBGBRAND12ActYr">#REF!</definedName>
    <definedName name="COLCOSBGBRAND12APYr">#REF!</definedName>
    <definedName name="COLCOSBGBRAND12LEYr">#REF!</definedName>
    <definedName name="COLCOSBGBRAND12NAME">#REF!</definedName>
    <definedName name="COLCOSBGBRAND1ActYr">#REF!</definedName>
    <definedName name="COLCOSBGBRAND1APYr">#REF!</definedName>
    <definedName name="COLCOSBGBRAND1LEYr">#REF!</definedName>
    <definedName name="COLCOSBGBRAND1NAME">#REF!</definedName>
    <definedName name="COLCOSBGBrand2">#REF!</definedName>
    <definedName name="COLCOSBGBRAND2ActYr">#REF!</definedName>
    <definedName name="COLCOSBGBRAND2APYr">#REF!</definedName>
    <definedName name="COLCOSBGBRAND2LEYr">#REF!</definedName>
    <definedName name="COLCOSBGBRAND2NAME">#REF!</definedName>
    <definedName name="COLCOSBGBrand3">#REF!</definedName>
    <definedName name="COLCOSBGBRAND3ActYr">#REF!</definedName>
    <definedName name="COLCOSBGBRAND3APYr">#REF!</definedName>
    <definedName name="COLCOSBGBRAND3LEYr">#REF!</definedName>
    <definedName name="COLCOSBGBRAND3NAME">#REF!</definedName>
    <definedName name="COLCOSBGBrand4">#REF!</definedName>
    <definedName name="COLCOSBGBRAND4ActYr">#REF!</definedName>
    <definedName name="COLCOSBGBRAND4APYr">#REF!</definedName>
    <definedName name="COLCOSBGBRAND4LEYr">#REF!</definedName>
    <definedName name="COLCOSBGBRAND4NAME">#REF!</definedName>
    <definedName name="COLCOSBGBrand5">#REF!</definedName>
    <definedName name="COLCOSBGBRAND5ActYr">#REF!</definedName>
    <definedName name="COLCOSBGBRAND5APYr">#REF!</definedName>
    <definedName name="COLCOSBGBRAND5LEYr">#REF!</definedName>
    <definedName name="COLCOSBGBRAND5NAME">#REF!</definedName>
    <definedName name="COLCOSBGBrand6">#REF!</definedName>
    <definedName name="COLCOSBGBRAND6ActYr">#REF!</definedName>
    <definedName name="COLCOSBGBRAND6APYr">#REF!</definedName>
    <definedName name="COLCOSBGBRAND6LEYr">#REF!</definedName>
    <definedName name="COLCOSBGBRAND6NAME">#REF!</definedName>
    <definedName name="COLCOSBGBrand7">#REF!</definedName>
    <definedName name="COLCOSBGBRAND7ActYr">#REF!</definedName>
    <definedName name="COLCOSBGBRAND7APYr">#REF!</definedName>
    <definedName name="COLCOSBGBRAND7LEYr">#REF!</definedName>
    <definedName name="COLCOSBGBRAND7NAME">#REF!</definedName>
    <definedName name="COLCOSBGBrand8">#REF!</definedName>
    <definedName name="COLCOSBGBRAND8ActYr">#REF!</definedName>
    <definedName name="COLCOSBGBRAND8APYr">#REF!</definedName>
    <definedName name="COLCOSBGBRAND8LEYr">#REF!</definedName>
    <definedName name="COLCOSBGBRAND8NAME">#REF!</definedName>
    <definedName name="COLCOSBGBrand9">#REF!</definedName>
    <definedName name="COLCOSBGBRAND9ActYr">#REF!</definedName>
    <definedName name="COLCOSBGBRAND9APYr">#REF!</definedName>
    <definedName name="COLCOSBGBRAND9LEYr">#REF!</definedName>
    <definedName name="COLCOSBGBRAND9NAME">#REF!</definedName>
    <definedName name="COLCOSBGCode">#REF!</definedName>
    <definedName name="COLCOSBGDatYr">#REF!</definedName>
    <definedName name="COLCOSBGLEYr">#REF!</definedName>
    <definedName name="comp">#REF!</definedName>
    <definedName name="COMPANY">#REF!</definedName>
    <definedName name="Content">#REF!</definedName>
    <definedName name="Contingency">#REF!</definedName>
    <definedName name="Conv">#REF!</definedName>
    <definedName name="CONVERT">13030000</definedName>
    <definedName name="copy">#REF!</definedName>
    <definedName name="Countries">#REF!</definedName>
    <definedName name="CountriesNo">#REF!</definedName>
    <definedName name="COUNTRY">#REF!</definedName>
    <definedName name="CountryName">#REF!</definedName>
    <definedName name="CountryNo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ucku">#REF!</definedName>
    <definedName name="CULINARYBGActYr">#REF!</definedName>
    <definedName name="CULINARYBGAPYr">#REF!</definedName>
    <definedName name="CULINARYBGBGSP">#REF!</definedName>
    <definedName name="CULINARYBGBrand1">#REF!</definedName>
    <definedName name="CULINARYBGBrand10">#REF!</definedName>
    <definedName name="CULINARYBGBRAND10ActYr">#REF!</definedName>
    <definedName name="CULINARYBGBRAND10APYr">#REF!</definedName>
    <definedName name="CULINARYBGBRAND10DatYr">#REF!</definedName>
    <definedName name="CULINARYBGBRAND10LEYr">#REF!</definedName>
    <definedName name="CULINARYBGBRAND10NAME">#REF!</definedName>
    <definedName name="CULINARYBGBrand11">#REF!</definedName>
    <definedName name="CULINARYBGBRAND11ActYr">#REF!</definedName>
    <definedName name="CULINARYBGBRAND11APYr">#REF!</definedName>
    <definedName name="CULINARYBGBRAND11DatYr">#REF!</definedName>
    <definedName name="CULINARYBGBRAND11LEYr">#REF!</definedName>
    <definedName name="CULINARYBGBRAND11NAME">#REF!</definedName>
    <definedName name="CULINARYBGBrand12">#REF!</definedName>
    <definedName name="CULINARYBGBRAND12ActYr">#REF!</definedName>
    <definedName name="CULINARYBGBRAND12APYr">#REF!</definedName>
    <definedName name="CULINARYBGBRAND12DatYr">#REF!</definedName>
    <definedName name="CULINARYBGBRAND12LEYr">#REF!</definedName>
    <definedName name="CULINARYBGBRAND12NAME">#REF!</definedName>
    <definedName name="CULINARYBGBRAND1ActYr">#REF!</definedName>
    <definedName name="CULINARYBGBRAND1APYr">#REF!</definedName>
    <definedName name="CULINARYBGBRAND1DatYr">#REF!</definedName>
    <definedName name="CULINARYBGBRAND1LEYr">#REF!</definedName>
    <definedName name="CULINARYBGBRAND1NAME">#REF!</definedName>
    <definedName name="CULINARYBGBrand2">#REF!</definedName>
    <definedName name="CULINARYBGBRAND2ActYr">#REF!</definedName>
    <definedName name="CULINARYBGBRAND2APYr">#REF!</definedName>
    <definedName name="CULINARYBGBRAND2DatYr">#REF!</definedName>
    <definedName name="CULINARYBGBRAND2LEYr">#REF!</definedName>
    <definedName name="CULINARYBGBRAND2NAME">#REF!</definedName>
    <definedName name="CULINARYBGBrand3">#REF!</definedName>
    <definedName name="CULINARYBGBRAND3ActYr">#REF!</definedName>
    <definedName name="CULINARYBGBRAND3APYr">#REF!</definedName>
    <definedName name="CULINARYBGBRAND3DatYr">#REF!</definedName>
    <definedName name="CULINARYBGBRAND3LEYr">#REF!</definedName>
    <definedName name="CULINARYBGBRAND3NAME">#REF!</definedName>
    <definedName name="CULINARYBGBrand4">#REF!</definedName>
    <definedName name="CULINARYBGBRAND4ActYr">#REF!</definedName>
    <definedName name="CULINARYBGBRAND4APYr">#REF!</definedName>
    <definedName name="CULINARYBGBRAND4DatYr">#REF!</definedName>
    <definedName name="CULINARYBGBRAND4LEYr">#REF!</definedName>
    <definedName name="CULINARYBGBRAND4NAME">#REF!</definedName>
    <definedName name="CULINARYBGBrand5">#REF!</definedName>
    <definedName name="CULINARYBGBRAND5ActYr">#REF!</definedName>
    <definedName name="CULINARYBGBRAND5APYr">#REF!</definedName>
    <definedName name="CULINARYBGBRAND5DatYr">#REF!</definedName>
    <definedName name="CULINARYBGBRAND5LEYr">#REF!</definedName>
    <definedName name="CULINARYBGBRAND5NAME">#REF!</definedName>
    <definedName name="CULINARYBGBrand6">#REF!</definedName>
    <definedName name="CULINARYBGBRAND6ActYr">#REF!</definedName>
    <definedName name="CULINARYBGBRAND6APYr">#REF!</definedName>
    <definedName name="CULINARYBGBRAND6DatYr">#REF!</definedName>
    <definedName name="CULINARYBGBRAND6LEYr">#REF!</definedName>
    <definedName name="CULINARYBGBRAND6NAME">#REF!</definedName>
    <definedName name="CULINARYBGBrand7">#REF!</definedName>
    <definedName name="CULINARYBGBRAND7ActYr">#REF!</definedName>
    <definedName name="CULINARYBGBRAND7APYr">#REF!</definedName>
    <definedName name="CULINARYBGBRAND7DatYr">#REF!</definedName>
    <definedName name="CULINARYBGBRAND7LEYr">#REF!</definedName>
    <definedName name="CULINARYBGBRAND7NAME">#REF!</definedName>
    <definedName name="CULINARYBGBrand8">#REF!</definedName>
    <definedName name="CULINARYBGBRAND8ActYr">#REF!</definedName>
    <definedName name="CULINARYBGBRAND8APYr">#REF!</definedName>
    <definedName name="CULINARYBGBRAND8DatYr">#REF!</definedName>
    <definedName name="CULINARYBGBRAND8LEYr">#REF!</definedName>
    <definedName name="CULINARYBGBRAND8NAME">#REF!</definedName>
    <definedName name="CULINARYBGBrand9">#REF!</definedName>
    <definedName name="CULINARYBGBRAND9ActYr">#REF!</definedName>
    <definedName name="CULINARYBGBRAND9APYr">#REF!</definedName>
    <definedName name="CULINARYBGBRAND9DatYr">#REF!</definedName>
    <definedName name="CULINARYBGBRAND9LEYr">#REF!</definedName>
    <definedName name="CULINARYBGBRAND9NAME">#REF!</definedName>
    <definedName name="CULINARYBGCode">#REF!</definedName>
    <definedName name="CULINARYBGDatYr">#REF!</definedName>
    <definedName name="CULINARYBGLEYr">#REF!</definedName>
    <definedName name="Cur_mth">2</definedName>
    <definedName name="Cur_mth_update">2</definedName>
    <definedName name="Cur_mthVA">#REF!</definedName>
    <definedName name="curr">#REF!</definedName>
    <definedName name="CURRENCY">#REF!</definedName>
    <definedName name="Current">#REF!</definedName>
    <definedName name="Current_month">4</definedName>
    <definedName name="d">#REF!</definedName>
    <definedName name="Dat00">#REF!</definedName>
    <definedName name="data">#REF!</definedName>
    <definedName name="data_adj">#REF!</definedName>
    <definedName name="Data_Amount">#REF!</definedName>
    <definedName name="Data_CP">#REF!</definedName>
    <definedName name="DATA_DATA2_List">#REF!</definedName>
    <definedName name="Data_Dis">#REF!</definedName>
    <definedName name="Data_Month">#REF!</definedName>
    <definedName name="Data11">#REF!</definedName>
    <definedName name="Data41">#REF!</definedName>
    <definedName name="_xlnm.Database">#REF!</definedName>
    <definedName name="DatYr">#REF!</definedName>
    <definedName name="DDAY">#REF!</definedName>
    <definedName name="DDC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elivery">#REF!</definedName>
    <definedName name="DEOBGActYr">#REF!</definedName>
    <definedName name="DEOBGAPYr">#REF!</definedName>
    <definedName name="DEOBGBGSP">#REF!</definedName>
    <definedName name="DEOBGBrand1">#REF!</definedName>
    <definedName name="DEOBGBrand10">#REF!</definedName>
    <definedName name="DEOBGBRAND10ActYr">#REF!</definedName>
    <definedName name="DEOBGBRAND10APYr">#REF!</definedName>
    <definedName name="DEOBGBRAND10DatYr">#REF!</definedName>
    <definedName name="DEOBGBRAND10LEYr">#REF!</definedName>
    <definedName name="DEOBGBRAND10NAME">#REF!</definedName>
    <definedName name="DEOBGBrand11">#REF!</definedName>
    <definedName name="DEOBGBRAND11ActYr">#REF!</definedName>
    <definedName name="DEOBGBRAND11APYr">#REF!</definedName>
    <definedName name="DEOBGBRAND11DatYr">#REF!</definedName>
    <definedName name="DEOBGBRAND11LEYr">#REF!</definedName>
    <definedName name="DEOBGBRAND11NAME">#REF!</definedName>
    <definedName name="DEOBGBrand12">#REF!</definedName>
    <definedName name="DEOBGBRAND12ActYr">#REF!</definedName>
    <definedName name="DEOBGBRAND12APYr">#REF!</definedName>
    <definedName name="DEOBGBRAND12DatYr">#REF!</definedName>
    <definedName name="DEOBGBRAND12LEYr">#REF!</definedName>
    <definedName name="DEOBGBRAND12NAME">#REF!</definedName>
    <definedName name="DEOBGBRAND1ActYr">#REF!</definedName>
    <definedName name="DEOBGBRAND1APYr">#REF!</definedName>
    <definedName name="DEOBGBRAND1DatYr">#REF!</definedName>
    <definedName name="DEOBGBRAND1LEYr">#REF!</definedName>
    <definedName name="DEOBGBRAND1NAME">#REF!</definedName>
    <definedName name="DEOBGBrand2">#REF!</definedName>
    <definedName name="DEOBGBRAND2ActYr">#REF!</definedName>
    <definedName name="DEOBGBRAND2APYr">#REF!</definedName>
    <definedName name="DEOBGBRAND2DatYr">#REF!</definedName>
    <definedName name="DEOBGBRAND2LEYr">#REF!</definedName>
    <definedName name="DEOBGBRAND2NAME">#REF!</definedName>
    <definedName name="DEOBGBrand3">#REF!</definedName>
    <definedName name="DEOBGBRAND3ActYr">#REF!</definedName>
    <definedName name="DEOBGBRAND3APYr">#REF!</definedName>
    <definedName name="DEOBGBRAND3DatYr">#REF!</definedName>
    <definedName name="DEOBGBRAND3LEYr">#REF!</definedName>
    <definedName name="DEOBGBRAND3NAME">#REF!</definedName>
    <definedName name="DEOBGBrand4">#REF!</definedName>
    <definedName name="DEOBGBRAND4ActYr">#REF!</definedName>
    <definedName name="DEOBGBRAND4APYr">#REF!</definedName>
    <definedName name="DEOBGBRAND4DatYr">#REF!</definedName>
    <definedName name="DEOBGBRAND4LEYr">#REF!</definedName>
    <definedName name="DEOBGBRAND4NAME">#REF!</definedName>
    <definedName name="DEOBGBrand5">#REF!</definedName>
    <definedName name="DEOBGBRAND5ActYr">#REF!</definedName>
    <definedName name="DEOBGBRAND5APYr">#REF!</definedName>
    <definedName name="DEOBGBRAND5DatYr">#REF!</definedName>
    <definedName name="DEOBGBRAND5LEYr">#REF!</definedName>
    <definedName name="DEOBGBRAND5NAME">#REF!</definedName>
    <definedName name="DEOBGBrand6">#REF!</definedName>
    <definedName name="DEOBGBRAND6ActYr">#REF!</definedName>
    <definedName name="DEOBGBRAND6APYr">#REF!</definedName>
    <definedName name="DEOBGBRAND6DatYr">#REF!</definedName>
    <definedName name="DEOBGBRAND6LEYr">#REF!</definedName>
    <definedName name="DEOBGBRAND6NAME">#REF!</definedName>
    <definedName name="DEOBGBrand7">#REF!</definedName>
    <definedName name="DEOBGBRAND7ActYr">#REF!</definedName>
    <definedName name="DEOBGBRAND7APYr">#REF!</definedName>
    <definedName name="DEOBGBRAND7DatYr">#REF!</definedName>
    <definedName name="DEOBGBRAND7LEYr">#REF!</definedName>
    <definedName name="DEOBGBRAND7NAME">#REF!</definedName>
    <definedName name="DEOBGBrand8">#REF!</definedName>
    <definedName name="DEOBGBRAND8ActYr">#REF!</definedName>
    <definedName name="DEOBGBRAND8APYr">#REF!</definedName>
    <definedName name="DEOBGBRAND8DatYr">#REF!</definedName>
    <definedName name="DEOBGBRAND8LEYr">#REF!</definedName>
    <definedName name="DEOBGBRAND8NAME">#REF!</definedName>
    <definedName name="DEOBGBrand9">#REF!</definedName>
    <definedName name="DEOBGBRAND9ActYr">#REF!</definedName>
    <definedName name="DEOBGBRAND9APYr">#REF!</definedName>
    <definedName name="DEOBGBRAND9DatYr">#REF!</definedName>
    <definedName name="DEOBGBRAND9LEYr">#REF!</definedName>
    <definedName name="DEOBGBRAND9NAME">#REF!</definedName>
    <definedName name="DEOBGCode">#REF!</definedName>
    <definedName name="DEOBGDatYr">#REF!</definedName>
    <definedName name="DEOBGLEYr">#REF!</definedName>
    <definedName name="Dept">#REF!</definedName>
    <definedName name="Desc">#REF!</definedName>
    <definedName name="DISPNPSEXActYr">#REF!</definedName>
    <definedName name="DISPNPSEXAPYr">#REF!</definedName>
    <definedName name="DISPNPSEXBGSP">#REF!</definedName>
    <definedName name="DISPNPSEXDatYr">#REF!</definedName>
    <definedName name="DISPNPSEXLEYr">#REF!</definedName>
    <definedName name="DL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">#REF!</definedName>
    <definedName name="dobt">#REF!</definedName>
    <definedName name="Document_array">{"Book1"}</definedName>
    <definedName name="DocumentYear">#REF!</definedName>
    <definedName name="e">#REF!</definedName>
    <definedName name="EAP">#REF!</definedName>
    <definedName name="egefgfgf">#REF!</definedName>
    <definedName name="End">#REF!</definedName>
    <definedName name="eu">21930000000</definedName>
    <definedName name="Eur">13240</definedName>
    <definedName name="Euro">14340</definedName>
    <definedName name="Euro_ER">17450</definedName>
    <definedName name="Euro_ER_Cat">IF(#REF!=2,17450,1)</definedName>
    <definedName name="Euro_ER_Cat_Q">17450</definedName>
    <definedName name="Euro_ER_TC">IF(#REF!=2,17.45,1)</definedName>
    <definedName name="Euro_ER_VA">IF(#REF!=2,17450,1)</definedName>
    <definedName name="Ex">21930</definedName>
    <definedName name="Ex_K">24660000</definedName>
    <definedName name="ex_rate">#REF!</definedName>
    <definedName name="Exc">#REF!</definedName>
    <definedName name="Exc_Rate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1_1">#REF!</definedName>
    <definedName name="Excel_BuiltIn__FilterDatabase_11_1_1">#REF!</definedName>
    <definedName name="Excel_BuiltIn__FilterDatabase_17_1">"$#REF!.$A$1:$M$286"</definedName>
    <definedName name="Excel_BuiltIn__FilterDatabase_2">#REF!</definedName>
    <definedName name="Excel_BuiltIn__FilterDatabase_24_1">#REF!</definedName>
    <definedName name="Excel_BuiltIn__FilterDatabase_26_1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1_1_1">#REF!</definedName>
    <definedName name="Excel_BuiltIn__FilterDatabase_3_2">#REF!</definedName>
    <definedName name="Excel_BuiltIn__FilterDatabase_4_1">#REF!</definedName>
    <definedName name="Excel_BuiltIn__FilterDatabase_5_1">"$#REF!.$C$3:$G$22"</definedName>
    <definedName name="Excel_BuiltIn__FilterDatabase_5_1_1">"$#REF!.$A$10:$P$32"</definedName>
    <definedName name="Excel_BuiltIn__FilterDatabase_6_1">"$#REF!.$A$3:$G$402"</definedName>
    <definedName name="Excel_BuiltIn_Print_Area_1">#REF!</definedName>
    <definedName name="Excel_BuiltIn_Print_Area_10">#REF!</definedName>
    <definedName name="Excel_BuiltIn_Print_Area_10_1">#REF!</definedName>
    <definedName name="Excel_BuiltIn_Print_Area_14">#REF!</definedName>
    <definedName name="Excel_BuiltIn_Print_Area_19_1">#REF!</definedName>
    <definedName name="Excel_BuiltIn_Print_Area_30">#REF!</definedName>
    <definedName name="Excel_BuiltIn_Print_Titles_9">"$#REF!.$A$1:$IQ$1"</definedName>
    <definedName name="Exchange_rate">19490</definedName>
    <definedName name="exclude">#REF!</definedName>
    <definedName name="EXCRESCO">#REF!</definedName>
    <definedName name="EXCRESSV">#REF!</definedName>
    <definedName name="ExRate">#REF!</definedName>
    <definedName name="ext">21930000</definedName>
    <definedName name="f">#REF!</definedName>
    <definedName name="FA">#REF!</definedName>
    <definedName name="FANov06">#REF!</definedName>
    <definedName name="FBE">#REF!</definedName>
    <definedName name="FCONDActYr">#REF!</definedName>
    <definedName name="FCONDAPYr">#REF!</definedName>
    <definedName name="FCONDBGSP">#REF!</definedName>
    <definedName name="FCONDDatYr">#REF!</definedName>
    <definedName name="FCONDLEYr">#REF!</definedName>
    <definedName name="FCTFDSBGActYr">#REF!</definedName>
    <definedName name="FCTFDSBGAPYr">#REF!</definedName>
    <definedName name="FCTFDSBGBGSP">#REF!</definedName>
    <definedName name="FCTFDSBGBrand1">#REF!</definedName>
    <definedName name="FCTFDSBGBrand10">#REF!</definedName>
    <definedName name="FCTFDSBGBRAND10ActYr">#REF!</definedName>
    <definedName name="FCTFDSBGBRAND10APYr">#REF!</definedName>
    <definedName name="FCTFDSBGBRAND10DatYr">#REF!</definedName>
    <definedName name="FCTFDSBGBRAND10LEYr">#REF!</definedName>
    <definedName name="FCTFDSBGBRAND10NAME">#REF!</definedName>
    <definedName name="FCTFDSBGBrand11">#REF!</definedName>
    <definedName name="FCTFDSBGBRAND11ActYr">#REF!</definedName>
    <definedName name="FCTFDSBGBRAND11APYr">#REF!</definedName>
    <definedName name="FCTFDSBGBRAND11DatYr">#REF!</definedName>
    <definedName name="FCTFDSBGBRAND11LEYr">#REF!</definedName>
    <definedName name="FCTFDSBGBRAND11NAME">#REF!</definedName>
    <definedName name="FCTFDSBGBrand12">#REF!</definedName>
    <definedName name="FCTFDSBGBRAND12ActYr">#REF!</definedName>
    <definedName name="FCTFDSBGBRAND12APYr">#REF!</definedName>
    <definedName name="FCTFDSBGBRAND12DatYr">#REF!</definedName>
    <definedName name="FCTFDSBGBRAND12LEYr">#REF!</definedName>
    <definedName name="FCTFDSBGBRAND12NAME">#REF!</definedName>
    <definedName name="FCTFDSBGBRAND1ActYr">#REF!</definedName>
    <definedName name="FCTFDSBGBRAND1APYr">#REF!</definedName>
    <definedName name="FCTFDSBGBRAND1DatYr">#REF!</definedName>
    <definedName name="FCTFDSBGBRAND1LEYr">#REF!</definedName>
    <definedName name="FCTFDSBGBRAND1NAME">#REF!</definedName>
    <definedName name="FCTFDSBGBrand2">#REF!</definedName>
    <definedName name="FCTFDSBGBRAND2ActYr">#REF!</definedName>
    <definedName name="FCTFDSBGBRAND2APYr">#REF!</definedName>
    <definedName name="FCTFDSBGBRAND2DatYr">#REF!</definedName>
    <definedName name="FCTFDSBGBRAND2LEYr">#REF!</definedName>
    <definedName name="FCTFDSBGBRAND2NAME">#REF!</definedName>
    <definedName name="FCTFDSBGBrand3">#REF!</definedName>
    <definedName name="FCTFDSBGBRAND3ActYr">#REF!</definedName>
    <definedName name="FCTFDSBGBRAND3APYr">#REF!</definedName>
    <definedName name="FCTFDSBGBRAND3DatYr">#REF!</definedName>
    <definedName name="FCTFDSBGBRAND3LEYr">#REF!</definedName>
    <definedName name="FCTFDSBGBRAND3NAME">#REF!</definedName>
    <definedName name="FCTFDSBGBrand4">#REF!</definedName>
    <definedName name="FCTFDSBGBRAND4ActYr">#REF!</definedName>
    <definedName name="FCTFDSBGBRAND4APYr">#REF!</definedName>
    <definedName name="FCTFDSBGBRAND4DatYr">#REF!</definedName>
    <definedName name="FCTFDSBGBRAND4LEYr">#REF!</definedName>
    <definedName name="FCTFDSBGBRAND4NAME">#REF!</definedName>
    <definedName name="FCTFDSBGBrand5">#REF!</definedName>
    <definedName name="FCTFDSBGBRAND5ActYr">#REF!</definedName>
    <definedName name="FCTFDSBGBRAND5APYr">#REF!</definedName>
    <definedName name="FCTFDSBGBRAND5DatYr">#REF!</definedName>
    <definedName name="FCTFDSBGBRAND5LEYr">#REF!</definedName>
    <definedName name="FCTFDSBGBRAND5NAME">#REF!</definedName>
    <definedName name="FCTFDSBGBrand6">#REF!</definedName>
    <definedName name="FCTFDSBGBRAND6ActYr">#REF!</definedName>
    <definedName name="FCTFDSBGBRAND6APYr">#REF!</definedName>
    <definedName name="FCTFDSBGBRAND6DatYr">#REF!</definedName>
    <definedName name="FCTFDSBGBRAND6LEYr">#REF!</definedName>
    <definedName name="FCTFDSBGBRAND6NAME">#REF!</definedName>
    <definedName name="FCTFDSBGBrand7">#REF!</definedName>
    <definedName name="FCTFDSBGBRAND7ActYr">#REF!</definedName>
    <definedName name="FCTFDSBGBRAND7APYr">#REF!</definedName>
    <definedName name="FCTFDSBGBRAND7DatYr">#REF!</definedName>
    <definedName name="FCTFDSBGBRAND7LEYr">#REF!</definedName>
    <definedName name="FCTFDSBGBRAND7NAME">#REF!</definedName>
    <definedName name="FCTFDSBGBrand8">#REF!</definedName>
    <definedName name="FCTFDSBGBRAND8ActYr">#REF!</definedName>
    <definedName name="FCTFDSBGBRAND8APYr">#REF!</definedName>
    <definedName name="FCTFDSBGBRAND8DatYr">#REF!</definedName>
    <definedName name="FCTFDSBGBRAND8LEYr">#REF!</definedName>
    <definedName name="FCTFDSBGBRAND8NAME">#REF!</definedName>
    <definedName name="FCTFDSBGBrand9">#REF!</definedName>
    <definedName name="FCTFDSBGBRAND9ActYr">#REF!</definedName>
    <definedName name="FCTFDSBGBRAND9APYr">#REF!</definedName>
    <definedName name="FCTFDSBGBRAND9DatYr">#REF!</definedName>
    <definedName name="FCTFDSBGBRAND9LEYr">#REF!</definedName>
    <definedName name="FCTFDSBGBRAND9NAME">#REF!</definedName>
    <definedName name="FCTFDSBGCode">#REF!</definedName>
    <definedName name="FCTFDSBGDatYr">#REF!</definedName>
    <definedName name="FCTFDSBGLEYr">#REF!</definedName>
    <definedName name="FD">#REF!</definedName>
    <definedName name="feb">#REF!</definedName>
    <definedName name="FILENAME">#REF!</definedName>
    <definedName name="FNA">#REF!</definedName>
    <definedName name="FOODS2">#REF!+#REF!+#REF!+#REF!+#REF!+#REF!+#REF!+#REF!+#REF!</definedName>
    <definedName name="FP">#REF!</definedName>
    <definedName name="FTEREDOTH">#REF!</definedName>
    <definedName name="FTEREDRES">#REF!</definedName>
    <definedName name="Full">#REF!</definedName>
    <definedName name="ga" hidden="1">{#N/A,#N/A,FALSE,"JV";#N/A,#N/A,FALSE,"Source"}</definedName>
    <definedName name="GBV">#REF!</definedName>
    <definedName name="GCE_OCF">#REF!</definedName>
    <definedName name="GCECATActYr">#REF!</definedName>
    <definedName name="GCECATAPYr">#REF!</definedName>
    <definedName name="GCECATBGSP">#REF!</definedName>
    <definedName name="GCECATDatYr">#REF!</definedName>
    <definedName name="GCECATLEYr">#REF!</definedName>
    <definedName name="GCEFACATActYr">#REF!</definedName>
    <definedName name="GCEFACATAPYr">#REF!</definedName>
    <definedName name="GCEFACATBGSP">#REF!</definedName>
    <definedName name="GCEFACATDatYr">#REF!</definedName>
    <definedName name="GCEFACATLEYr">#REF!</definedName>
    <definedName name="GCEFACRVActYr">#REF!</definedName>
    <definedName name="GCEFACRVAPYr">#REF!</definedName>
    <definedName name="GCEFACRVBGSP">#REF!</definedName>
    <definedName name="GCEFACRVDatYr">#REF!</definedName>
    <definedName name="GCEFACRVLEYr">#REF!</definedName>
    <definedName name="GCEPERCActYr">#REF!</definedName>
    <definedName name="GCEPERCAPYr">#REF!</definedName>
    <definedName name="GCEPERCBGSP">#REF!</definedName>
    <definedName name="GCEPERCDatYr">#REF!</definedName>
    <definedName name="GCEPERCLEYr">#REF!</definedName>
    <definedName name="GCEWCCRDActYr">#REF!</definedName>
    <definedName name="GCEWCCRDAPYr">#REF!</definedName>
    <definedName name="GCEWCCRDBGSP">#REF!</definedName>
    <definedName name="GCEWCCRDDatYr">#REF!</definedName>
    <definedName name="GCEWCCRDLEYr">#REF!</definedName>
    <definedName name="GCEWCDEBActYr">#REF!</definedName>
    <definedName name="GCEWCDEBAPYr">#REF!</definedName>
    <definedName name="GCEWCDEBBGSP">#REF!</definedName>
    <definedName name="GCEWCDEBDatYr">#REF!</definedName>
    <definedName name="GCEWCDEBLEYr">#REF!</definedName>
    <definedName name="GCEWCMEMActYr">#REF!</definedName>
    <definedName name="GCEWCMEMAPYr">#REF!</definedName>
    <definedName name="GCEWCMEMBGSP">#REF!</definedName>
    <definedName name="GCEWCMEMDatYr">#REF!</definedName>
    <definedName name="GCEWCMEMLEYr">#REF!</definedName>
    <definedName name="GCEWCRESActYr">#REF!</definedName>
    <definedName name="GCEWCRESAPYr">#REF!</definedName>
    <definedName name="GCEWCRESBGSP">#REF!</definedName>
    <definedName name="GCEWCRESDatYr">#REF!</definedName>
    <definedName name="GCEWCRESLEYr">#REF!</definedName>
    <definedName name="GCEWCSTKActYr">#REF!</definedName>
    <definedName name="GCEWCSTKAPYr">#REF!</definedName>
    <definedName name="GCEWCSTKBGSP">#REF!</definedName>
    <definedName name="GCEWCSTKDatYr">#REF!</definedName>
    <definedName name="GCEWCSTKLEYr">#REF!</definedName>
    <definedName name="GCEWCTOTActYr">#REF!</definedName>
    <definedName name="GCEWCTOTAPYr">#REF!</definedName>
    <definedName name="GCEWCTOTBGSP">#REF!</definedName>
    <definedName name="GCEWCTOTDatYr">#REF!</definedName>
    <definedName name="GCEWCTOTLEYr">#REF!</definedName>
    <definedName name="GENERAL">#REF!,#REF!,#REF!,#REF!,#REF!,#REF!,#REF!</definedName>
    <definedName name="giaca">#REF!</definedName>
    <definedName name="GMPERCActYr">#REF!</definedName>
    <definedName name="GMPERCAPYr">#REF!</definedName>
    <definedName name="GMPERCBGSP">#REF!</definedName>
    <definedName name="GMPERCDatYr">#REF!</definedName>
    <definedName name="GMPERCLEYr">#REF!</definedName>
    <definedName name="GoBack">#N/A</definedName>
    <definedName name="GOLD">#REF!</definedName>
    <definedName name="GrossUp">#REF!</definedName>
    <definedName name="GSV3PActYr">#REF!</definedName>
    <definedName name="GSV3PAPYr">#REF!</definedName>
    <definedName name="GSV3PLEYr">#REF!</definedName>
    <definedName name="hagrid">#REF!</definedName>
    <definedName name="HAIRBGActYr">#REF!</definedName>
    <definedName name="HAIRBGAPYr">#REF!</definedName>
    <definedName name="HAIRBGBGSP">#REF!</definedName>
    <definedName name="HAIRBGBrand1">#REF!</definedName>
    <definedName name="HAIRBGBrand10">#REF!</definedName>
    <definedName name="HAIRBGBRAND10ActYr">#REF!</definedName>
    <definedName name="HAIRBGBRAND10APYr">#REF!</definedName>
    <definedName name="HAIRBGBRAND10DatYr">#REF!</definedName>
    <definedName name="HAIRBGBRAND10LEYr">#REF!</definedName>
    <definedName name="HAIRBGBRAND10NAME">#REF!</definedName>
    <definedName name="HAIRBGBrand11">#REF!</definedName>
    <definedName name="HAIRBGBRAND11ActYr">#REF!</definedName>
    <definedName name="HAIRBGBRAND11APYr">#REF!</definedName>
    <definedName name="HAIRBGBRAND11DatYr">#REF!</definedName>
    <definedName name="HAIRBGBRAND11LEYr">#REF!</definedName>
    <definedName name="HAIRBGBRAND11NAME">#REF!</definedName>
    <definedName name="HAIRBGBrand12">#REF!</definedName>
    <definedName name="HAIRBGBRAND12ActYr">#REF!</definedName>
    <definedName name="HAIRBGBRAND12APYr">#REF!</definedName>
    <definedName name="HAIRBGBRAND12DatYr">#REF!</definedName>
    <definedName name="HAIRBGBRAND12LEYr">#REF!</definedName>
    <definedName name="HAIRBGBRAND12NAME">#REF!</definedName>
    <definedName name="HAIRBGBRAND1ActYr">#REF!</definedName>
    <definedName name="HAIRBGBRAND1APYr">#REF!</definedName>
    <definedName name="HAIRBGBRAND1DatYr">#REF!</definedName>
    <definedName name="HAIRBGBRAND1LEYr">#REF!</definedName>
    <definedName name="HAIRBGBRAND1NAME">#REF!</definedName>
    <definedName name="HAIRBGBrand2">#REF!</definedName>
    <definedName name="HAIRBGBRAND2ActYr">#REF!</definedName>
    <definedName name="HAIRBGBRAND2APYr">#REF!</definedName>
    <definedName name="HAIRBGBRAND2DatYr">#REF!</definedName>
    <definedName name="HAIRBGBRAND2LEYr">#REF!</definedName>
    <definedName name="HAIRBGBRAND2NAME">#REF!</definedName>
    <definedName name="HAIRBGBrand3">#REF!</definedName>
    <definedName name="HAIRBGBRAND3ActYr">#REF!</definedName>
    <definedName name="HAIRBGBRAND3APYr">#REF!</definedName>
    <definedName name="HAIRBGBRAND3DatYr">#REF!</definedName>
    <definedName name="HAIRBGBRAND3LEYr">#REF!</definedName>
    <definedName name="HAIRBGBRAND3NAME">#REF!</definedName>
    <definedName name="HAIRBGBrand4">#REF!</definedName>
    <definedName name="HAIRBGBRAND4ActYr">#REF!</definedName>
    <definedName name="HAIRBGBRAND4APYr">#REF!</definedName>
    <definedName name="HAIRBGBRAND4DatYr">#REF!</definedName>
    <definedName name="HAIRBGBRAND4LEYr">#REF!</definedName>
    <definedName name="HAIRBGBRAND4NAME">#REF!</definedName>
    <definedName name="HAIRBGBrand5">#REF!</definedName>
    <definedName name="HAIRBGBRAND5ActYr">#REF!</definedName>
    <definedName name="HAIRBGBRAND5APYr">#REF!</definedName>
    <definedName name="HAIRBGBRAND5DatYr">#REF!</definedName>
    <definedName name="HAIRBGBRAND5LEYr">#REF!</definedName>
    <definedName name="HAIRBGBRAND5NAME">#REF!</definedName>
    <definedName name="HAIRBGBrand6">#REF!</definedName>
    <definedName name="HAIRBGBRAND6ActYr">#REF!</definedName>
    <definedName name="HAIRBGBRAND6APYr">#REF!</definedName>
    <definedName name="HAIRBGBRAND6DatYr">#REF!</definedName>
    <definedName name="HAIRBGBRAND6LEYr">#REF!</definedName>
    <definedName name="HAIRBGBRAND6NAME">#REF!</definedName>
    <definedName name="HAIRBGBrand7">#REF!</definedName>
    <definedName name="HAIRBGBRAND7ActYr">#REF!</definedName>
    <definedName name="HAIRBGBRAND7APYr">#REF!</definedName>
    <definedName name="HAIRBGBRAND7DatYr">#REF!</definedName>
    <definedName name="HAIRBGBRAND7LEYr">#REF!</definedName>
    <definedName name="HAIRBGBRAND7NAME">#REF!</definedName>
    <definedName name="HAIRBGBrand8">#REF!</definedName>
    <definedName name="HAIRBGBRAND8ActYr">#REF!</definedName>
    <definedName name="HAIRBGBRAND8APYr">#REF!</definedName>
    <definedName name="HAIRBGBRAND8DatYr">#REF!</definedName>
    <definedName name="HAIRBGBRAND8LEYr">#REF!</definedName>
    <definedName name="HAIRBGBRAND8NAME">#REF!</definedName>
    <definedName name="HAIRBGBrand9">#REF!</definedName>
    <definedName name="HAIRBGBRAND9ActYr">#REF!</definedName>
    <definedName name="HAIRBGBRAND9APYr">#REF!</definedName>
    <definedName name="HAIRBGBRAND9DatYr">#REF!</definedName>
    <definedName name="HAIRBGBRAND9LEYr">#REF!</definedName>
    <definedName name="HAIRBGBRAND9NAME">#REF!</definedName>
    <definedName name="HAIRBGCode">#REF!</definedName>
    <definedName name="HAIRBGDatYr">#REF!</definedName>
    <definedName name="HAIRBGLEYr">#REF!</definedName>
    <definedName name="HapCKW">"$#REF!.$K$34"</definedName>
    <definedName name="HapIKVA">"$#REF!.$O$34"</definedName>
    <definedName name="HapIKvar">"$#REF!.$P$34"</definedName>
    <definedName name="HapIKW">"$#REF!.$N$34"</definedName>
    <definedName name="HapKVA">"$#REF!.$L$34"</definedName>
    <definedName name="HapSKVA">"$#REF!.$R$34"</definedName>
    <definedName name="HapSKW">"$#REF!.$Q$34"</definedName>
    <definedName name="Hazeline">#REF!</definedName>
    <definedName name="HDCCT">#REF!</definedName>
    <definedName name="HDCD">#REF!</definedName>
    <definedName name="height">#N/A</definedName>
    <definedName name="hhhh">#REF!</definedName>
    <definedName name="HM">#REF!</definedName>
    <definedName name="Hõag">#REF!</definedName>
    <definedName name="Hoan">#REF!</definedName>
    <definedName name="HOUSEHOLDBGActYr">#REF!</definedName>
    <definedName name="HOUSEHOLDBGAPYr">#REF!</definedName>
    <definedName name="HOUSEHOLDBGBGSP">#REF!</definedName>
    <definedName name="HOUSEHOLDBGBrand1">#REF!</definedName>
    <definedName name="HOUSEHOLDBGBrand10">#REF!</definedName>
    <definedName name="HOUSEHOLDBGBRAND10ActYr">#REF!</definedName>
    <definedName name="HOUSEHOLDBGBRAND10APYr">#REF!</definedName>
    <definedName name="HOUSEHOLDBGBRAND10DatYr">#REF!</definedName>
    <definedName name="HOUSEHOLDBGBRAND10LEYr">#REF!</definedName>
    <definedName name="HOUSEHOLDBGBRAND10NAME">#REF!</definedName>
    <definedName name="HOUSEHOLDBGBrand11">#REF!</definedName>
    <definedName name="HOUSEHOLDBGBRAND11ActYr">#REF!</definedName>
    <definedName name="HOUSEHOLDBGBRAND11APYr">#REF!</definedName>
    <definedName name="HOUSEHOLDBGBRAND11DatYr">#REF!</definedName>
    <definedName name="HOUSEHOLDBGBRAND11LEYr">#REF!</definedName>
    <definedName name="HOUSEHOLDBGBRAND11NAME">#REF!</definedName>
    <definedName name="HOUSEHOLDBGBrand12">#REF!</definedName>
    <definedName name="HOUSEHOLDBGBRAND12ActYr">#REF!</definedName>
    <definedName name="HOUSEHOLDBGBRAND12APYr">#REF!</definedName>
    <definedName name="HOUSEHOLDBGBRAND12DatYr">#REF!</definedName>
    <definedName name="HOUSEHOLDBGBRAND12LEYr">#REF!</definedName>
    <definedName name="HOUSEHOLDBGBRAND12NAME">#REF!</definedName>
    <definedName name="HOUSEHOLDBGBRAND1ActYr">#REF!</definedName>
    <definedName name="HOUSEHOLDBGBRAND1APYr">#REF!</definedName>
    <definedName name="HOUSEHOLDBGBRAND1DatYr">#REF!</definedName>
    <definedName name="HOUSEHOLDBGBRAND1LEYr">#REF!</definedName>
    <definedName name="HOUSEHOLDBGBRAND1NAME">#REF!</definedName>
    <definedName name="HOUSEHOLDBGBrand2">#REF!</definedName>
    <definedName name="HOUSEHOLDBGBRAND2ActYr">#REF!</definedName>
    <definedName name="HOUSEHOLDBGBRAND2APYr">#REF!</definedName>
    <definedName name="HOUSEHOLDBGBRAND2DatYr">#REF!</definedName>
    <definedName name="HOUSEHOLDBGBRAND2LEYr">#REF!</definedName>
    <definedName name="HOUSEHOLDBGBRAND2NAME">#REF!</definedName>
    <definedName name="HOUSEHOLDBGBrand3">#REF!</definedName>
    <definedName name="HOUSEHOLDBGBRAND3ActYr">#REF!</definedName>
    <definedName name="HOUSEHOLDBGBRAND3APYr">#REF!</definedName>
    <definedName name="HOUSEHOLDBGBRAND3DatYr">#REF!</definedName>
    <definedName name="HOUSEHOLDBGBRAND3LEYr">#REF!</definedName>
    <definedName name="HOUSEHOLDBGBRAND3NAME">#REF!</definedName>
    <definedName name="HOUSEHOLDBGBrand4">#REF!</definedName>
    <definedName name="HOUSEHOLDBGBRAND4ActYr">#REF!</definedName>
    <definedName name="HOUSEHOLDBGBRAND4APYr">#REF!</definedName>
    <definedName name="HOUSEHOLDBGBRAND4DatYr">#REF!</definedName>
    <definedName name="HOUSEHOLDBGBRAND4LEYr">#REF!</definedName>
    <definedName name="HOUSEHOLDBGBRAND4NAME">#REF!</definedName>
    <definedName name="HOUSEHOLDBGBrand5">#REF!</definedName>
    <definedName name="HOUSEHOLDBGBRAND5ActYr">#REF!</definedName>
    <definedName name="HOUSEHOLDBGBRAND5APYr">#REF!</definedName>
    <definedName name="HOUSEHOLDBGBRAND5DatYr">#REF!</definedName>
    <definedName name="HOUSEHOLDBGBRAND5LEYr">#REF!</definedName>
    <definedName name="HOUSEHOLDBGBRAND5NAME">#REF!</definedName>
    <definedName name="HOUSEHOLDBGBrand6">#REF!</definedName>
    <definedName name="HOUSEHOLDBGBRAND6ActYr">#REF!</definedName>
    <definedName name="HOUSEHOLDBGBRAND6APYr">#REF!</definedName>
    <definedName name="HOUSEHOLDBGBRAND6DatYr">#REF!</definedName>
    <definedName name="HOUSEHOLDBGBRAND6LEYr">#REF!</definedName>
    <definedName name="HOUSEHOLDBGBRAND6NAME">#REF!</definedName>
    <definedName name="HOUSEHOLDBGBrand7">#REF!</definedName>
    <definedName name="HOUSEHOLDBGBRAND7ActYr">#REF!</definedName>
    <definedName name="HOUSEHOLDBGBRAND7APYr">#REF!</definedName>
    <definedName name="HOUSEHOLDBGBRAND7DatYr">#REF!</definedName>
    <definedName name="HOUSEHOLDBGBRAND7LEYr">#REF!</definedName>
    <definedName name="HOUSEHOLDBGBRAND7NAME">#REF!</definedName>
    <definedName name="HOUSEHOLDBGBrand8">#REF!</definedName>
    <definedName name="HOUSEHOLDBGBRAND8ActYr">#REF!</definedName>
    <definedName name="HOUSEHOLDBGBRAND8APYr">#REF!</definedName>
    <definedName name="HOUSEHOLDBGBRAND8DatYr">#REF!</definedName>
    <definedName name="HOUSEHOLDBGBRAND8LEYr">#REF!</definedName>
    <definedName name="HOUSEHOLDBGBRAND8NAME">#REF!</definedName>
    <definedName name="HOUSEHOLDBGBrand9">#REF!</definedName>
    <definedName name="HOUSEHOLDBGBRAND9ActYr">#REF!</definedName>
    <definedName name="HOUSEHOLDBGBRAND9APYr">#REF!</definedName>
    <definedName name="HOUSEHOLDBGBRAND9DatYr">#REF!</definedName>
    <definedName name="HOUSEHOLDBGBRAND9LEYr">#REF!</definedName>
    <definedName name="HOUSEHOLDBGBRAND9NAME">#REF!</definedName>
    <definedName name="HOUSEHOLDBGCode">#REF!</definedName>
    <definedName name="HOUSEHOLDBGDatYr">#REF!</definedName>
    <definedName name="HOUSEHOLDBGLEYr">#REF!</definedName>
    <definedName name="HPCE">#REF!</definedName>
    <definedName name="HPCNA">#REF!</definedName>
    <definedName name="HSFATALCONT">#REF!</definedName>
    <definedName name="HSFATALOWN">#REF!</definedName>
    <definedName name="HSKK">#REF!</definedName>
    <definedName name="HSLTA">#REF!</definedName>
    <definedName name="HSRWCA">#REF!</definedName>
    <definedName name="HSTOTHRS">#REF!</definedName>
    <definedName name="Ice_Cream_new_plant_at_Baddi">#REF!</definedName>
    <definedName name="ICECRBGActYr">#REF!</definedName>
    <definedName name="ICECRBGAPYr">#REF!</definedName>
    <definedName name="ICECRBGBGSP">#REF!</definedName>
    <definedName name="ICECRBGBrand1">#REF!</definedName>
    <definedName name="ICECRBGBrand10">#REF!</definedName>
    <definedName name="ICECRBGBRAND10ActYr">#REF!</definedName>
    <definedName name="ICECRBGBRAND10APYr">#REF!</definedName>
    <definedName name="ICECRBGBRAND10DatYr">#REF!</definedName>
    <definedName name="ICECRBGBRAND10LEYr">#REF!</definedName>
    <definedName name="ICECRBGBRAND10NAME">#REF!</definedName>
    <definedName name="ICECRBGBrand11">#REF!</definedName>
    <definedName name="ICECRBGBRAND11ActYr">#REF!</definedName>
    <definedName name="ICECRBGBRAND11APYr">#REF!</definedName>
    <definedName name="ICECRBGBRAND11DatYr">#REF!</definedName>
    <definedName name="ICECRBGBRAND11LEYr">#REF!</definedName>
    <definedName name="ICECRBGBRAND11NAME">#REF!</definedName>
    <definedName name="ICECRBGBrand12">#REF!</definedName>
    <definedName name="ICECRBGBRAND12ActYr">#REF!</definedName>
    <definedName name="ICECRBGBRAND12APYr">#REF!</definedName>
    <definedName name="ICECRBGBRAND12DatYr">#REF!</definedName>
    <definedName name="ICECRBGBRAND12LEYr">#REF!</definedName>
    <definedName name="ICECRBGBRAND12NAME">#REF!</definedName>
    <definedName name="ICECRBGBRAND1ActYr">#REF!</definedName>
    <definedName name="ICECRBGBRAND1APYr">#REF!</definedName>
    <definedName name="ICECRBGBRAND1DatYr">#REF!</definedName>
    <definedName name="ICECRBGBRAND1LEYr">#REF!</definedName>
    <definedName name="ICECRBGBRAND1NAME">#REF!</definedName>
    <definedName name="ICECRBGBrand2">#REF!</definedName>
    <definedName name="ICECRBGBRAND2ActYr">#REF!</definedName>
    <definedName name="ICECRBGBRAND2APYr">#REF!</definedName>
    <definedName name="ICECRBGBRAND2DatYr">#REF!</definedName>
    <definedName name="ICECRBGBRAND2LEYr">#REF!</definedName>
    <definedName name="ICECRBGBRAND2NAME">#REF!</definedName>
    <definedName name="ICECRBGBrand3">#REF!</definedName>
    <definedName name="ICECRBGBRAND3ActYr">#REF!</definedName>
    <definedName name="ICECRBGBRAND3APYr">#REF!</definedName>
    <definedName name="ICECRBGBRAND3DatYr">#REF!</definedName>
    <definedName name="ICECRBGBRAND3LEYr">#REF!</definedName>
    <definedName name="ICECRBGBRAND3NAME">#REF!</definedName>
    <definedName name="ICECRBGBrand4">#REF!</definedName>
    <definedName name="ICECRBGBRAND4ActYr">#REF!</definedName>
    <definedName name="ICECRBGBRAND4APYr">#REF!</definedName>
    <definedName name="ICECRBGBRAND4DatYr">#REF!</definedName>
    <definedName name="ICECRBGBRAND4LEYr">#REF!</definedName>
    <definedName name="ICECRBGBRAND4NAME">#REF!</definedName>
    <definedName name="ICECRBGBrand5">#REF!</definedName>
    <definedName name="ICECRBGBRAND5ActYr">#REF!</definedName>
    <definedName name="ICECRBGBRAND5APYr">#REF!</definedName>
    <definedName name="ICECRBGBRAND5DatYr">#REF!</definedName>
    <definedName name="ICECRBGBRAND5LEYr">#REF!</definedName>
    <definedName name="ICECRBGBRAND5NAME">#REF!</definedName>
    <definedName name="ICECRBGBrand6">#REF!</definedName>
    <definedName name="ICECRBGBRAND6ActYr">#REF!</definedName>
    <definedName name="ICECRBGBRAND6APYr">#REF!</definedName>
    <definedName name="ICECRBGBRAND6DatYr">#REF!</definedName>
    <definedName name="ICECRBGBRAND6LEYr">#REF!</definedName>
    <definedName name="ICECRBGBRAND6NAME">#REF!</definedName>
    <definedName name="ICECRBGBrand7">#REF!</definedName>
    <definedName name="ICECRBGBRAND7ActYr">#REF!</definedName>
    <definedName name="ICECRBGBRAND7APYr">#REF!</definedName>
    <definedName name="ICECRBGBRAND7DatYr">#REF!</definedName>
    <definedName name="ICECRBGBRAND7LEYr">#REF!</definedName>
    <definedName name="ICECRBGBRAND7NAME">#REF!</definedName>
    <definedName name="ICECRBGBrand8">#REF!</definedName>
    <definedName name="ICECRBGBRAND8ActYr">#REF!</definedName>
    <definedName name="ICECRBGBRAND8APYr">#REF!</definedName>
    <definedName name="ICECRBGBRAND8DatYr">#REF!</definedName>
    <definedName name="ICECRBGBRAND8LEYr">#REF!</definedName>
    <definedName name="ICECRBGBRAND8NAME">#REF!</definedName>
    <definedName name="ICECRBGBrand9">#REF!</definedName>
    <definedName name="ICECRBGBRAND9ActYr">#REF!</definedName>
    <definedName name="ICECRBGBRAND9APYr">#REF!</definedName>
    <definedName name="ICECRBGBRAND9DatYr">#REF!</definedName>
    <definedName name="ICECRBGBRAND9LEYr">#REF!</definedName>
    <definedName name="ICECRBGBRAND9NAME">#REF!</definedName>
    <definedName name="ICECRBGCode">#REF!</definedName>
    <definedName name="ICECRBGDatYr">#REF!</definedName>
    <definedName name="ICECRBGLEYr">#REF!</definedName>
    <definedName name="ICFE">#REF!</definedName>
    <definedName name="INCNPNCActYr">#REF!</definedName>
    <definedName name="INCNPNCAPYr">#REF!</definedName>
    <definedName name="INCNPNCBGSP">#REF!</definedName>
    <definedName name="INCNPNCDatYr">#REF!</definedName>
    <definedName name="INCNPNCLEYr">#REF!</definedName>
    <definedName name="Index">100%</definedName>
    <definedName name="index1">#REF!</definedName>
    <definedName name="index2">#REF!</definedName>
    <definedName name="index3">#REF!</definedName>
    <definedName name="index4">#REF!</definedName>
    <definedName name="index5">#REF!</definedName>
    <definedName name="INDPERCActYr">#REF!</definedName>
    <definedName name="INDPERCAPYr">#REF!</definedName>
    <definedName name="INDPERCBGSP">#REF!</definedName>
    <definedName name="INDPERCDatYr">#REF!</definedName>
    <definedName name="INDPERCLEYr">#REF!</definedName>
    <definedName name="Inflation_WC">#REF!</definedName>
    <definedName name="INNNPNPActYr">#REF!</definedName>
    <definedName name="INNNPNPAPYr">#REF!</definedName>
    <definedName name="INNNPNPBGSP">#REF!</definedName>
    <definedName name="INNNPNPDatYr">#REF!</definedName>
    <definedName name="INNNPNPLEYr">#REF!</definedName>
    <definedName name="INNPERCTOTActYr">#REF!</definedName>
    <definedName name="INNPERCTOTAPYr">#REF!</definedName>
    <definedName name="INNPERCTOTBGSP">#REF!</definedName>
    <definedName name="INNPERCTOTDatYr">#REF!</definedName>
    <definedName name="INNPERCTOTLEYr">#REF!</definedName>
    <definedName name="input">#REF!</definedName>
    <definedName name="IT_95">#REF!</definedName>
    <definedName name="IT_96">#REF!</definedName>
    <definedName name="IT_97__6MONTH_">#REF!</definedName>
    <definedName name="IT_97_6month">#REF!</definedName>
    <definedName name="IWC">#REF!</definedName>
    <definedName name="JAMSQBGActYr">#REF!</definedName>
    <definedName name="JAMSQBGAPYr">#REF!</definedName>
    <definedName name="JAMSQBGBGSP">#REF!</definedName>
    <definedName name="JAMSQBGDatYr">#REF!</definedName>
    <definedName name="JAMSQBGLEYr">#REF!</definedName>
    <definedName name="jan">#REF!</definedName>
    <definedName name="Jul">#REF!</definedName>
    <definedName name="Jun">#REF!</definedName>
    <definedName name="K">#REF!</definedName>
    <definedName name="K_1">#REF!</definedName>
    <definedName name="K_2">#REF!</definedName>
    <definedName name="KCSCM">#REF!</definedName>
    <definedName name="KVC">#REF!</definedName>
    <definedName name="L">#REF!</definedName>
    <definedName name="LA">#REF!</definedName>
    <definedName name="LAUNDRBGActYr">#REF!</definedName>
    <definedName name="LAUNDRBGAPYr">#REF!</definedName>
    <definedName name="LAUNDRBGBGSP">#REF!</definedName>
    <definedName name="LAUNDRBGDatYr">#REF!</definedName>
    <definedName name="LAUNDRBGLEYr">#REF!</definedName>
    <definedName name="LAUNDRYActYr">#REF!</definedName>
    <definedName name="LAUNDRYAPYr">#REF!</definedName>
    <definedName name="LAUNDRYBGSP">#REF!</definedName>
    <definedName name="LAUNDRYBrand1">#REF!</definedName>
    <definedName name="LAUNDRYBrand10">#REF!</definedName>
    <definedName name="LAUNDRYBRAND10ActYr">#REF!</definedName>
    <definedName name="LAUNDRYBRAND10APYr">#REF!</definedName>
    <definedName name="LAUNDRYBRAND10DatYr">#REF!</definedName>
    <definedName name="LAUNDRYBRAND10LAUNDRYActYr">#REF!</definedName>
    <definedName name="LAUNDRYBRAND10LEYr">#REF!</definedName>
    <definedName name="LAUNDRYBRAND10NAME">#REF!</definedName>
    <definedName name="LAUNDRYBrand11">#REF!</definedName>
    <definedName name="LAUNDRYBRAND11ActYr">#REF!</definedName>
    <definedName name="LAUNDRYBRAND11APYr">#REF!</definedName>
    <definedName name="LAUNDRYBRAND11DatYr">#REF!</definedName>
    <definedName name="LAUNDRYBRAND11LAUNDRYActYr">#REF!</definedName>
    <definedName name="LAUNDRYBRAND11LEYr">#REF!</definedName>
    <definedName name="LAUNDRYBRAND11NAME">#REF!</definedName>
    <definedName name="LAUNDRYBrand12">#REF!</definedName>
    <definedName name="LAUNDRYBRAND12ActYr">#REF!</definedName>
    <definedName name="LAUNDRYBRAND12APYr">#REF!</definedName>
    <definedName name="LAUNDRYBRAND12DatYr">#REF!</definedName>
    <definedName name="LAUNDRYBRAND12LAUNDRYActYr">#REF!</definedName>
    <definedName name="LAUNDRYBRAND12LEYr">#REF!</definedName>
    <definedName name="LAUNDRYBRAND12NAME">#REF!</definedName>
    <definedName name="LAUNDRYBRAND1ActYr">#REF!</definedName>
    <definedName name="LAUNDRYBRAND1APYr">#REF!</definedName>
    <definedName name="LAUNDRYBRAND1DatYr">#REF!</definedName>
    <definedName name="LAUNDRYBRAND1LAUNDRYActYr">#REF!</definedName>
    <definedName name="LAUNDRYBRAND1LAUNDRYDatYr">#REF!</definedName>
    <definedName name="LAUNDRYBRAND1LEYr">#REF!</definedName>
    <definedName name="LAUNDRYBRAND1NAME">#REF!</definedName>
    <definedName name="LAUNDRYBrand2">#REF!</definedName>
    <definedName name="LAUNDRYBRAND2ActYr">#REF!</definedName>
    <definedName name="LAUNDRYBRAND2APYr">#REF!</definedName>
    <definedName name="LAUNDRYBRAND2DatYr">#REF!</definedName>
    <definedName name="LAUNDRYBRAND2LAUNDRYActYr">#REF!</definedName>
    <definedName name="LAUNDRYBRAND2LEYr">#REF!</definedName>
    <definedName name="LAUNDRYBRAND2NAME">#REF!</definedName>
    <definedName name="LAUNDRYBrand3">#REF!</definedName>
    <definedName name="LAUNDRYBRAND3ActYr">#REF!</definedName>
    <definedName name="LAUNDRYBRAND3APYr">#REF!</definedName>
    <definedName name="LAUNDRYBRAND3DatYr">#REF!</definedName>
    <definedName name="LAUNDRYBRAND3LAUNDRYActYr">#REF!</definedName>
    <definedName name="LAUNDRYBRAND3LEYr">#REF!</definedName>
    <definedName name="LAUNDRYBRAND3NAME">#REF!</definedName>
    <definedName name="LAUNDRYBrand4">#REF!</definedName>
    <definedName name="LAUNDRYBRAND4ActYr">#REF!</definedName>
    <definedName name="LAUNDRYBRAND4APYr">#REF!</definedName>
    <definedName name="LAUNDRYBRAND4DatYr">#REF!</definedName>
    <definedName name="LAUNDRYBRAND4LAUNDRYActYr">#REF!</definedName>
    <definedName name="LAUNDRYBRAND4LEYr">#REF!</definedName>
    <definedName name="LAUNDRYBRAND4NAME">#REF!</definedName>
    <definedName name="LAUNDRYBrand5">#REF!</definedName>
    <definedName name="LAUNDRYBRAND5ActYr">#REF!</definedName>
    <definedName name="LAUNDRYBRAND5APYr">#REF!</definedName>
    <definedName name="LAUNDRYBRAND5DatYr">#REF!</definedName>
    <definedName name="LAUNDRYBRAND5LAUNDRYActYr">#REF!</definedName>
    <definedName name="LAUNDRYBRAND5LEYr">#REF!</definedName>
    <definedName name="LAUNDRYBRAND5NAME">#REF!</definedName>
    <definedName name="LAUNDRYBrand6">#REF!</definedName>
    <definedName name="LAUNDRYBRAND6ActYr">#REF!</definedName>
    <definedName name="LAUNDRYBRAND6APYr">#REF!</definedName>
    <definedName name="LAUNDRYBRAND6DatYr">#REF!</definedName>
    <definedName name="LAUNDRYBRAND6LAUNDRYActYr">#REF!</definedName>
    <definedName name="LAUNDRYBRAND6LAUNDRYNAME">#REF!</definedName>
    <definedName name="LAUNDRYBRAND6LEYr">#REF!</definedName>
    <definedName name="LAUNDRYBRAND6NAME">#REF!</definedName>
    <definedName name="LAUNDRYBrand7">#REF!</definedName>
    <definedName name="LAUNDRYBRAND7ActYr">#REF!</definedName>
    <definedName name="LAUNDRYBRAND7APYr">#REF!</definedName>
    <definedName name="LAUNDRYBRAND7DatYr">#REF!</definedName>
    <definedName name="LAUNDRYBRAND7LAUNDRYActYr">#REF!</definedName>
    <definedName name="LAUNDRYBRAND7LEYr">#REF!</definedName>
    <definedName name="LAUNDRYBRAND7NAME">#REF!</definedName>
    <definedName name="LAUNDRYBrand8">#REF!</definedName>
    <definedName name="LAUNDRYBRAND8ActYr">#REF!</definedName>
    <definedName name="LAUNDRYBRAND8APYr">#REF!</definedName>
    <definedName name="LAUNDRYBRAND8DatYr">#REF!</definedName>
    <definedName name="LAUNDRYBRAND8LAUNDRYActYr">#REF!</definedName>
    <definedName name="LAUNDRYBRAND8LEYr">#REF!</definedName>
    <definedName name="LAUNDRYBRAND8NAME">#REF!</definedName>
    <definedName name="LAUNDRYBrand9">#REF!</definedName>
    <definedName name="LAUNDRYBRAND9ActYr">#REF!</definedName>
    <definedName name="LAUNDRYBRAND9APYr">#REF!</definedName>
    <definedName name="LAUNDRYBRAND9DatYr">#REF!</definedName>
    <definedName name="LAUNDRYBRAND9LAUNDRYActYr">#REF!</definedName>
    <definedName name="LAUNDRYBRAND9LEYr">#REF!</definedName>
    <definedName name="LAUNDRYBRAND9NAME">#REF!</definedName>
    <definedName name="LAUNDRYCode">#REF!</definedName>
    <definedName name="LAUNDRYDatYr">#REF!</definedName>
    <definedName name="LAUNDRYDBVc">#REF!</definedName>
    <definedName name="LAUNDRYLEYr">#REF!</definedName>
    <definedName name="LAUNDRYTEST1DatYr">#REF!</definedName>
    <definedName name="LAUNDRYTEST2DatYr">#REF!</definedName>
    <definedName name="LCP">#REF!</definedName>
    <definedName name="LE00">#REF!</definedName>
    <definedName name="length">#REF!-#REF!+1</definedName>
    <definedName name="limcount" hidden="1">1</definedName>
    <definedName name="list">#REF!</definedName>
    <definedName name="LIST144100089">#REF!</definedName>
    <definedName name="list2">#REF!</definedName>
    <definedName name="list3">#REF!</definedName>
    <definedName name="list4">#REF!</definedName>
    <definedName name="LocalPGrossUp">#REF!</definedName>
    <definedName name="Localpit">#REF!</definedName>
    <definedName name="LocalProposePit">#REF!</definedName>
    <definedName name="LOCREST">#REF!</definedName>
    <definedName name="LQ">#REF!</definedName>
    <definedName name="lst_Product">#REF!</definedName>
    <definedName name="lst_Product1">#REF!</definedName>
    <definedName name="lst_SKU">#REF!</definedName>
    <definedName name="lst_sku_HHC">#REF!</definedName>
    <definedName name="lst_Sku_mapping">#REF!</definedName>
    <definedName name="lst_sku_Oral">#REF!</definedName>
    <definedName name="lst_sku_PW">#REF!</definedName>
    <definedName name="lVC">#REF!</definedName>
    <definedName name="m">#REF!</definedName>
    <definedName name="ma">#REF!</definedName>
    <definedName name="Main_P_L">#REF!</definedName>
    <definedName name="MajorHeader">#REF!</definedName>
    <definedName name="mar">#REF!</definedName>
    <definedName name="Master_Brand_Focus">#REF!</definedName>
    <definedName name="master_def">#REF!</definedName>
    <definedName name="mat">#REF!</definedName>
    <definedName name="MATRIX_HIER">#REF!</definedName>
    <definedName name="may">#REF!</definedName>
    <definedName name="MDC">1</definedName>
    <definedName name="Measure_Adj">#REF!</definedName>
    <definedName name="MKTNPSMSHRActYr">#REF!</definedName>
    <definedName name="MKTNPSMSHRAPYr">#REF!</definedName>
    <definedName name="MKTNPSMSHRBGSP">#REF!</definedName>
    <definedName name="MKTNPSMSHRDatYr">#REF!</definedName>
    <definedName name="MKTNPSMSHRLEYr">#REF!</definedName>
    <definedName name="MKTSHAREActYr">#REF!</definedName>
    <definedName name="MKTSHAREAPYr">#REF!</definedName>
    <definedName name="MKTSHAREBGSP">#REF!</definedName>
    <definedName name="MKTSHAREDatYr">#REF!</definedName>
    <definedName name="MKTSHARELEYr">#REF!</definedName>
    <definedName name="MKTVALSIZEActYr">#REF!</definedName>
    <definedName name="MKTVALSIZEAPYr">#REF!</definedName>
    <definedName name="MKTVALSIZEBGSP">#REF!</definedName>
    <definedName name="MKTVALSIZEDatYr">#REF!</definedName>
    <definedName name="MKTVALSIZELEYr">#REF!</definedName>
    <definedName name="MKTVOLSIZEActYr">#REF!</definedName>
    <definedName name="MKTVOLSIZEAPYr">#REF!</definedName>
    <definedName name="MKTVOLSIZEBGSP">#REF!</definedName>
    <definedName name="MKTVOLSIZEDatYr">#REF!</definedName>
    <definedName name="MKTVOLSIZELEYr">#REF!</definedName>
    <definedName name="MODFDSBGActYr">#REF!</definedName>
    <definedName name="MODFDSBGAPYr">#REF!</definedName>
    <definedName name="MODFDSBGBGSP">#REF!</definedName>
    <definedName name="MODFDSBGBrand1">#REF!</definedName>
    <definedName name="MODFDSBGBrand10">#REF!</definedName>
    <definedName name="MODFDSBGBRAND10ActYr">#REF!</definedName>
    <definedName name="MODFDSBGBRAND10APYr">#REF!</definedName>
    <definedName name="MODFDSBGBRAND10DatYr">#REF!</definedName>
    <definedName name="MODFDSBGBRAND10LEYr">#REF!</definedName>
    <definedName name="MODFDSBGBRAND10NAME">#REF!</definedName>
    <definedName name="MODFDSBGBrand11">#REF!</definedName>
    <definedName name="MODFDSBGBRAND11ActYr">#REF!</definedName>
    <definedName name="MODFDSBGBRAND11APYr">#REF!</definedName>
    <definedName name="MODFDSBGBRAND11DatYr">#REF!</definedName>
    <definedName name="MODFDSBGBRAND11LEYr">#REF!</definedName>
    <definedName name="MODFDSBGBRAND11NAME">#REF!</definedName>
    <definedName name="MODFDSBGBrand12">#REF!</definedName>
    <definedName name="MODFDSBGBRAND12ActYr">#REF!</definedName>
    <definedName name="MODFDSBGBRAND12APYr">#REF!</definedName>
    <definedName name="MODFDSBGBRAND12DatYr">#REF!</definedName>
    <definedName name="MODFDSBGBRAND12LEYr">#REF!</definedName>
    <definedName name="MODFDSBGBRAND12NAME">#REF!</definedName>
    <definedName name="MODFDSBGBRAND1ActYr">#REF!</definedName>
    <definedName name="MODFDSBGBRAND1APYr">#REF!</definedName>
    <definedName name="MODFDSBGBRAND1DatYr">#REF!</definedName>
    <definedName name="MODFDSBGBRAND1LEYr">#REF!</definedName>
    <definedName name="MODFDSBGBRAND1NAME">#REF!</definedName>
    <definedName name="MODFDSBGBrand2">#REF!</definedName>
    <definedName name="MODFDSBGBRAND2ActYr">#REF!</definedName>
    <definedName name="MODFDSBGBRAND2APYr">#REF!</definedName>
    <definedName name="MODFDSBGBRAND2DatYr">#REF!</definedName>
    <definedName name="MODFDSBGBRAND2LEYr">#REF!</definedName>
    <definedName name="MODFDSBGBRAND2NAME">#REF!</definedName>
    <definedName name="MODFDSBGBrand3">#REF!</definedName>
    <definedName name="MODFDSBGBRAND3ActYr">#REF!</definedName>
    <definedName name="MODFDSBGBRAND3APYr">#REF!</definedName>
    <definedName name="MODFDSBGBRAND3DatYr">#REF!</definedName>
    <definedName name="MODFDSBGBRAND3LEYr">#REF!</definedName>
    <definedName name="MODFDSBGBRAND3NAME">#REF!</definedName>
    <definedName name="MODFDSBGBrand4">#REF!</definedName>
    <definedName name="MODFDSBGBRAND4ActYr">#REF!</definedName>
    <definedName name="MODFDSBGBRAND4APYr">#REF!</definedName>
    <definedName name="MODFDSBGBRAND4DatYr">#REF!</definedName>
    <definedName name="MODFDSBGBRAND4LEYr">#REF!</definedName>
    <definedName name="MODFDSBGBRAND4NAME">#REF!</definedName>
    <definedName name="MODFDSBGBrand5">#REF!</definedName>
    <definedName name="MODFDSBGBRAND5ActYr">#REF!</definedName>
    <definedName name="MODFDSBGBRAND5APYr">#REF!</definedName>
    <definedName name="MODFDSBGBRAND5DatYr">#REF!</definedName>
    <definedName name="MODFDSBGBRAND5LEYr">#REF!</definedName>
    <definedName name="MODFDSBGBRAND5NAME">#REF!</definedName>
    <definedName name="MODFDSBGBrand6">#REF!</definedName>
    <definedName name="MODFDSBGBRAND6ActYr">#REF!</definedName>
    <definedName name="MODFDSBGBRAND6APYr">#REF!</definedName>
    <definedName name="MODFDSBGBRAND6DatYr">#REF!</definedName>
    <definedName name="MODFDSBGBRAND6LEYr">#REF!</definedName>
    <definedName name="MODFDSBGBRAND6NAME">#REF!</definedName>
    <definedName name="MODFDSBGBrand7">#REF!</definedName>
    <definedName name="MODFDSBGBRAND7ActYr">#REF!</definedName>
    <definedName name="MODFDSBGBRAND7APYr">#REF!</definedName>
    <definedName name="MODFDSBGBRAND7DatYr">#REF!</definedName>
    <definedName name="MODFDSBGBRAND7LEYr">#REF!</definedName>
    <definedName name="MODFDSBGBRAND7NAME">#REF!</definedName>
    <definedName name="MODFDSBGBrand8">#REF!</definedName>
    <definedName name="MODFDSBGBRAND8ActYr">#REF!</definedName>
    <definedName name="MODFDSBGBRAND8APYr">#REF!</definedName>
    <definedName name="MODFDSBGBRAND8DatYr">#REF!</definedName>
    <definedName name="MODFDSBGBRAND8LEYr">#REF!</definedName>
    <definedName name="MODFDSBGBRAND8NAME">#REF!</definedName>
    <definedName name="MODFDSBGBrand9">#REF!</definedName>
    <definedName name="MODFDSBGBRAND9ActYr">#REF!</definedName>
    <definedName name="MODFDSBGBRAND9APYr">#REF!</definedName>
    <definedName name="MODFDSBGBRAND9DatYr">#REF!</definedName>
    <definedName name="MODFDSBGBRAND9LEYr">#REF!</definedName>
    <definedName name="MODFDSBGBRAND9NAME">#REF!</definedName>
    <definedName name="MODFDSBGCode">#REF!</definedName>
    <definedName name="MODFDSBGDatYr">#REF!</definedName>
    <definedName name="MODFDSBGLEYr">#REF!</definedName>
    <definedName name="MT_LINK">#REF!</definedName>
    <definedName name="MV_95">#REF!</definedName>
    <definedName name="MV_96">#REF!</definedName>
    <definedName name="MV_97__6MONTH_">#REF!</definedName>
    <definedName name="NAME">#REF!</definedName>
    <definedName name="NCcap0.7">#REF!</definedName>
    <definedName name="NCcap1">#REF!</definedName>
    <definedName name="NGAØY">#REF!</definedName>
    <definedName name="nhap">#REF!</definedName>
    <definedName name="NHAP1">#REF!</definedName>
    <definedName name="NHAP2">#REF!</definedName>
    <definedName name="No">#REF!</definedName>
    <definedName name="NOADVBRANDSActYr">#REF!</definedName>
    <definedName name="NOADVBRANDSAPYr">#REF!</definedName>
    <definedName name="NOADVBRANDSBGSP">#REF!</definedName>
    <definedName name="NOADVBRANDSDatYr">#REF!</definedName>
    <definedName name="NOADVBRANDSLEYr">#REF!</definedName>
    <definedName name="NOBRANDSActYr">#REF!</definedName>
    <definedName name="NOBRANDSAPYr">#REF!</definedName>
    <definedName name="NOBRANDSBGSP">#REF!</definedName>
    <definedName name="NOBRANDSDatYr">#REF!</definedName>
    <definedName name="NOBRANDSLEYr">#REF!</definedName>
    <definedName name="NOFTES">#REF!</definedName>
    <definedName name="NONSCSAV">#REF!</definedName>
    <definedName name="Nov">#REF!</definedName>
    <definedName name="NPS">#REF!</definedName>
    <definedName name="NPS3PRAActYr">#REF!</definedName>
    <definedName name="NPS3PRAAPYr">#REF!</definedName>
    <definedName name="NPS3PRABGSP">#REF!</definedName>
    <definedName name="NPS3PRADatYr">#REF!</definedName>
    <definedName name="NPS3PRALEYr">#REF!</definedName>
    <definedName name="NPSCONT2KActYr">#REF!</definedName>
    <definedName name="NPSCONT2KAPYr">#REF!</definedName>
    <definedName name="NPSCONT2KBGSP">#REF!</definedName>
    <definedName name="NPSCONT2KDatYr">#REF!</definedName>
    <definedName name="NPSCONT2KLEYr">#REF!</definedName>
    <definedName name="NPSNoNGRActYr">#REF!</definedName>
    <definedName name="NPSNoNGRAPYr">#REF!</definedName>
    <definedName name="NPSNoNGRBGSP">#REF!</definedName>
    <definedName name="NPSNoNGRDatYr">#REF!</definedName>
    <definedName name="NPSNoNGRLEYr">#REF!</definedName>
    <definedName name="NSV">#REF!</definedName>
    <definedName name="NTCASFILActYr">#REF!</definedName>
    <definedName name="NTCASFILAPYr">#REF!</definedName>
    <definedName name="NTCASFILBGSP">#REF!</definedName>
    <definedName name="NTCASFILDatYr">#REF!</definedName>
    <definedName name="NTCASFILLEYr">#REF!</definedName>
    <definedName name="NToS">#REF!</definedName>
    <definedName name="NTPLFADISP">#REF!</definedName>
    <definedName name="NTSKUCOMActYr">#REF!</definedName>
    <definedName name="NTSKUCOMAPYr">#REF!</definedName>
    <definedName name="NTSKUCOMBGSP">#REF!</definedName>
    <definedName name="NTSKUCOMDatYr">#REF!</definedName>
    <definedName name="NTSKUCOMLEYr">#REF!</definedName>
    <definedName name="NTUNSKUActYr">#REF!</definedName>
    <definedName name="NTUNSKUAPYr">#REF!</definedName>
    <definedName name="NTUNSKUBGSP">#REF!</definedName>
    <definedName name="NTUNSKUDatYr">#REF!</definedName>
    <definedName name="NTUNSKULEYr">#REF!</definedName>
    <definedName name="OBG">#REF!</definedName>
    <definedName name="Oct">#REF!</definedName>
    <definedName name="OE_95">#REF!</definedName>
    <definedName name="OE_96">#REF!</definedName>
    <definedName name="OE_97__6MONTH_">#REF!</definedName>
    <definedName name="OFDSBGActYr">#REF!</definedName>
    <definedName name="OFDSBGAPYr">#REF!</definedName>
    <definedName name="OFDSBGBGSP">#REF!</definedName>
    <definedName name="OFDSBGDatYr">#REF!</definedName>
    <definedName name="OFDSBGLEYr">#REF!</definedName>
    <definedName name="OHCBGActYr">#REF!</definedName>
    <definedName name="OHCBGAPYr">#REF!</definedName>
    <definedName name="OHCBGBGSP">#REF!</definedName>
    <definedName name="OHCBGDatYr">#REF!</definedName>
    <definedName name="OHCBGLEYr">#REF!</definedName>
    <definedName name="OneTwoThree">#REF!</definedName>
    <definedName name="ONSHDEMINActYr">#REF!</definedName>
    <definedName name="ONSHDEMINAPYr">#REF!</definedName>
    <definedName name="ONSHDEMINBGSP">#REF!</definedName>
    <definedName name="ONSHDEMINDatYr">#REF!</definedName>
    <definedName name="ONSHDEMINLEYr">#REF!</definedName>
    <definedName name="OODFBGBrand1">#REF!</definedName>
    <definedName name="OODFBGBrand10">#REF!</definedName>
    <definedName name="OODFBGBRAND10ActYr">#REF!</definedName>
    <definedName name="OODFBGBRAND10APYr">#REF!</definedName>
    <definedName name="OODFBGBRAND10DatYr">#REF!</definedName>
    <definedName name="OODFBGBRAND10LEYr">#REF!</definedName>
    <definedName name="OODFBGBRAND10NAME">#REF!</definedName>
    <definedName name="OODFBGBrand11">#REF!</definedName>
    <definedName name="OODFBGBRAND11ActYr">#REF!</definedName>
    <definedName name="OODFBGBRAND11APYr">#REF!</definedName>
    <definedName name="OODFBGBRAND11DatYr">#REF!</definedName>
    <definedName name="OODFBGBRAND11LEYr">#REF!</definedName>
    <definedName name="OODFBGBRAND11NAME">#REF!</definedName>
    <definedName name="OODFBGBrand12">#REF!</definedName>
    <definedName name="OODFBGBRAND12ActYr">#REF!</definedName>
    <definedName name="OODFBGBRAND12APYr">#REF!</definedName>
    <definedName name="OODFBGBRAND12DatYr">#REF!</definedName>
    <definedName name="OODFBGBRAND12LEYr">#REF!</definedName>
    <definedName name="OODFBGBRAND12NAME">#REF!</definedName>
    <definedName name="OODFBGBRAND1ActYr">#REF!</definedName>
    <definedName name="OODFBGBRAND1APYr">#REF!</definedName>
    <definedName name="OODFBGBRAND1DatYr">#REF!</definedName>
    <definedName name="OODFBGBRAND1LEYr">#REF!</definedName>
    <definedName name="OODFBGBRAND1NAME">#REF!</definedName>
    <definedName name="OODFBGBrand2">#REF!</definedName>
    <definedName name="OODFBGBRAND2ActYr">#REF!</definedName>
    <definedName name="OODFBGBRAND2APYr">#REF!</definedName>
    <definedName name="OODFBGBRAND2DatYr">#REF!</definedName>
    <definedName name="OODFBGBRAND2LEYr">#REF!</definedName>
    <definedName name="OODFBGBRAND2NAME">#REF!</definedName>
    <definedName name="OODFBGBrand3">#REF!</definedName>
    <definedName name="OODFBGBRAND3ActYr">#REF!</definedName>
    <definedName name="OODFBGBRAND3APYr">#REF!</definedName>
    <definedName name="OODFBGBRAND3DatYr">#REF!</definedName>
    <definedName name="OODFBGBRAND3LEYr">#REF!</definedName>
    <definedName name="OODFBGBRAND3NAME">#REF!</definedName>
    <definedName name="OODFBGBrand4">#REF!</definedName>
    <definedName name="OODFBGBRAND4ActYr">#REF!</definedName>
    <definedName name="OODFBGBRAND4APYr">#REF!</definedName>
    <definedName name="OODFBGBRAND4DatYr">#REF!</definedName>
    <definedName name="OODFBGBRAND4LEYr">#REF!</definedName>
    <definedName name="OODFBGBRAND4NAME">#REF!</definedName>
    <definedName name="OODFBGBrand5">#REF!</definedName>
    <definedName name="OODFBGBRAND5ActYr">#REF!</definedName>
    <definedName name="OODFBGBRAND5APYr">#REF!</definedName>
    <definedName name="OODFBGBRAND5DatYr">#REF!</definedName>
    <definedName name="OODFBGBRAND5LEYr">#REF!</definedName>
    <definedName name="OODFBGBRAND5NAME">#REF!</definedName>
    <definedName name="OODFBGBrand6">#REF!</definedName>
    <definedName name="OODFBGBRAND6ActYr">#REF!</definedName>
    <definedName name="OODFBGBRAND6APYr">#REF!</definedName>
    <definedName name="OODFBGBRAND6DatYr">#REF!</definedName>
    <definedName name="OODFBGBRAND6LEYr">#REF!</definedName>
    <definedName name="OODFBGBRAND6NAME">#REF!</definedName>
    <definedName name="OODFBGBrand7">#REF!</definedName>
    <definedName name="OODFBGBRAND7ActYr">#REF!</definedName>
    <definedName name="OODFBGBRAND7APYr">#REF!</definedName>
    <definedName name="OODFBGBRAND7DatYr">#REF!</definedName>
    <definedName name="OODFBGBRAND7LEYr">#REF!</definedName>
    <definedName name="OODFBGBRAND7NAME">#REF!</definedName>
    <definedName name="OODFBGBrand8">#REF!</definedName>
    <definedName name="OODFBGBRAND8ActYr">#REF!</definedName>
    <definedName name="OODFBGBRAND8APYr">#REF!</definedName>
    <definedName name="OODFBGBRAND8DatYr">#REF!</definedName>
    <definedName name="OODFBGBRAND8LEYr">#REF!</definedName>
    <definedName name="OODFBGBRAND8NAME">#REF!</definedName>
    <definedName name="OODFBGBrand9">#REF!</definedName>
    <definedName name="OODFBGBRAND9ActYr">#REF!</definedName>
    <definedName name="OODFBGBRAND9APYr">#REF!</definedName>
    <definedName name="OODFBGBRAND9DatYr">#REF!</definedName>
    <definedName name="OODFBGBRAND9LEYr">#REF!</definedName>
    <definedName name="OODFBGBRAND9NAME">#REF!</definedName>
    <definedName name="OODFBGCode">#REF!</definedName>
    <definedName name="OOPBGActYr">#REF!</definedName>
    <definedName name="OOPBGAPYr">#REF!</definedName>
    <definedName name="OOPBGBGSP">#REF!</definedName>
    <definedName name="OOPBGDatYr">#REF!</definedName>
    <definedName name="OOPBGLEYr">#REF!</definedName>
    <definedName name="OPCBGActYr">#REF!</definedName>
    <definedName name="OPCBGAPYr">#REF!</definedName>
    <definedName name="OPCBGBGSP">#REF!</definedName>
    <definedName name="OPCBGBrand1">#REF!</definedName>
    <definedName name="OPCBGBrand10">#REF!</definedName>
    <definedName name="OPCBGBRAND10ActYr">#REF!</definedName>
    <definedName name="OPCBGBRAND10APYr">#REF!</definedName>
    <definedName name="OPCBGBRAND10DatYr">#REF!</definedName>
    <definedName name="OPCBGBRAND10LEYr">#REF!</definedName>
    <definedName name="OPCBGBRAND10NAME">#REF!</definedName>
    <definedName name="OPCBGBrand11">#REF!</definedName>
    <definedName name="OPCBGBRAND11ActYr">#REF!</definedName>
    <definedName name="OPCBGBRAND11APYr">#REF!</definedName>
    <definedName name="OPCBGBRAND11DatYr">#REF!</definedName>
    <definedName name="OPCBGBRAND11LEYr">#REF!</definedName>
    <definedName name="OPCBGBRAND11NAME">#REF!</definedName>
    <definedName name="OPCBGBrand12">#REF!</definedName>
    <definedName name="OPCBGBRAND12ActYr">#REF!</definedName>
    <definedName name="OPCBGBRAND12APYr">#REF!</definedName>
    <definedName name="OPCBGBRAND12DatYr">#REF!</definedName>
    <definedName name="OPCBGBRAND12LEYr">#REF!</definedName>
    <definedName name="OPCBGBRAND12NAME">#REF!</definedName>
    <definedName name="OPCBGBRAND1ActYr">#REF!</definedName>
    <definedName name="OPCBGBRAND1APYr">#REF!</definedName>
    <definedName name="OPCBGBRAND1DatYr">#REF!</definedName>
    <definedName name="OPCBGBRAND1LEYr">#REF!</definedName>
    <definedName name="OPCBGBRAND1NAME">#REF!</definedName>
    <definedName name="OPCBGBrand2">#REF!</definedName>
    <definedName name="OPCBGBRAND2ActYr">#REF!</definedName>
    <definedName name="OPCBGBRAND2APYr">#REF!</definedName>
    <definedName name="OPCBGBRAND2DatYr">#REF!</definedName>
    <definedName name="OPCBGBRAND2LEYr">#REF!</definedName>
    <definedName name="OPCBGBRAND2NAME">#REF!</definedName>
    <definedName name="OPCBGBrand3">#REF!</definedName>
    <definedName name="OPCBGBRAND3ActYr">#REF!</definedName>
    <definedName name="OPCBGBRAND3APYr">#REF!</definedName>
    <definedName name="OPCBGBRAND3DatYr">#REF!</definedName>
    <definedName name="OPCBGBRAND3LEYr">#REF!</definedName>
    <definedName name="OPCBGBRAND3NAME">#REF!</definedName>
    <definedName name="OPCBGBrand4">#REF!</definedName>
    <definedName name="OPCBGBRAND4ActYr">#REF!</definedName>
    <definedName name="OPCBGBRAND4APYr">#REF!</definedName>
    <definedName name="OPCBGBRAND4DatYr">#REF!</definedName>
    <definedName name="OPCBGBRAND4LEYr">#REF!</definedName>
    <definedName name="OPCBGBRAND4NAME">#REF!</definedName>
    <definedName name="OPCBGBrand5">#REF!</definedName>
    <definedName name="OPCBGBRAND5ActYr">#REF!</definedName>
    <definedName name="OPCBGBRAND5APYr">#REF!</definedName>
    <definedName name="OPCBGBRAND5DatYr">#REF!</definedName>
    <definedName name="OPCBGBRAND5LEYr">#REF!</definedName>
    <definedName name="OPCBGBRAND5NAME">#REF!</definedName>
    <definedName name="OPCBGBrand6">#REF!</definedName>
    <definedName name="OPCBGBRAND6ActYr">#REF!</definedName>
    <definedName name="OPCBGBRAND6APYr">#REF!</definedName>
    <definedName name="OPCBGBRAND6DatYr">#REF!</definedName>
    <definedName name="OPCBGBRAND6LEYr">#REF!</definedName>
    <definedName name="OPCBGBRAND6NAME">#REF!</definedName>
    <definedName name="OPCBGBrand7">#REF!</definedName>
    <definedName name="OPCBGBRAND7ActYr">#REF!</definedName>
    <definedName name="OPCBGBRAND7APYr">#REF!</definedName>
    <definedName name="OPCBGBRAND7DatYr">#REF!</definedName>
    <definedName name="OPCBGBRAND7LEYr">#REF!</definedName>
    <definedName name="OPCBGBRAND7NAME">#REF!</definedName>
    <definedName name="OPCBGBrand8">#REF!</definedName>
    <definedName name="OPCBGBRAND8ActYr">#REF!</definedName>
    <definedName name="OPCBGBRAND8APYr">#REF!</definedName>
    <definedName name="OPCBGBRAND8DatYr">#REF!</definedName>
    <definedName name="OPCBGBRAND8LEYr">#REF!</definedName>
    <definedName name="OPCBGBRAND8NAME">#REF!</definedName>
    <definedName name="OPCBGBrand9">#REF!</definedName>
    <definedName name="OPCBGBRAND9ActYr">#REF!</definedName>
    <definedName name="OPCBGBRAND9APYr">#REF!</definedName>
    <definedName name="OPCBGBRAND9DatYr">#REF!</definedName>
    <definedName name="OPCBGBRAND9LEYr">#REF!</definedName>
    <definedName name="OPCBGBRAND9NAME">#REF!</definedName>
    <definedName name="OPCBGCode">#REF!</definedName>
    <definedName name="OPCBGDatYr">#REF!</definedName>
    <definedName name="OPCBGLEYr">#REF!</definedName>
    <definedName name="OPERATIONAL_PLAN_1998">#REF!</definedName>
    <definedName name="ORALBGActYr">#REF!</definedName>
    <definedName name="ORALBGAPYr">#REF!</definedName>
    <definedName name="ORALBGBGSP">#REF!</definedName>
    <definedName name="ORALBGBrand1">#REF!</definedName>
    <definedName name="ORALBGBrand10">#REF!</definedName>
    <definedName name="ORALBGBRAND10ActYr">#REF!</definedName>
    <definedName name="ORALBGBRAND10APYr">#REF!</definedName>
    <definedName name="ORALBGBRAND10DatYr">#REF!</definedName>
    <definedName name="ORALBGBRAND10LEYr">#REF!</definedName>
    <definedName name="ORALBGBRAND10NAME">#REF!</definedName>
    <definedName name="ORALBGBrand11">#REF!</definedName>
    <definedName name="ORALBGBRAND11ActYr">#REF!</definedName>
    <definedName name="ORALBGBRAND11APYr">#REF!</definedName>
    <definedName name="ORALBGBRAND11DatYr">#REF!</definedName>
    <definedName name="ORALBGBRAND11LEYr">#REF!</definedName>
    <definedName name="ORALBGBRAND11NAME">#REF!</definedName>
    <definedName name="ORALBGBrand12">#REF!</definedName>
    <definedName name="ORALBGBRAND12ActYr">#REF!</definedName>
    <definedName name="ORALBGBRAND12APYr">#REF!</definedName>
    <definedName name="ORALBGBRAND12DatYr">#REF!</definedName>
    <definedName name="ORALBGBRAND12LEYr">#REF!</definedName>
    <definedName name="ORALBGBRAND12NAME">#REF!</definedName>
    <definedName name="ORALBGBRAND1ActYr">#REF!</definedName>
    <definedName name="ORALBGBRAND1APYr">#REF!</definedName>
    <definedName name="ORALBGBRAND1DatYr">#REF!</definedName>
    <definedName name="ORALBGBRAND1LEYr">#REF!</definedName>
    <definedName name="ORALBGBRAND1NAME">#REF!</definedName>
    <definedName name="ORALBGBrand2">#REF!</definedName>
    <definedName name="ORALBGBRAND2ActYr">#REF!</definedName>
    <definedName name="ORALBGBRAND2APYr">#REF!</definedName>
    <definedName name="ORALBGBRAND2DatYr">#REF!</definedName>
    <definedName name="ORALBGBRAND2LEYr">#REF!</definedName>
    <definedName name="ORALBGBRAND2NAME">#REF!</definedName>
    <definedName name="ORALBGBrand3">#REF!</definedName>
    <definedName name="ORALBGBRAND3ActYr">#REF!</definedName>
    <definedName name="ORALBGBRAND3APYr">#REF!</definedName>
    <definedName name="ORALBGBRAND3DatYr">#REF!</definedName>
    <definedName name="ORALBGBRAND3LEYr">#REF!</definedName>
    <definedName name="ORALBGBRAND3NAME">#REF!</definedName>
    <definedName name="ORALBGBrand4">#REF!</definedName>
    <definedName name="ORALBGBRAND4ActYr">#REF!</definedName>
    <definedName name="ORALBGBRAND4APYr">#REF!</definedName>
    <definedName name="ORALBGBRAND4DatYr">#REF!</definedName>
    <definedName name="ORALBGBRAND4LEYr">#REF!</definedName>
    <definedName name="ORALBGBRAND4NAME">#REF!</definedName>
    <definedName name="ORALBGBrand5">#REF!</definedName>
    <definedName name="ORALBGBRAND5ActYr">#REF!</definedName>
    <definedName name="ORALBGBRAND5APYr">#REF!</definedName>
    <definedName name="ORALBGBRAND5DatYr">#REF!</definedName>
    <definedName name="ORALBGBRAND5LEYr">#REF!</definedName>
    <definedName name="ORALBGBRAND5NAME">#REF!</definedName>
    <definedName name="ORALBGBrand6">#REF!</definedName>
    <definedName name="ORALBGBRAND6ActYr">#REF!</definedName>
    <definedName name="ORALBGBRAND6APYr">#REF!</definedName>
    <definedName name="ORALBGBRAND6DatYr">#REF!</definedName>
    <definedName name="ORALBGBRAND6LEYr">#REF!</definedName>
    <definedName name="ORALBGBRAND6NAME">#REF!</definedName>
    <definedName name="ORALBGBrand7">#REF!</definedName>
    <definedName name="ORALBGBRAND7ActYr">#REF!</definedName>
    <definedName name="ORALBGBRAND7APYr">#REF!</definedName>
    <definedName name="ORALBGBRAND7DatYr">#REF!</definedName>
    <definedName name="ORALBGBRAND7LEYr">#REF!</definedName>
    <definedName name="ORALBGBRAND7NAME">#REF!</definedName>
    <definedName name="ORALBGBrand8">#REF!</definedName>
    <definedName name="ORALBGBRAND8ActYr">#REF!</definedName>
    <definedName name="ORALBGBRAND8APYr">#REF!</definedName>
    <definedName name="ORALBGBRAND8DatYr">#REF!</definedName>
    <definedName name="ORALBGBRAND8LEYr">#REF!</definedName>
    <definedName name="ORALBGBRAND8NAME">#REF!</definedName>
    <definedName name="ORALBGBrand9">#REF!</definedName>
    <definedName name="ORALBGBRAND9ActYr">#REF!</definedName>
    <definedName name="ORALBGBRAND9APYr">#REF!</definedName>
    <definedName name="ORALBGBRAND9DatYr">#REF!</definedName>
    <definedName name="ORALBGBRAND9LEYr">#REF!</definedName>
    <definedName name="ORALBGBRAND9NAME">#REF!</definedName>
    <definedName name="ORALBGCode">#REF!</definedName>
    <definedName name="ORALBGDatYr">#REF!</definedName>
    <definedName name="ORALBGLEYr">#REF!</definedName>
    <definedName name="OTHBSGBGActYr">#REF!</definedName>
    <definedName name="OTHBSGBGAPYr">#REF!</definedName>
    <definedName name="OTHBSGBGBGSP">#REF!</definedName>
    <definedName name="OTHBSGBGBrand1">#REF!</definedName>
    <definedName name="OTHBSGBGBrand10">#REF!</definedName>
    <definedName name="OTHBSGBGBRAND10ActYr">#REF!</definedName>
    <definedName name="OTHBSGBGBRAND10APYr">#REF!</definedName>
    <definedName name="OTHBSGBGBRAND10DatYr">#REF!</definedName>
    <definedName name="OTHBSGBGBRAND10LEYr">#REF!</definedName>
    <definedName name="OTHBSGBGBRAND10NAME">#REF!</definedName>
    <definedName name="OTHBSGBGBrand11">#REF!</definedName>
    <definedName name="OTHBSGBGBRAND11ActYr">#REF!</definedName>
    <definedName name="OTHBSGBGBRAND11APYr">#REF!</definedName>
    <definedName name="OTHBSGBGBRAND11DatYr">#REF!</definedName>
    <definedName name="OTHBSGBGBRAND11LEYr">#REF!</definedName>
    <definedName name="OTHBSGBGBRAND11NAME">#REF!</definedName>
    <definedName name="OTHBSGBGBrand12">#REF!</definedName>
    <definedName name="OTHBSGBGBRAND12ActYr">#REF!</definedName>
    <definedName name="OTHBSGBGBRAND12APYr">#REF!</definedName>
    <definedName name="OTHBSGBGBRAND12DatYr">#REF!</definedName>
    <definedName name="OTHBSGBGBRAND12LEYr">#REF!</definedName>
    <definedName name="OTHBSGBGBRAND12NAME">#REF!</definedName>
    <definedName name="OTHBSGBGBRAND1ActYr">#REF!</definedName>
    <definedName name="OTHBSGBGBRAND1APYr">#REF!</definedName>
    <definedName name="OTHBSGBGBRAND1DatYr">#REF!</definedName>
    <definedName name="OTHBSGBGBRAND1LEYr">#REF!</definedName>
    <definedName name="OTHBSGBGBRAND1NAME">#REF!</definedName>
    <definedName name="OTHBSGBGBrand2">#REF!</definedName>
    <definedName name="OTHBSGBGBRAND2ActYr">#REF!</definedName>
    <definedName name="OTHBSGBGBRAND2APYr">#REF!</definedName>
    <definedName name="OTHBSGBGBRAND2DatYr">#REF!</definedName>
    <definedName name="OTHBSGBGBRAND2LEYr">#REF!</definedName>
    <definedName name="OTHBSGBGBRAND2NAME">#REF!</definedName>
    <definedName name="OTHBSGBGBrand3">#REF!</definedName>
    <definedName name="OTHBSGBGBRAND3ActYr">#REF!</definedName>
    <definedName name="OTHBSGBGBRAND3APYr">#REF!</definedName>
    <definedName name="OTHBSGBGBRAND3DatYr">#REF!</definedName>
    <definedName name="OTHBSGBGBRAND3LEYr">#REF!</definedName>
    <definedName name="OTHBSGBGBRAND3NAME">#REF!</definedName>
    <definedName name="OTHBSGBGBrand4">#REF!</definedName>
    <definedName name="OTHBSGBGBRAND4ActYr">#REF!</definedName>
    <definedName name="OTHBSGBGBRAND4APYr">#REF!</definedName>
    <definedName name="OTHBSGBGBRAND4DatYr">#REF!</definedName>
    <definedName name="OTHBSGBGBRAND4LEYr">#REF!</definedName>
    <definedName name="OTHBSGBGBRAND4NAME">#REF!</definedName>
    <definedName name="OTHBSGBGBrand5">#REF!</definedName>
    <definedName name="OTHBSGBGBRAND5ActYr">#REF!</definedName>
    <definedName name="OTHBSGBGBRAND5APYr">#REF!</definedName>
    <definedName name="OTHBSGBGBRAND5DatYr">#REF!</definedName>
    <definedName name="OTHBSGBGBRAND5LEYr">#REF!</definedName>
    <definedName name="OTHBSGBGBRAND5NAME">#REF!</definedName>
    <definedName name="OTHBSGBGBrand6">#REF!</definedName>
    <definedName name="OTHBSGBGBRAND6ActYr">#REF!</definedName>
    <definedName name="OTHBSGBGBRAND6APYr">#REF!</definedName>
    <definedName name="OTHBSGBGBRAND6DatYr">#REF!</definedName>
    <definedName name="OTHBSGBGBRAND6LEYr">#REF!</definedName>
    <definedName name="OTHBSGBGBRAND6NAME">#REF!</definedName>
    <definedName name="OTHBSGBGBrand7">#REF!</definedName>
    <definedName name="OTHBSGBGBRAND7ActYr">#REF!</definedName>
    <definedName name="OTHBSGBGBRAND7APYr">#REF!</definedName>
    <definedName name="OTHBSGBGBRAND7DatYr">#REF!</definedName>
    <definedName name="OTHBSGBGBRAND7LEYr">#REF!</definedName>
    <definedName name="OTHBSGBGBRAND7NAME">#REF!</definedName>
    <definedName name="OTHBSGBGBrand8">#REF!</definedName>
    <definedName name="OTHBSGBGBRAND8ActYr">#REF!</definedName>
    <definedName name="OTHBSGBGBRAND8APYr">#REF!</definedName>
    <definedName name="OTHBSGBGBRAND8DatYr">#REF!</definedName>
    <definedName name="OTHBSGBGBRAND8LEYr">#REF!</definedName>
    <definedName name="OTHBSGBGBRAND8NAME">#REF!</definedName>
    <definedName name="OTHBSGBGBrand9">#REF!</definedName>
    <definedName name="OTHBSGBGBRAND9ActYr">#REF!</definedName>
    <definedName name="OTHBSGBGBRAND9APYr">#REF!</definedName>
    <definedName name="OTHBSGBGBRAND9DatYr">#REF!</definedName>
    <definedName name="OTHBSGBGBRAND9LEYr">#REF!</definedName>
    <definedName name="OTHBSGBGBRAND9NAME">#REF!</definedName>
    <definedName name="OTHBSGBGCode">#REF!</definedName>
    <definedName name="OTHBSGBGDatYr">#REF!</definedName>
    <definedName name="OTHBSGBGLEYr">#REF!</definedName>
    <definedName name="OTHODFBGActYr">#REF!</definedName>
    <definedName name="OTHODFBGAPYr">#REF!</definedName>
    <definedName name="OTHODFBGBGSP">#REF!</definedName>
    <definedName name="OTHODFBGDatYr">#REF!</definedName>
    <definedName name="OTHODFBGLEYr">#REF!</definedName>
    <definedName name="OWNFACT">#REF!</definedName>
    <definedName name="page1">#REF!</definedName>
    <definedName name="PERCTARG">#REF!</definedName>
    <definedName name="PERFUMActYr">#REF!</definedName>
    <definedName name="PERFUMAPYr">#REF!</definedName>
    <definedName name="PERFUMBGBrand1">#REF!</definedName>
    <definedName name="PERFUMBGBrand10">#REF!</definedName>
    <definedName name="PERFUMBGBRAND10ActYr">#REF!</definedName>
    <definedName name="PERFUMBGBRAND10APYr">#REF!</definedName>
    <definedName name="PERFUMBGBRAND10LEYr">#REF!</definedName>
    <definedName name="PERFUMBGBRAND10NAME">#REF!</definedName>
    <definedName name="PERFUMBGBrand11">#REF!</definedName>
    <definedName name="PERFUMBGBRAND11ActYr">#REF!</definedName>
    <definedName name="PERFUMBGBRAND11APYr">#REF!</definedName>
    <definedName name="PERFUMBGBRAND11LEYr">#REF!</definedName>
    <definedName name="PERFUMBGBRAND11NAME">#REF!</definedName>
    <definedName name="PERFUMBGBrand12">#REF!</definedName>
    <definedName name="PERFUMBGBRAND12ActYr">#REF!</definedName>
    <definedName name="PERFUMBGBRAND12APYr">#REF!</definedName>
    <definedName name="PERFUMBGBRAND12LEYr">#REF!</definedName>
    <definedName name="PERFUMBGBRAND12NAME">#REF!</definedName>
    <definedName name="PERFUMBGBRAND1ActYr">#REF!</definedName>
    <definedName name="PERFUMBGBRAND1APYr">#REF!</definedName>
    <definedName name="PERFUMBGBRAND1LEYr">#REF!</definedName>
    <definedName name="PERFUMBGBRAND1NAME">#REF!</definedName>
    <definedName name="PERFUMBGBrand2">#REF!</definedName>
    <definedName name="PERFUMBGBRAND2ActYr">#REF!</definedName>
    <definedName name="PERFUMBGBRAND2APYr">#REF!</definedName>
    <definedName name="PERFUMBGBRAND2LEYr">#REF!</definedName>
    <definedName name="PERFUMBGBRAND2NAME">#REF!</definedName>
    <definedName name="PERFUMBGBrand3">#REF!</definedName>
    <definedName name="PERFUMBGBRAND3ActYr">#REF!</definedName>
    <definedName name="PERFUMBGBRAND3APYr">#REF!</definedName>
    <definedName name="PERFUMBGBRAND3LEYr">#REF!</definedName>
    <definedName name="PERFUMBGBRAND3NAME">#REF!</definedName>
    <definedName name="PERFUMBGBrand4">#REF!</definedName>
    <definedName name="PERFUMBGBRAND4ActYr">#REF!</definedName>
    <definedName name="PERFUMBGBRAND4APYr">#REF!</definedName>
    <definedName name="PERFUMBGBRAND4LEYr">#REF!</definedName>
    <definedName name="PERFUMBGBRAND4NAME">#REF!</definedName>
    <definedName name="PERFUMBGBrand5">#REF!</definedName>
    <definedName name="PERFUMBGBRAND5ActYr">#REF!</definedName>
    <definedName name="PERFUMBGBRAND5APYr">#REF!</definedName>
    <definedName name="PERFUMBGBRAND5LEYr">#REF!</definedName>
    <definedName name="PERFUMBGBRAND5NAME">#REF!</definedName>
    <definedName name="PERFUMBGBrand6">#REF!</definedName>
    <definedName name="PERFUMBGBRAND6ActYr">#REF!</definedName>
    <definedName name="PERFUMBGBRAND6APYr">#REF!</definedName>
    <definedName name="PERFUMBGBRAND6LEYr">#REF!</definedName>
    <definedName name="PERFUMBGBRAND6NAME">#REF!</definedName>
    <definedName name="PERFUMBGBrand7">#REF!</definedName>
    <definedName name="PERFUMBGBRAND7ActYr">#REF!</definedName>
    <definedName name="PERFUMBGBRAND7APYr">#REF!</definedName>
    <definedName name="PERFUMBGBRAND7LEYr">#REF!</definedName>
    <definedName name="PERFUMBGBRAND7NAME">#REF!</definedName>
    <definedName name="PERFUMBGBrand8">#REF!</definedName>
    <definedName name="PERFUMBGBRAND8ActYr">#REF!</definedName>
    <definedName name="PERFUMBGBRAND8APYr">#REF!</definedName>
    <definedName name="PERFUMBGBRAND8LEYr">#REF!</definedName>
    <definedName name="PERFUMBGBRAND8NAME">#REF!</definedName>
    <definedName name="PERFUMBGBrand9">#REF!</definedName>
    <definedName name="PERFUMBGBRAND9ActYr">#REF!</definedName>
    <definedName name="PERFUMBGBRAND9APYr">#REF!</definedName>
    <definedName name="PERFUMBGBRAND9LEYr">#REF!</definedName>
    <definedName name="PERFUMBGBRAND9NAME">#REF!</definedName>
    <definedName name="PERFUMBGCode">#REF!</definedName>
    <definedName name="PERFUMBGSP">#REF!</definedName>
    <definedName name="PERFUMDatYr">#REF!</definedName>
    <definedName name="PERFUMLEYr">#REF!</definedName>
    <definedName name="PHEXIQ1">#REF!</definedName>
    <definedName name="PHEXIQ2">#REF!</definedName>
    <definedName name="PHEXIQ3">#REF!</definedName>
    <definedName name="PHEXIQ4">#REF!</definedName>
    <definedName name="PHNPSQ1">#REF!</definedName>
    <definedName name="PHNPSQ2">#REF!</definedName>
    <definedName name="PHNPSQ3">#REF!</definedName>
    <definedName name="PHNPSQ4">#REF!</definedName>
    <definedName name="PHTRBEIQ1">#REF!</definedName>
    <definedName name="PHTRBEIQ2">#REF!</definedName>
    <definedName name="PHTRBEIQ3">#REF!</definedName>
    <definedName name="PHTRBEIQ4">#REF!</definedName>
    <definedName name="pit">#REF!</definedName>
    <definedName name="plant">#REF!</definedName>
    <definedName name="PLANTBGActYr">#REF!</definedName>
    <definedName name="PLANTBGAPYr">#REF!</definedName>
    <definedName name="PLANTBGBGSP">#REF!</definedName>
    <definedName name="PLANTBGDatYr">#REF!</definedName>
    <definedName name="PLANTBGLEYr">#REF!</definedName>
    <definedName name="PM">#REF!</definedName>
    <definedName name="PMASOVTXActYr">#REF!</definedName>
    <definedName name="PMASOVTXAPYr">#REF!</definedName>
    <definedName name="PMASOVTXLEYr">#REF!</definedName>
    <definedName name="PMASSOVActYr">#REF!</definedName>
    <definedName name="PMASSOVAPYr">#REF!</definedName>
    <definedName name="PMASSOVLEYr">#REF!</definedName>
    <definedName name="Population">#REF!</definedName>
    <definedName name="PPRPercActYr">#REF!</definedName>
    <definedName name="PPRPercAPYr">#REF!</definedName>
    <definedName name="PPRPercLEYr">#REF!</definedName>
    <definedName name="PPS">#REF!</definedName>
    <definedName name="pr_mth">#REF!</definedName>
    <definedName name="PRESSKBGActYr">#REF!</definedName>
    <definedName name="PRESSKBGAPYr">#REF!</definedName>
    <definedName name="PRESSKBGBGSP">#REF!</definedName>
    <definedName name="PRESSKBGDatYr">#REF!</definedName>
    <definedName name="PRESSKBGLEYr">#REF!</definedName>
    <definedName name="PRESTIGEBGActYr">#REF!</definedName>
    <definedName name="PRESTIGEBGAPYr">#REF!</definedName>
    <definedName name="PRESTIGEBGBGSP">#REF!</definedName>
    <definedName name="PRESTIGEBGDatYr">#REF!</definedName>
    <definedName name="PRESTIGEBGLEYr">#REF!</definedName>
    <definedName name="Previous">#REF!</definedName>
    <definedName name="PRIBENCH">#REF!</definedName>
    <definedName name="PRIIMP">#REF!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RIPLAN">#REF!</definedName>
    <definedName name="PRIPLISO">#REF!</definedName>
    <definedName name="PT_95">#REF!</definedName>
    <definedName name="PT_96">#REF!</definedName>
    <definedName name="PT_97__6MONTH_">#REF!</definedName>
    <definedName name="PV_HIER">#REF!</definedName>
    <definedName name="PWASHBGActYr">#REF!</definedName>
    <definedName name="PWASHBGAPYr">#REF!</definedName>
    <definedName name="PWASHBGBGSP">#REF!</definedName>
    <definedName name="PWASHBGBrand1">#REF!</definedName>
    <definedName name="PWASHBGBrand10">#REF!</definedName>
    <definedName name="PWASHBGBRAND10ActYr">#REF!</definedName>
    <definedName name="PWASHBGBRAND10APYr">#REF!</definedName>
    <definedName name="PWASHBGBRAND10DatYr">#REF!</definedName>
    <definedName name="PWASHBGBRAND10LEYr">#REF!</definedName>
    <definedName name="PWASHBGBRAND10NAME">#REF!</definedName>
    <definedName name="PWASHBGBrand11">#REF!</definedName>
    <definedName name="PWASHBGBRAND11ActYr">#REF!</definedName>
    <definedName name="PWASHBGBRAND11APYr">#REF!</definedName>
    <definedName name="PWASHBGBRAND11DatYr">#REF!</definedName>
    <definedName name="PWASHBGBRAND11LEYr">#REF!</definedName>
    <definedName name="PWASHBGBRAND11NAME">#REF!</definedName>
    <definedName name="PWASHBGBrand12">#REF!</definedName>
    <definedName name="PWASHBGBRAND12ActYr">#REF!</definedName>
    <definedName name="PWASHBGBRAND12APYr">#REF!</definedName>
    <definedName name="PWASHBGBRAND12DatYr">#REF!</definedName>
    <definedName name="PWASHBGBRAND12LEYr">#REF!</definedName>
    <definedName name="PWASHBGBRAND12NAME">#REF!</definedName>
    <definedName name="PWASHBGBRAND1ActYr">#REF!</definedName>
    <definedName name="PWASHBGBRAND1APYr">#REF!</definedName>
    <definedName name="PWASHBGBRAND1DatYr">#REF!</definedName>
    <definedName name="PWASHBGBRAND1LEYr">#REF!</definedName>
    <definedName name="PWASHBGBRAND1NAME">#REF!</definedName>
    <definedName name="PWASHBGBrand2">#REF!</definedName>
    <definedName name="PWASHBGBRAND2ActYr">#REF!</definedName>
    <definedName name="PWASHBGBRAND2APYr">#REF!</definedName>
    <definedName name="PWASHBGBRAND2DatYr">#REF!</definedName>
    <definedName name="PWASHBGBRAND2LEYr">#REF!</definedName>
    <definedName name="PWASHBGBRAND2NAME">#REF!</definedName>
    <definedName name="PWASHBGBrand3">#REF!</definedName>
    <definedName name="PWASHBGBRAND3ActYr">#REF!</definedName>
    <definedName name="PWASHBGBRAND3APYr">#REF!</definedName>
    <definedName name="PWASHBGBRAND3DatYr">#REF!</definedName>
    <definedName name="PWASHBGBRAND3LEYr">#REF!</definedName>
    <definedName name="PWASHBGBRAND3NAME">#REF!</definedName>
    <definedName name="PWASHBGBrand4">#REF!</definedName>
    <definedName name="PWASHBGBRAND4ActYr">#REF!</definedName>
    <definedName name="PWASHBGBRAND4APYr">#REF!</definedName>
    <definedName name="PWASHBGBRAND4DatYr">#REF!</definedName>
    <definedName name="PWASHBGBRAND4LEYr">#REF!</definedName>
    <definedName name="PWASHBGBRAND4NAME">#REF!</definedName>
    <definedName name="PWASHBGBrand5">#REF!</definedName>
    <definedName name="PWASHBGBRAND5ActYr">#REF!</definedName>
    <definedName name="PWASHBGBRAND5APYr">#REF!</definedName>
    <definedName name="PWASHBGBRAND5DatYr">#REF!</definedName>
    <definedName name="PWASHBGBRAND5LEYr">#REF!</definedName>
    <definedName name="PWASHBGBRAND5NAME">#REF!</definedName>
    <definedName name="PWASHBGBrand6">#REF!</definedName>
    <definedName name="PWASHBGBRAND6ActYr">#REF!</definedName>
    <definedName name="PWASHBGBRAND6APYr">#REF!</definedName>
    <definedName name="PWASHBGBRAND6DatYr">#REF!</definedName>
    <definedName name="PWASHBGBRAND6LEYr">#REF!</definedName>
    <definedName name="PWASHBGBRAND6NAME">#REF!</definedName>
    <definedName name="PWASHBGBrand7">#REF!</definedName>
    <definedName name="PWASHBGBRAND7ActYr">#REF!</definedName>
    <definedName name="PWASHBGBRAND7APYr">#REF!</definedName>
    <definedName name="PWASHBGBRAND7DatYr">#REF!</definedName>
    <definedName name="PWASHBGBRAND7LEYr">#REF!</definedName>
    <definedName name="PWASHBGBRAND7NAME">#REF!</definedName>
    <definedName name="PWASHBGBrand8">#REF!</definedName>
    <definedName name="PWASHBGBRAND8ActYr">#REF!</definedName>
    <definedName name="PWASHBGBRAND8APYr">#REF!</definedName>
    <definedName name="PWASHBGBRAND8DatYr">#REF!</definedName>
    <definedName name="PWASHBGBRAND8LEYr">#REF!</definedName>
    <definedName name="PWASHBGBRAND8NAME">#REF!</definedName>
    <definedName name="PWASHBGBrand9">#REF!</definedName>
    <definedName name="PWASHBGBRAND9ActYr">#REF!</definedName>
    <definedName name="PWASHBGBRAND9APYr">#REF!</definedName>
    <definedName name="PWASHBGBRAND9DatYr">#REF!</definedName>
    <definedName name="PWASHBGBRAND9LEYr">#REF!</definedName>
    <definedName name="PWASHBGBRAND9NAME">#REF!</definedName>
    <definedName name="PWASHBGCode">#REF!</definedName>
    <definedName name="PWASHBGDatYr">#REF!</definedName>
    <definedName name="PWASHBGLEYr">#REF!</definedName>
    <definedName name="q">#REF!</definedName>
    <definedName name="QFFBGActYr">#REF!</definedName>
    <definedName name="QFFBGAPYr">#REF!</definedName>
    <definedName name="QFFBGBGSP">#REF!</definedName>
    <definedName name="QFFBGDatYr">#REF!</definedName>
    <definedName name="QFFBGLEYr">#REF!</definedName>
    <definedName name="qty">#REF!</definedName>
    <definedName name="Quarter">#REF!</definedName>
    <definedName name="rate">#REF!</definedName>
    <definedName name="Rate02">#REF!</definedName>
    <definedName name="Rec.13501.0113" hidden="1">#REF!</definedName>
    <definedName name="ref_SKU">#REF!</definedName>
    <definedName name="RESEIActYr">#REF!</definedName>
    <definedName name="RESEIAPYr">#REF!</definedName>
    <definedName name="RESEIBGSP">#REF!</definedName>
    <definedName name="RESEIDatYr">#REF!</definedName>
    <definedName name="RESEILEYr">#REF!</definedName>
    <definedName name="RESFINCHActYr">#REF!</definedName>
    <definedName name="RESFINCHAPYr">#REF!</definedName>
    <definedName name="RESFINCHBGSP">#REF!</definedName>
    <definedName name="RESFINCHDatYr">#REF!</definedName>
    <definedName name="RESFINCHLEYr">#REF!</definedName>
    <definedName name="RESINDIRActYr">#REF!</definedName>
    <definedName name="RESINDIRAPYr">#REF!</definedName>
    <definedName name="RESINDIRBGSP">#REF!</definedName>
    <definedName name="RESINDIRDatYr">#REF!</definedName>
    <definedName name="RESINDIRLEYr">#REF!</definedName>
    <definedName name="RESIWCActYr">#REF!</definedName>
    <definedName name="RESIWCAPYr">#REF!</definedName>
    <definedName name="RESIWCBGSP">#REF!</definedName>
    <definedName name="RESIWCDatYr">#REF!</definedName>
    <definedName name="RESIWCLEYr">#REF!</definedName>
    <definedName name="RESMDOTHActYr">#REF!</definedName>
    <definedName name="RESMDOTHAPYr">#REF!</definedName>
    <definedName name="RESMDOTHBGSP">#REF!</definedName>
    <definedName name="RESMDOTHDatYr">#REF!</definedName>
    <definedName name="RESMDOTHLEYr">#REF!</definedName>
    <definedName name="RESRGPActYr">#REF!</definedName>
    <definedName name="RESRGPAPYr">#REF!</definedName>
    <definedName name="RESRGPBGSP">#REF!</definedName>
    <definedName name="RESRGPDatYr">#REF!</definedName>
    <definedName name="RESRGPLEYr">#REF!</definedName>
    <definedName name="RESSCHEMEActYr">#REF!</definedName>
    <definedName name="RESSCHEMEAPYr">#REF!</definedName>
    <definedName name="RESSCHEMEBGSP">#REF!</definedName>
    <definedName name="RESSCHEMEDatYr">#REF!</definedName>
    <definedName name="RESSCHEMELEYr">#REF!</definedName>
    <definedName name="RESSUPPORTActYr">#REF!</definedName>
    <definedName name="RESSUPPORTAPYr">#REF!</definedName>
    <definedName name="RESSUPPORTBGSP">#REF!</definedName>
    <definedName name="RESSUPPORTDatYr">#REF!</definedName>
    <definedName name="RESSUPPORTLEYr">#REF!</definedName>
    <definedName name="RESTCONTActYr">#REF!</definedName>
    <definedName name="RESTCONTAPYr">#REF!</definedName>
    <definedName name="RESTCONTBEIActYr">#REF!</definedName>
    <definedName name="RESTCONTBEIAPYr">#REF!</definedName>
    <definedName name="RESTCONTBEIBGSP">#REF!</definedName>
    <definedName name="RESTCONTBEIDatYr">#REF!</definedName>
    <definedName name="RESTCONTBEILEYr">#REF!</definedName>
    <definedName name="RESTCONTBGSP">#REF!</definedName>
    <definedName name="RESTCONTDatYr">#REF!</definedName>
    <definedName name="RESTCONTLEYr">#REF!</definedName>
    <definedName name="RESTHEMEActYr">#REF!</definedName>
    <definedName name="RESTHEMEAPYr">#REF!</definedName>
    <definedName name="RESTHEMEBGSP">#REF!</definedName>
    <definedName name="RESTHEMEDatYr">#REF!</definedName>
    <definedName name="RESTHEMELEYr">#REF!</definedName>
    <definedName name="RESTOTSPLYActYr">#REF!</definedName>
    <definedName name="RESTOTSPLYAPYr">#REF!</definedName>
    <definedName name="RESTOTSPLYBGSP">#REF!</definedName>
    <definedName name="RESTOTSPLYDatYr">#REF!</definedName>
    <definedName name="RESTOTSPLYLEYr">#REF!</definedName>
    <definedName name="RESTPPRActYr">#REF!</definedName>
    <definedName name="RESTPPRAPYr">#REF!</definedName>
    <definedName name="RESTPPRLEYr">#REF!</definedName>
    <definedName name="RESTPRActYr">#REF!</definedName>
    <definedName name="RESTPRAPYr">#REF!</definedName>
    <definedName name="RESTPRBGSP">#REF!</definedName>
    <definedName name="RESTPRDatYr">#REF!</definedName>
    <definedName name="RESTPRLEYr">#REF!</definedName>
    <definedName name="RESTRAEIActYr">#REF!</definedName>
    <definedName name="RESTRAEIAPYr">#REF!</definedName>
    <definedName name="RESTRAEIBGSP">#REF!</definedName>
    <definedName name="RESTRAEIDatYr">#REF!</definedName>
    <definedName name="RESTRAEILEYr">#REF!</definedName>
    <definedName name="RESTRBEIActYr">#REF!</definedName>
    <definedName name="RESTRBEIAPYr">#REF!</definedName>
    <definedName name="RESTRBEIBGSP">#REF!</definedName>
    <definedName name="RESTRBEIDatYr">#REF!</definedName>
    <definedName name="RESTRBEILEYr">#REF!</definedName>
    <definedName name="RESTTAXEIActYr">#REF!</definedName>
    <definedName name="RESTTAXEIAPYr">#REF!</definedName>
    <definedName name="RESTTAXEIBGSP">#REF!</definedName>
    <definedName name="RESTTAXEIDatYr">#REF!</definedName>
    <definedName name="RESTTAXEILEYr">#REF!</definedName>
    <definedName name="RESTTBEIActYr">#REF!</definedName>
    <definedName name="RESTTBEIAPYr">#REF!</definedName>
    <definedName name="RESTTBEIBGSP">#REF!</definedName>
    <definedName name="RESTTBEIDatYr">#REF!</definedName>
    <definedName name="RESTTBEILEYr">#REF!</definedName>
    <definedName name="RLRVDISP">#REF!</definedName>
    <definedName name="RM">#REF!</definedName>
    <definedName name="Rollball">#REF!</definedName>
    <definedName name="RTDNPSCONSActYr">#REF!</definedName>
    <definedName name="RTDNPSCONSAPYr">#REF!</definedName>
    <definedName name="RTDNPSCONSBGSP">#REF!</definedName>
    <definedName name="RTDNPSCONSDatYr">#REF!</definedName>
    <definedName name="RTDNPSCONSLEYr">#REF!</definedName>
    <definedName name="RTDTEABGActYr">#REF!</definedName>
    <definedName name="RTDTEABGAPYr">#REF!</definedName>
    <definedName name="RTDTEABGBGSP">#REF!</definedName>
    <definedName name="RTDTEABGBrand1">#REF!</definedName>
    <definedName name="RTDTEABGBrand10">#REF!</definedName>
    <definedName name="RTDTEABGBRAND10ActYr">#REF!</definedName>
    <definedName name="RTDTEABGBRAND10APYr">#REF!</definedName>
    <definedName name="RTDTEABGBRAND10DatYr">#REF!</definedName>
    <definedName name="RTDTEABGBRAND10LEYr">#REF!</definedName>
    <definedName name="RTDTEABGBRAND10NAME">#REF!</definedName>
    <definedName name="RTDTEABGBrand11">#REF!</definedName>
    <definedName name="RTDTEABGBRAND11ActYr">#REF!</definedName>
    <definedName name="RTDTEABGBRAND11APYr">#REF!</definedName>
    <definedName name="RTDTEABGBRAND11DatYr">#REF!</definedName>
    <definedName name="RTDTEABGBRAND11LEYr">#REF!</definedName>
    <definedName name="RTDTEABGBRAND11NAME">#REF!</definedName>
    <definedName name="RTDTEABGBrand12">#REF!</definedName>
    <definedName name="RTDTEABGBRAND12ActYr">#REF!</definedName>
    <definedName name="RTDTEABGBRAND12APYr">#REF!</definedName>
    <definedName name="RTDTEABGBRAND12DatYr">#REF!</definedName>
    <definedName name="RTDTEABGBRAND12LEYr">#REF!</definedName>
    <definedName name="RTDTEABGBRAND12NAME">#REF!</definedName>
    <definedName name="RTDTEABGBRAND1ActYr">#REF!</definedName>
    <definedName name="RTDTEABGBRAND1APYr">#REF!</definedName>
    <definedName name="RTDTEABGBRAND1DatYr">#REF!</definedName>
    <definedName name="RTDTEABGBRAND1LEYr">#REF!</definedName>
    <definedName name="RTDTEABGBRAND1NAME">#REF!</definedName>
    <definedName name="RTDTEABGBrand2">#REF!</definedName>
    <definedName name="RTDTEABGBRAND2ActYr">#REF!</definedName>
    <definedName name="RTDTEABGBRAND2APYr">#REF!</definedName>
    <definedName name="RTDTEABGBRAND2DatYr">#REF!</definedName>
    <definedName name="RTDTEABGBRAND2LEYr">#REF!</definedName>
    <definedName name="RTDTEABGBRAND2NAME">#REF!</definedName>
    <definedName name="RTDTEABGBrand3">#REF!</definedName>
    <definedName name="RTDTEABGBRAND3ActYr">#REF!</definedName>
    <definedName name="RTDTEABGBRAND3APYr">#REF!</definedName>
    <definedName name="RTDTEABGBRAND3DatYr">#REF!</definedName>
    <definedName name="RTDTEABGBRAND3LEYr">#REF!</definedName>
    <definedName name="RTDTEABGBRAND3NAME">#REF!</definedName>
    <definedName name="RTDTEABGBrand4">#REF!</definedName>
    <definedName name="RTDTEABGBRAND4ActYr">#REF!</definedName>
    <definedName name="RTDTEABGBRAND4APYr">#REF!</definedName>
    <definedName name="RTDTEABGBRAND4DatYr">#REF!</definedName>
    <definedName name="RTDTEABGBRAND4LEYr">#REF!</definedName>
    <definedName name="RTDTEABGBRAND4NAME">#REF!</definedName>
    <definedName name="RTDTEABGBrand5">#REF!</definedName>
    <definedName name="RTDTEABGBRAND5ActYr">#REF!</definedName>
    <definedName name="RTDTEABGBRAND5APYr">#REF!</definedName>
    <definedName name="RTDTEABGBRAND5DatYr">#REF!</definedName>
    <definedName name="RTDTEABGBRAND5LEYr">#REF!</definedName>
    <definedName name="RTDTEABGBRAND5NAME">#REF!</definedName>
    <definedName name="RTDTEABGBrand6">#REF!</definedName>
    <definedName name="RTDTEABGBRAND6ActYr">#REF!</definedName>
    <definedName name="RTDTEABGBRAND6APYr">#REF!</definedName>
    <definedName name="RTDTEABGBRAND6DatYr">#REF!</definedName>
    <definedName name="RTDTEABGBRAND6LEYr">#REF!</definedName>
    <definedName name="RTDTEABGBRAND6NAME">#REF!</definedName>
    <definedName name="RTDTEABGBrand7">#REF!</definedName>
    <definedName name="RTDTEABGBRAND7ActYr">#REF!</definedName>
    <definedName name="RTDTEABGBRAND7APYr">#REF!</definedName>
    <definedName name="RTDTEABGBRAND7DatYr">#REF!</definedName>
    <definedName name="RTDTEABGBRAND7LEYr">#REF!</definedName>
    <definedName name="RTDTEABGBRAND7NAME">#REF!</definedName>
    <definedName name="RTDTEABGBrand8">#REF!</definedName>
    <definedName name="RTDTEABGBRAND8ActYr">#REF!</definedName>
    <definedName name="RTDTEABGBRAND8APYr">#REF!</definedName>
    <definedName name="RTDTEABGBRAND8DatYr">#REF!</definedName>
    <definedName name="RTDTEABGBRAND8LEYr">#REF!</definedName>
    <definedName name="RTDTEABGBRAND8NAME">#REF!</definedName>
    <definedName name="RTDTEABGBrand9">#REF!</definedName>
    <definedName name="RTDTEABGBRAND9ActYr">#REF!</definedName>
    <definedName name="RTDTEABGBRAND9APYr">#REF!</definedName>
    <definedName name="RTDTEABGBRAND9DatYr">#REF!</definedName>
    <definedName name="RTDTEABGBRAND9LEYr">#REF!</definedName>
    <definedName name="RTDTEABGBRAND9NAME">#REF!</definedName>
    <definedName name="RTDTEABGCode">#REF!</definedName>
    <definedName name="RTDTEABGDatYr">#REF!</definedName>
    <definedName name="RTDTEABGLEYr">#REF!</definedName>
    <definedName name="s">#REF!</definedName>
    <definedName name="SC_Function">#REF!</definedName>
    <definedName name="Scale">#REF!</definedName>
    <definedName name="Scale_Input">#REF!</definedName>
    <definedName name="SCMPERCActYr">#REF!</definedName>
    <definedName name="SCMPERCAPYr">#REF!</definedName>
    <definedName name="SCMPERCBGSP">#REF!</definedName>
    <definedName name="SCMPERCDatYr">#REF!</definedName>
    <definedName name="SCMPERCLEYr">#REF!</definedName>
    <definedName name="SCO">#REF!</definedName>
    <definedName name="SCSAV">#REF!</definedName>
    <definedName name="SDDL">#REF!</definedName>
    <definedName name="sencount" hidden="1">1</definedName>
    <definedName name="Sep">#REF!</definedName>
    <definedName name="Serier7">#REF!</definedName>
    <definedName name="Sheet1">#REF!</definedName>
    <definedName name="SKINBGActYr">#REF!</definedName>
    <definedName name="SKINBGAPYr">#REF!</definedName>
    <definedName name="SKINBGBGSP">#REF!</definedName>
    <definedName name="SKINBGBrand1">#REF!</definedName>
    <definedName name="SKINBGBrand10">#REF!</definedName>
    <definedName name="SKINBGBRAND10ActYr">#REF!</definedName>
    <definedName name="SKINBGBRAND10APYr">#REF!</definedName>
    <definedName name="SKINBGBRAND10DatYr">#REF!</definedName>
    <definedName name="SKINBGBRAND10LEYr">#REF!</definedName>
    <definedName name="SKINBGBRAND10NAME">#REF!</definedName>
    <definedName name="SKINBGBrand11">#REF!</definedName>
    <definedName name="SKINBGBRAND11ActYr">#REF!</definedName>
    <definedName name="SKINBGBRAND11APYr">#REF!</definedName>
    <definedName name="SKINBGBRAND11DatYr">#REF!</definedName>
    <definedName name="SKINBGBRAND11LEYr">#REF!</definedName>
    <definedName name="SKINBGBRAND11NAME">#REF!</definedName>
    <definedName name="SKINBGBrand12">#REF!</definedName>
    <definedName name="SKINBGBRAND12ActYr">#REF!</definedName>
    <definedName name="SKINBGBRAND12APYr">#REF!</definedName>
    <definedName name="SKINBGBRAND12DatYr">#REF!</definedName>
    <definedName name="SKINBGBRAND12LEYr">#REF!</definedName>
    <definedName name="SKINBGBRAND12NAME">#REF!</definedName>
    <definedName name="SKINBGBRAND1ActYr">#REF!</definedName>
    <definedName name="SKINBGBRAND1APYr">#REF!</definedName>
    <definedName name="SKINBGBRAND1DatYr">#REF!</definedName>
    <definedName name="SKINBGBRAND1LEYr">#REF!</definedName>
    <definedName name="SKINBGBRAND1NAME">#REF!</definedName>
    <definedName name="SKINBGBrand2">#REF!</definedName>
    <definedName name="SKINBGBRAND2ActYr">#REF!</definedName>
    <definedName name="SKINBGBRAND2APYr">#REF!</definedName>
    <definedName name="SKINBGBRAND2DatYr">#REF!</definedName>
    <definedName name="SKINBGBRAND2LEYr">#REF!</definedName>
    <definedName name="SKINBGBRAND2NAME">#REF!</definedName>
    <definedName name="SKINBGBrand3">#REF!</definedName>
    <definedName name="SKINBGBRAND3ActYr">#REF!</definedName>
    <definedName name="SKINBGBRAND3APYr">#REF!</definedName>
    <definedName name="SKINBGBRAND3DatYr">#REF!</definedName>
    <definedName name="SKINBGBRAND3LEYr">#REF!</definedName>
    <definedName name="SKINBGBRAND3NAME">#REF!</definedName>
    <definedName name="SKINBGBrand4">#REF!</definedName>
    <definedName name="SKINBGBRAND4ActYr">#REF!</definedName>
    <definedName name="SKINBGBRAND4APYr">#REF!</definedName>
    <definedName name="SKINBGBRAND4DatYr">#REF!</definedName>
    <definedName name="SKINBGBRAND4LEYr">#REF!</definedName>
    <definedName name="SKINBGBRAND4NAME">#REF!</definedName>
    <definedName name="SKINBGBrand5">#REF!</definedName>
    <definedName name="SKINBGBRAND5ActYr">#REF!</definedName>
    <definedName name="SKINBGBRAND5APYr">#REF!</definedName>
    <definedName name="SKINBGBRAND5DatYr">#REF!</definedName>
    <definedName name="SKINBGBRAND5LEYr">#REF!</definedName>
    <definedName name="SKINBGBRAND5NAME">#REF!</definedName>
    <definedName name="SKINBGBrand6">#REF!</definedName>
    <definedName name="SKINBGBRAND6ActYr">#REF!</definedName>
    <definedName name="SKINBGBRAND6APYr">#REF!</definedName>
    <definedName name="SKINBGBRAND6DatYr">#REF!</definedName>
    <definedName name="SKINBGBRAND6LEYr">#REF!</definedName>
    <definedName name="SKINBGBRAND6NAME">#REF!</definedName>
    <definedName name="SKINBGBrand7">#REF!</definedName>
    <definedName name="SKINBGBRAND7ActYr">#REF!</definedName>
    <definedName name="SKINBGBRAND7APYr">#REF!</definedName>
    <definedName name="SKINBGBRAND7DatYr">#REF!</definedName>
    <definedName name="SKINBGBRAND7LEYr">#REF!</definedName>
    <definedName name="SKINBGBRAND7NAME">#REF!</definedName>
    <definedName name="SKINBGBrand8">#REF!</definedName>
    <definedName name="SKINBGBRAND8ActYr">#REF!</definedName>
    <definedName name="SKINBGBRAND8APYr">#REF!</definedName>
    <definedName name="SKINBGBRAND8DatYr">#REF!</definedName>
    <definedName name="SKINBGBRAND8LEYr">#REF!</definedName>
    <definedName name="SKINBGBRAND8NAME">#REF!</definedName>
    <definedName name="SKINBGBrand9">#REF!</definedName>
    <definedName name="SKINBGBRAND9ActYr">#REF!</definedName>
    <definedName name="SKINBGBRAND9APYr">#REF!</definedName>
    <definedName name="SKINBGBRAND9DatYr">#REF!</definedName>
    <definedName name="SKINBGBRAND9LEYr">#REF!</definedName>
    <definedName name="SKINBGBRAND9NAME">#REF!</definedName>
    <definedName name="SKINBGCode">#REF!</definedName>
    <definedName name="SKINBGDatYr">#REF!</definedName>
    <definedName name="SKINBGLEYr">#REF!</definedName>
    <definedName name="SORT">#REF!</definedName>
    <definedName name="SORT_AREA">#REF!</definedName>
    <definedName name="sortcol">#REF!</definedName>
    <definedName name="SPLYCHPEActYr">#REF!</definedName>
    <definedName name="SPLYCHPEAPYr">#REF!</definedName>
    <definedName name="SPLYCHPEBGSP">#REF!</definedName>
    <definedName name="SPLYCHPEDatYr">#REF!</definedName>
    <definedName name="SPLYCHPELEYr">#REF!</definedName>
    <definedName name="SPLYFXASActYr">#REF!</definedName>
    <definedName name="SPLYFXASAPYr">#REF!</definedName>
    <definedName name="SPLYFXASBGSP">#REF!</definedName>
    <definedName name="SPLYFXASDatYr">#REF!</definedName>
    <definedName name="SPLYFXASLEYr">#REF!</definedName>
    <definedName name="start">#REF!-1</definedName>
    <definedName name="Sum_TCdata">#REF!</definedName>
    <definedName name="SWOT">#REF!</definedName>
    <definedName name="T03AC">#REF!</definedName>
    <definedName name="TAMTINH">#REF!</definedName>
    <definedName name="TANSA">#REF!</definedName>
    <definedName name="TANVSIP">#REF!</definedName>
    <definedName name="tbl_basic_Invoice">#REF!</definedName>
    <definedName name="TDEPRCATActYr">#REF!</definedName>
    <definedName name="TDEPRCATAPYr">#REF!</definedName>
    <definedName name="TDEPRCATBGSP">#REF!</definedName>
    <definedName name="TDEPRCATDatYr">#REF!</definedName>
    <definedName name="TDEPRCATLEYr">#REF!</definedName>
    <definedName name="tdtrnc">#REF!</definedName>
    <definedName name="tdtrvl">#REF!</definedName>
    <definedName name="TEABGActYr">#REF!</definedName>
    <definedName name="TEABGAPYr">#REF!</definedName>
    <definedName name="TEABGBGSP">#REF!</definedName>
    <definedName name="TEABGBrand1">#REF!</definedName>
    <definedName name="TEABGBrand10">#REF!</definedName>
    <definedName name="TEABGBRAND10ActYr">#REF!</definedName>
    <definedName name="TEABGBRAND10APYr">#REF!</definedName>
    <definedName name="TEABGBRAND10DatYr">#REF!</definedName>
    <definedName name="TEABGBRAND10LEYr">#REF!</definedName>
    <definedName name="TEABGBRAND10NAME">#REF!</definedName>
    <definedName name="TEABGBrand11">#REF!</definedName>
    <definedName name="TEABGBRAND11ActYr">#REF!</definedName>
    <definedName name="TEABGBRAND11APYr">#REF!</definedName>
    <definedName name="TEABGBRAND11DatYr">#REF!</definedName>
    <definedName name="TEABGBRAND11LEYr">#REF!</definedName>
    <definedName name="TEABGBRAND11NAME">#REF!</definedName>
    <definedName name="TEABGBrand12">#REF!</definedName>
    <definedName name="TEABGBRAND12ActYr">#REF!</definedName>
    <definedName name="TEABGBRAND12APYr">#REF!</definedName>
    <definedName name="TEABGBRAND12DatYr">#REF!</definedName>
    <definedName name="TEABGBRAND12LEYr">#REF!</definedName>
    <definedName name="TEABGBRAND12NAME">#REF!</definedName>
    <definedName name="TEABGBRAND1ActYr">#REF!</definedName>
    <definedName name="TEABGBRAND1APYr">#REF!</definedName>
    <definedName name="TEABGBRAND1DatYr">#REF!</definedName>
    <definedName name="TEABGBRAND1LEYr">#REF!</definedName>
    <definedName name="TEABGBRAND1NAME">#REF!</definedName>
    <definedName name="TEABGBrand2">#REF!</definedName>
    <definedName name="TEABGBRAND2ActYr">#REF!</definedName>
    <definedName name="TEABGBRAND2APYr">#REF!</definedName>
    <definedName name="TEABGBRAND2DatYr">#REF!</definedName>
    <definedName name="TEABGBRAND2LEYr">#REF!</definedName>
    <definedName name="TEABGBRAND2NAME">#REF!</definedName>
    <definedName name="TEABGBrand3">#REF!</definedName>
    <definedName name="TEABGBRAND3ActYr">#REF!</definedName>
    <definedName name="TEABGBRAND3APYr">#REF!</definedName>
    <definedName name="TEABGBRAND3DatYr">#REF!</definedName>
    <definedName name="TEABGBRAND3LEYr">#REF!</definedName>
    <definedName name="TEABGBRAND3NAME">#REF!</definedName>
    <definedName name="TEABGBrand4">#REF!</definedName>
    <definedName name="TEABGBRAND4ActYr">#REF!</definedName>
    <definedName name="TEABGBRAND4APYr">#REF!</definedName>
    <definedName name="TEABGBRAND4DatYr">#REF!</definedName>
    <definedName name="TEABGBRAND4LEYr">#REF!</definedName>
    <definedName name="TEABGBRAND4NAME">#REF!</definedName>
    <definedName name="TEABGBrand5">#REF!</definedName>
    <definedName name="TEABGBRAND5ActYr">#REF!</definedName>
    <definedName name="TEABGBRAND5APYr">#REF!</definedName>
    <definedName name="TEABGBRAND5DatYr">#REF!</definedName>
    <definedName name="TEABGBRAND5LEYr">#REF!</definedName>
    <definedName name="TEABGBRAND5NAME">#REF!</definedName>
    <definedName name="TEABGBrand6">#REF!</definedName>
    <definedName name="TEABGBRAND6ActYr">#REF!</definedName>
    <definedName name="TEABGBRAND6APYr">#REF!</definedName>
    <definedName name="TEABGBRAND6DatYr">#REF!</definedName>
    <definedName name="TEABGBRAND6LEYr">#REF!</definedName>
    <definedName name="TEABGBRAND6NAME">#REF!</definedName>
    <definedName name="TEABGBrand7">#REF!</definedName>
    <definedName name="TEABGBRAND7ActYr">#REF!</definedName>
    <definedName name="TEABGBRAND7APYr">#REF!</definedName>
    <definedName name="TEABGBRAND7DatYr">#REF!</definedName>
    <definedName name="TEABGBRAND7LEYr">#REF!</definedName>
    <definedName name="TEABGBRAND7NAME">#REF!</definedName>
    <definedName name="TEABGBrand8">#REF!</definedName>
    <definedName name="TEABGBRAND8ActYr">#REF!</definedName>
    <definedName name="TEABGBRAND8APYr">#REF!</definedName>
    <definedName name="TEABGBRAND8DatYr">#REF!</definedName>
    <definedName name="TEABGBRAND8LEYr">#REF!</definedName>
    <definedName name="TEABGBRAND8NAME">#REF!</definedName>
    <definedName name="TEABGBrand9">#REF!</definedName>
    <definedName name="TEABGBRAND9ActYr">#REF!</definedName>
    <definedName name="TEABGBRAND9APYr">#REF!</definedName>
    <definedName name="TEABGBRAND9DatYr">#REF!</definedName>
    <definedName name="TEABGBRAND9LEYr">#REF!</definedName>
    <definedName name="TEABGBRAND9NAME">#REF!</definedName>
    <definedName name="TEABGCode">#REF!</definedName>
    <definedName name="TEABGDatYr">#REF!</definedName>
    <definedName name="TEABGLEYr">#REF!</definedName>
    <definedName name="TFDSActYr">#REF!</definedName>
    <definedName name="TFDSAPYr">#REF!</definedName>
    <definedName name="TFDSBGSP">#REF!</definedName>
    <definedName name="TFDSDatYr">#REF!</definedName>
    <definedName name="TFDSLEYr">#REF!</definedName>
    <definedName name="TG">#REF!</definedName>
    <definedName name="TGNH">#REF!</definedName>
    <definedName name="THMPERCActYr">#REF!</definedName>
    <definedName name="THMPERCAPYr">#REF!</definedName>
    <definedName name="THMPERCBGSP">#REF!</definedName>
    <definedName name="THMPERCDatYr">#REF!</definedName>
    <definedName name="THMPERCLEYr">#REF!</definedName>
    <definedName name="THPCActYr">#REF!</definedName>
    <definedName name="THPCAPYr">#REF!</definedName>
    <definedName name="THPCBGSP">#REF!</definedName>
    <definedName name="THPCDatYr">#REF!</definedName>
    <definedName name="THPCLEYr">#REF!</definedName>
    <definedName name="THUNGSA">#REF!</definedName>
    <definedName name="THUNGVSIP">#REF!</definedName>
    <definedName name="tluong">#REF!</definedName>
    <definedName name="TMBEIPERCActYr">#REF!</definedName>
    <definedName name="TMBEIPERCAPYr">#REF!</definedName>
    <definedName name="TMBEIPERCBGSP">#REF!</definedName>
    <definedName name="TMBEIPERCDatYr">#REF!</definedName>
    <definedName name="TMBEIPERCLEYr">#REF!</definedName>
    <definedName name="TON">#REF!</definedName>
    <definedName name="TOP">#REF!</definedName>
    <definedName name="Topsh">#REF!</definedName>
    <definedName name="TOTBYSPActYr">#REF!</definedName>
    <definedName name="TOTBYSPAPYr">#REF!</definedName>
    <definedName name="TOTBYSPBGSP">#REF!</definedName>
    <definedName name="TOTBYSPDatYr">#REF!</definedName>
    <definedName name="TOTBYSPLEYr">#REF!</definedName>
    <definedName name="TOTHActYr">#REF!</definedName>
    <definedName name="TOTHAPYr">#REF!</definedName>
    <definedName name="TOTHBGSP">#REF!</definedName>
    <definedName name="TotHCActYr">#REF!</definedName>
    <definedName name="TotHCAPYr">#REF!</definedName>
    <definedName name="TotHCBGSP">#REF!</definedName>
    <definedName name="TotHCDatYr">#REF!</definedName>
    <definedName name="TotHCLEYr">#REF!</definedName>
    <definedName name="TOTHDatYr">#REF!</definedName>
    <definedName name="TOTHLEYr">#REF!</definedName>
    <definedName name="TotPCActYr">#REF!</definedName>
    <definedName name="TotPCAPYr">#REF!</definedName>
    <definedName name="TotPCBGSP">#REF!</definedName>
    <definedName name="TotPCDatYr">#REF!</definedName>
    <definedName name="TotPCLEYr">#REF!</definedName>
    <definedName name="TOTSPLYSAV">#REF!</definedName>
    <definedName name="TPR">#REF!</definedName>
    <definedName name="TPRODActYr">#REF!</definedName>
    <definedName name="TPRODAPYr">#REF!</definedName>
    <definedName name="TPRODBGSP">#REF!</definedName>
    <definedName name="TPRODDatYr">#REF!</definedName>
    <definedName name="TPRODLEYr">#REF!</definedName>
    <definedName name="TPRPercActYr">#REF!</definedName>
    <definedName name="TPRPercAPYr">#REF!</definedName>
    <definedName name="TPRPercBGSP">#REF!</definedName>
    <definedName name="TPRPercDatYr">#REF!</definedName>
    <definedName name="TPRPercLEYr">#REF!</definedName>
    <definedName name="TRAM">#REF!</definedName>
    <definedName name="TSSCM">#REF!</definedName>
    <definedName name="TSUPPPERCActYr">#REF!</definedName>
    <definedName name="TSUPPPERCAPYr">#REF!</definedName>
    <definedName name="TSUPPPERCBGSP">#REF!</definedName>
    <definedName name="TSUPPPERCDatYr">#REF!</definedName>
    <definedName name="TSUPPPERCLEYr">#REF!</definedName>
    <definedName name="ttbt">#REF!</definedName>
    <definedName name="TVNH">#REF!</definedName>
    <definedName name="type">#REF!</definedName>
    <definedName name="UNIT">#REF!</definedName>
    <definedName name="UVGNPSPERCActYr">#REF!</definedName>
    <definedName name="UVGNPSPERCAPYr">#REF!</definedName>
    <definedName name="UVGNPSPERCBGSP">#REF!</definedName>
    <definedName name="UVGNPSPERCDatYr">#REF!</definedName>
    <definedName name="UVGNPSPERCLEYr">#REF!</definedName>
    <definedName name="UVGNPSPYActYr">#REF!</definedName>
    <definedName name="UVGNPSPYADActYr">#REF!</definedName>
    <definedName name="UVGNPSPYADAPYr">#REF!</definedName>
    <definedName name="UVGNPSPYADBGSP">#REF!</definedName>
    <definedName name="UVGNPSPYADDatYr">#REF!</definedName>
    <definedName name="UVGNPSPYADLEYr">#REF!</definedName>
    <definedName name="UVGNPSPYAPYr">#REF!</definedName>
    <definedName name="UVGNPSPYBGSP">#REF!</definedName>
    <definedName name="UVGNPSPYDatYr">#REF!</definedName>
    <definedName name="UVGNPSPYLEYr">#REF!</definedName>
    <definedName name="UVGPCPERCActYr">#REF!</definedName>
    <definedName name="UVGPCPERCAPYr">#REF!</definedName>
    <definedName name="UVGPCPERCBGSP">#REF!</definedName>
    <definedName name="UVGPCPERCDatYr">#REF!</definedName>
    <definedName name="UVGPCPERCLEYr">#REF!</definedName>
    <definedName name="UVGPERCActYr">#REF!</definedName>
    <definedName name="UVGPERCAPYr">#REF!</definedName>
    <definedName name="UVGPERCBGSP">#REF!</definedName>
    <definedName name="UVGPERCDatYr">#REF!</definedName>
    <definedName name="UVGPERCLEYr">#REF!</definedName>
    <definedName name="UVGXPYPActYr">#REF!</definedName>
    <definedName name="UVGXPYPADActYr">#REF!</definedName>
    <definedName name="UVGXPYPADAPYr">#REF!</definedName>
    <definedName name="UVGXPYPADBGSP">#REF!</definedName>
    <definedName name="UVGXPYPADDatYr">#REF!</definedName>
    <definedName name="UVGXPYPADLEYr">#REF!</definedName>
    <definedName name="UVGXPYPAPYr">#REF!</definedName>
    <definedName name="UVGXPYPBGSP">#REF!</definedName>
    <definedName name="UVGXPYPDatYr">#REF!</definedName>
    <definedName name="UVGXPYPLEYr">#REF!</definedName>
    <definedName name="V">1000000</definedName>
    <definedName name="VACOSTVActYr">#REF!</definedName>
    <definedName name="VACOSTVAPYr">#REF!</definedName>
    <definedName name="VACOSTVBGSP">#REF!</definedName>
    <definedName name="VACOSTVDatYr">#REF!</definedName>
    <definedName name="VACOSTVLEYr">#REF!</definedName>
    <definedName name="VAFCBYSVActYr">#REF!</definedName>
    <definedName name="VAFCBYSVAPYr">#REF!</definedName>
    <definedName name="VAFCBYSVBGSP">#REF!</definedName>
    <definedName name="VAFCBYSVDatYr">#REF!</definedName>
    <definedName name="VAFCBYSVLEYr">#REF!</definedName>
    <definedName name="VAGPVARActYr">#REF!</definedName>
    <definedName name="VAGPVARAPYr">#REF!</definedName>
    <definedName name="VAGPVARBGSP">#REF!</definedName>
    <definedName name="VAGPVARDatYr">#REF!</definedName>
    <definedName name="VAGPVARLEYr">#REF!</definedName>
    <definedName name="VAMEMTBSActYr">#REF!</definedName>
    <definedName name="VAMEMTBSAPYr">#REF!</definedName>
    <definedName name="VAMEMTBSBGSP">#REF!</definedName>
    <definedName name="VAMEMTBSDatYr">#REF!</definedName>
    <definedName name="VAMEMTBSLEYr">#REF!</definedName>
    <definedName name="VAOHBYSVActYr">#REF!</definedName>
    <definedName name="VAOHBYSVAPYr">#REF!</definedName>
    <definedName name="VAOHBYSVBGSP">#REF!</definedName>
    <definedName name="VAOHBYSVDatYr">#REF!</definedName>
    <definedName name="VAOHBYSVLEYr">#REF!</definedName>
    <definedName name="VAOHRESSVActYr">#REF!</definedName>
    <definedName name="VAOHRESSVAPYr">#REF!</definedName>
    <definedName name="VAOHRESSVBGSP">#REF!</definedName>
    <definedName name="VAOHRESSVDatYr">#REF!</definedName>
    <definedName name="VAOHRESSVLEYr">#REF!</definedName>
    <definedName name="VAOTHBYSAVActYr">#REF!</definedName>
    <definedName name="VAOTHBYSAVAPYr">#REF!</definedName>
    <definedName name="VAOTHBYSAVBGSP">#REF!</definedName>
    <definedName name="VAOTHBYSAVDatYr">#REF!</definedName>
    <definedName name="VAOTHBYSAVLEYr">#REF!</definedName>
    <definedName name="VAOTHGPActYr">#REF!</definedName>
    <definedName name="VAOTHGPAPYr">#REF!</definedName>
    <definedName name="VAOTHGPBGSP">#REF!</definedName>
    <definedName name="VAOTHGPDatYr">#REF!</definedName>
    <definedName name="VAOTHGPLEYr">#REF!</definedName>
    <definedName name="VAPYGPRActYr">#REF!</definedName>
    <definedName name="VAPYGPRAPYr">#REF!</definedName>
    <definedName name="VAPYGPRBGSP">#REF!</definedName>
    <definedName name="VAPYGPRDatYr">#REF!</definedName>
    <definedName name="VAPYGPRLEYr">#REF!</definedName>
    <definedName name="VARESTSAVActYr">#REF!</definedName>
    <definedName name="VARESTSAVAPYr">#REF!</definedName>
    <definedName name="VARESTSAVBGSP">#REF!</definedName>
    <definedName name="VARESTSAVDatYr">#REF!</definedName>
    <definedName name="VARESTSAVLEYr">#REF!</definedName>
    <definedName name="VASCBYSAVActYr">#REF!</definedName>
    <definedName name="VASCBYSAVAPYr">#REF!</definedName>
    <definedName name="VASCBYSAVBGSP">#REF!</definedName>
    <definedName name="VASCBYSAVDatYr">#REF!</definedName>
    <definedName name="VASCBYSAVLEYr">#REF!</definedName>
    <definedName name="Vaseline">#REF!</definedName>
    <definedName name="VASELPRVActYr">#REF!</definedName>
    <definedName name="VASELPRVAPYr">#REF!</definedName>
    <definedName name="VASELPRVBGSP">#REF!</definedName>
    <definedName name="VASELPRVDatYr">#REF!</definedName>
    <definedName name="VASELPRVLEYr">#REF!</definedName>
    <definedName name="VATOTRESTSVActYr">#REF!</definedName>
    <definedName name="VATOTRESTSVAPYr">#REF!</definedName>
    <definedName name="VATOTRESTSVBGSP">#REF!</definedName>
    <definedName name="VATOTRESTSVDatYr">#REF!</definedName>
    <definedName name="VATOTRESTSVLEYr">#REF!</definedName>
    <definedName name="VAUNDCCActYr">#REF!</definedName>
    <definedName name="VAUNDCCAPYr">#REF!</definedName>
    <definedName name="VAUNDCCBGSP">#REF!</definedName>
    <definedName name="VAUNDCCDatYr">#REF!</definedName>
    <definedName name="VAUNDCCLEYr">#REF!</definedName>
    <definedName name="VAVOLMIXVActYr">#REF!</definedName>
    <definedName name="VAVOLMIXVAPYr">#REF!</definedName>
    <definedName name="VAVOLMIXVBGSP">#REF!</definedName>
    <definedName name="VAVOLMIXVDatYr">#REF!</definedName>
    <definedName name="VAVOLMIXVLEYr">#REF!</definedName>
    <definedName name="vccot">#REF!</definedName>
    <definedName name="vctb">#REF!</definedName>
    <definedName name="VD">#REF!</definedName>
    <definedName name="VDCLY">#REF!</definedName>
    <definedName name="Vlcap0.7">#REF!</definedName>
    <definedName name="VLcap1">#REF!</definedName>
    <definedName name="Vnd_bio">10^9</definedName>
    <definedName name="VND_mil">10^6</definedName>
    <definedName name="VOL">#REF!</definedName>
    <definedName name="VOLUMEActYr">#REF!</definedName>
    <definedName name="VOLUMEAPYr">#REF!</definedName>
    <definedName name="VOLUMEBGSP">#REF!</definedName>
    <definedName name="VOLUMEDatYr">#REF!</definedName>
    <definedName name="VOLUMELEYr">#REF!</definedName>
    <definedName name="VP">#REF!</definedName>
    <definedName name="VS_LINK">#REF!</definedName>
    <definedName name="water">#REF!</definedName>
    <definedName name="WCCRDACQActYr">#REF!</definedName>
    <definedName name="WCCRDACQAPYr">#REF!</definedName>
    <definedName name="WCCRDACQBGSP">#REF!</definedName>
    <definedName name="WCCRDACQDatYr">#REF!</definedName>
    <definedName name="WCCRDACQLEYr">#REF!</definedName>
    <definedName name="WCCRDCLOSEActYr">#REF!</definedName>
    <definedName name="WCCRDCLOSEAPYr">#REF!</definedName>
    <definedName name="WCCRDCLOSEBGSP">#REF!</definedName>
    <definedName name="WCCRDCLOSEDatYr">#REF!</definedName>
    <definedName name="WCCRDCLOSELEYr">#REF!</definedName>
    <definedName name="WCCRDDECPYActYr">#REF!</definedName>
    <definedName name="WCCRDDECPYAPYr">#REF!</definedName>
    <definedName name="WCCRDDECPYBGSP">#REF!</definedName>
    <definedName name="WCCRDDECPYDatYr">#REF!</definedName>
    <definedName name="WCCRDDECPYLEYr">#REF!</definedName>
    <definedName name="WCCRDDISActYr">#REF!</definedName>
    <definedName name="WCCRDDISAPYr">#REF!</definedName>
    <definedName name="WCCRDDISBGSP">#REF!</definedName>
    <definedName name="WCCRDDISDatYr">#REF!</definedName>
    <definedName name="WCCRDDISLEYr">#REF!</definedName>
    <definedName name="WCDEBACQActYr">#REF!</definedName>
    <definedName name="WCDEBACQAPYr">#REF!</definedName>
    <definedName name="WCDEBACQBGSP">#REF!</definedName>
    <definedName name="WCDEBACQDatYr">#REF!</definedName>
    <definedName name="WCDEBACQLEYr">#REF!</definedName>
    <definedName name="WCDEBCLOSEActYr">#REF!</definedName>
    <definedName name="WCDEBCLOSEAPYr">#REF!</definedName>
    <definedName name="WCDEBCLOSEBGSP">#REF!</definedName>
    <definedName name="WCDEBCLOSEDatYr">#REF!</definedName>
    <definedName name="WCDEBCLOSELEYr">#REF!</definedName>
    <definedName name="WCDEBDECPYActYr">#REF!</definedName>
    <definedName name="WCDEBDECPYAPYr">#REF!</definedName>
    <definedName name="WCDEBDECPYBGSP">#REF!</definedName>
    <definedName name="WCDEBDECPYDatYr">#REF!</definedName>
    <definedName name="WCDEBDECPYLEYr">#REF!</definedName>
    <definedName name="WCDEBDISActYr">#REF!</definedName>
    <definedName name="WCDEBDISAPYr">#REF!</definedName>
    <definedName name="WCDEBDISBGSP">#REF!</definedName>
    <definedName name="WCDEBDISDatYr">#REF!</definedName>
    <definedName name="WCDEBDISLEYr">#REF!</definedName>
    <definedName name="WCRESACQActYr">#REF!</definedName>
    <definedName name="WCRESACQAPYr">#REF!</definedName>
    <definedName name="WCRESACQBGSP">#REF!</definedName>
    <definedName name="WCRESACQDatYr">#REF!</definedName>
    <definedName name="WCRESACQLEYr">#REF!</definedName>
    <definedName name="WCRESCLOSEActYr">#REF!</definedName>
    <definedName name="WCRESCLOSEAPYr">#REF!</definedName>
    <definedName name="WCRESCLOSEBGSP">#REF!</definedName>
    <definedName name="WCRESCLOSEDatYr">#REF!</definedName>
    <definedName name="WCRESCLOSELEYr">#REF!</definedName>
    <definedName name="WCRESDECPYActYr">#REF!</definedName>
    <definedName name="WCRESDECPYAPYr">#REF!</definedName>
    <definedName name="WCRESDECPYBGSP">#REF!</definedName>
    <definedName name="WCRESDECPYDatYr">#REF!</definedName>
    <definedName name="WCRESDECPYLEYr">#REF!</definedName>
    <definedName name="WCRESDISActYr">#REF!</definedName>
    <definedName name="WCRESDISAPYr">#REF!</definedName>
    <definedName name="WCRESDISBGSP">#REF!</definedName>
    <definedName name="WCRESDISDatYr">#REF!</definedName>
    <definedName name="WCRESDISLEYr">#REF!</definedName>
    <definedName name="WCSTKACQActYr">#REF!</definedName>
    <definedName name="WCSTKACQAPYr">#REF!</definedName>
    <definedName name="WCSTKACQBGSP">#REF!</definedName>
    <definedName name="WCSTKACQDatYr">#REF!</definedName>
    <definedName name="WCSTKACQLEYr">#REF!</definedName>
    <definedName name="WCSTKCLOSEActYr">#REF!</definedName>
    <definedName name="WCSTKCLOSEAPYr">#REF!</definedName>
    <definedName name="WCSTKCLOSEBGSP">#REF!</definedName>
    <definedName name="WCSTKCLOSEDatYr">#REF!</definedName>
    <definedName name="WCSTKCLOSELEYr">#REF!</definedName>
    <definedName name="WCSTKDECPYActYr">#REF!</definedName>
    <definedName name="WCSTKDECPYAPYr">#REF!</definedName>
    <definedName name="WCSTKDECPYBGSP">#REF!</definedName>
    <definedName name="WCSTKDECPYDatYr">#REF!</definedName>
    <definedName name="WCSTKDECPYLEYr">#REF!</definedName>
    <definedName name="WCSTKDISActYr">#REF!</definedName>
    <definedName name="WCSTKDISAPYr">#REF!</definedName>
    <definedName name="WCSTKDISBGSP">#REF!</definedName>
    <definedName name="WCSTKDISDatYr">#REF!</definedName>
    <definedName name="WCSTKDISLEYr">#REF!</definedName>
    <definedName name="WeekNumbers">#REF!</definedName>
    <definedName name="WIP">#REF!</definedName>
    <definedName name="wrn.Full." hidden="1">{#N/A,#N/A,FALSE,"JV";#N/A,#N/A,FALSE,"Source"}</definedName>
    <definedName name="wrn.Full._.Findex._.Report." hidden="1">{#N/A,#N/A,TRUE,"Cover Page";#N/A,#N/A,TRUE,"Supply Chain  KPIs";#N/A,#N/A,TRUE,"Conv Cost Comparision";#N/A,#N/A,TRUE,"Inventory-FG";#N/A,#N/A,TRUE,"Inventory-RM";#N/A,#N/A,TRUE,"Inventory-PM";#N/A,#N/A,TRUE,"Inventory-Sparepart";#N/A,"TD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Plants";#N/A,"TD Shampoo Bottle Plant",TRUE,"HPC Plants";#N/A,"TD Shampoo Sachet Plant",TRUE,"HPC Plants";#N/A,"TD Shampoo Plant",TRUE,"HPC Plants";#N/A,"TD Skincare Plant",TRUE,"HPC Plants";#N/A,"TD Showgel Plant",TRUE,"HPC Plants";#N/A,"HV Gel Plant",TRUE,"HPC Plants";#N/A,"TD HHC Plant",TRUE,"HPC Plants";#N/A,"Net South HHC Plant",TRUE,"HPC Plants";#N/A,"Haso2 HHC Plant",TRUE,"HPC Plants";#N/A,"ThienNga HHC Plant",TRUE,"HPC Plants";#N/A,"HV Comfort Sachet Plant",TRUE,"HPC Plants";#N/A,"HV Comfort Bottle Plant",TRUE,"HPC Plants";#N/A,"Hanoi Soap Plant",TRUE,"HPC Plants";#N/A,"EPS Toothpaste Plant",TRUE,"HPC Plants";#N/A,"Foods Tea Plant",TRUE,"HPC Plants";#N/A,"Foods Culinary Plant",TRUE,"HPC Plants";#N/A,"Cico Paste Plant",TRUE,"HPC Plants"}</definedName>
    <definedName name="wrn.HPC._.Budget._._._.LVN._.North." hidden="1">{#N/A,"HPC Budgets-011B",TRUE,"HPC Budgets";#N/A,"HPC Budgets-012B",TRUE,"HPC Budgets";#N/A,"HPC Budgets-013B",TRUE,"HPC Budgets";#N/A,"HPC Budgets-030B",TRUE,"HPC Budgets";#N/A,"HPC Budgets-031B",TRUE,"HPC Budgets";#N/A,"HPC Budgets-032B",TRUE,"HPC Budgets";#N/A,"HPC Budgets-033B",TRUE,"HPC Budgets";#N/A,"HPC Budgets-034B",TRUE,"HPC Budgets"}</definedName>
    <definedName name="wrn.HPC._.Budgets._._LVN._.South." hidden="1">{#N/A,"HPC Budgets-011H",TRUE,"HPC Budgets";#N/A,"HPC Budgets-012H",TRUE,"HPC Budgets";#N/A,"HPC-Budgets-013H",TRUE,"HPC Budgets";#N/A,"HPC-Budgets-030H",TRUE,"HPC Budgets";#N/A,"HPC Budgets-031H",TRUE,"HPC Budgets";#N/A,"HPC Budgets-032H",TRUE,"HPC Budgets";#N/A,"HPC Budget-033H",TRUE,"HPC Budgets";#N/A,"HPC Budget-034H",TRUE,"HPC Budgets";#N/A,"HPC Budgets-035H",TRUE,"HPC Budgets";#N/A,"HPC Budgets-036H",TRUE,"HPC Budgets";#N/A,"HPC Budgets-037H",TRUE,"HPC Budgets";#N/A,"HPC Budgets-038H",TRUE,"HPC Budgets";#N/A,"HPC Budgets-042H",TRUE,"HPC Budgets"}</definedName>
    <definedName name="wrn.Powder._.Sites._.Only." hidden="1">{#N/A,#N/A,TRUE,"Cover Page";#N/A,"TD Powder Plant",TRUE,"HPC Plants";#N/A,"Hanoi Powder Plant",TRUE,"HPC Plants";#N/A,"Net North Powder Plant",TRUE,"HPC Plants";#N/A,"HN_NN Powder Plant",TRUE,"HPC Plants";#N/A,"Lix South Powder Plant",TRUE,"HPC Plants";#N/A,"Net South Powder Plant",TRUE,"HPC Plants";#N/A,"Cico Powder Plant",TRUE,"HPC Plants"}</definedName>
    <definedName name="wrn.Shampoo._.Sites._.Only." hidden="1">{#N/A,#N/A,TRUE,"Cover Page";#N/A,"TD Shampoo Sachet Plant",TRUE,"HPC Plants";#N/A,"TD Shampoo Bottle Plant",TRUE,"HPC Plants";#N/A,"TD Shampoo Plant",TRUE,"HPC Plants"}</definedName>
    <definedName name="wrn.Stock._.Cover._.KPI._.Report." hidden="1">{#N/A,#N/A,TRUE,"Inventory-FG";#N/A,#N/A,TRUE,"Inventory-RM";#N/A,#N/A,TRUE,"Inventory-PM";#N/A,#N/A,TRUE,"Inventory-Sparepart"}</definedName>
    <definedName name="x">#REF!</definedName>
    <definedName name="xfconc">#REF!</definedName>
    <definedName name="xfcovl">#REF!</definedName>
    <definedName name="XUATW1">#REF!</definedName>
    <definedName name="YFBGActYr">#REF!</definedName>
    <definedName name="YFBGAPYr">#REF!</definedName>
    <definedName name="YFBGBGSP">#REF!</definedName>
    <definedName name="YFBGBrand1">#REF!</definedName>
    <definedName name="YFBGBrand10">#REF!</definedName>
    <definedName name="YFBGBRAND10ActYr">#REF!</definedName>
    <definedName name="YFBGBRAND10APYr">#REF!</definedName>
    <definedName name="YFBGBRAND10DatYr">#REF!</definedName>
    <definedName name="YFBGBRAND10LEYr">#REF!</definedName>
    <definedName name="YFBGBRAND10NAME">#REF!</definedName>
    <definedName name="YFBGBrand11">#REF!</definedName>
    <definedName name="YFBGBRAND11ActYr">#REF!</definedName>
    <definedName name="YFBGBRAND11APYr">#REF!</definedName>
    <definedName name="YFBGBRAND11DatYr">#REF!</definedName>
    <definedName name="YFBGBRAND11LEYr">#REF!</definedName>
    <definedName name="YFBGBRAND11NAME">#REF!</definedName>
    <definedName name="YFBGBrand12">#REF!</definedName>
    <definedName name="YFBGBRAND12ActYr">#REF!</definedName>
    <definedName name="YFBGBRAND12APYr">#REF!</definedName>
    <definedName name="YFBGBRAND12DatYr">#REF!</definedName>
    <definedName name="YFBGBRAND12LEYr">#REF!</definedName>
    <definedName name="YFBGBRAND12NAME">#REF!</definedName>
    <definedName name="YFBGBRAND1ActYr">#REF!</definedName>
    <definedName name="YFBGBRAND1APYr">#REF!</definedName>
    <definedName name="YFBGBRAND1DatYr">#REF!</definedName>
    <definedName name="YFBGBRAND1LEYr">#REF!</definedName>
    <definedName name="YFBGBRAND1NAME">#REF!</definedName>
    <definedName name="YFBGBrand2">#REF!</definedName>
    <definedName name="YFBGBRAND2ActYr">#REF!</definedName>
    <definedName name="YFBGBRAND2APYr">#REF!</definedName>
    <definedName name="YFBGBRAND2DatYr">#REF!</definedName>
    <definedName name="YFBGBRAND2LEYr">#REF!</definedName>
    <definedName name="YFBGBRAND2NAME">#REF!</definedName>
    <definedName name="YFBGBrand3">#REF!</definedName>
    <definedName name="YFBGBRAND3ActYr">#REF!</definedName>
    <definedName name="YFBGBRAND3APYr">#REF!</definedName>
    <definedName name="YFBGBRAND3DatYr">#REF!</definedName>
    <definedName name="YFBGBRAND3LEYr">#REF!</definedName>
    <definedName name="YFBGBRAND3NAME">#REF!</definedName>
    <definedName name="YFBGBrand4">#REF!</definedName>
    <definedName name="YFBGBRAND4ActYr">#REF!</definedName>
    <definedName name="YFBGBRAND4APYr">#REF!</definedName>
    <definedName name="YFBGBRAND4DatYr">#REF!</definedName>
    <definedName name="YFBGBRAND4LEYr">#REF!</definedName>
    <definedName name="YFBGBRAND4NAME">#REF!</definedName>
    <definedName name="YFBGBrand5">#REF!</definedName>
    <definedName name="YFBGBRAND5ActYr">#REF!</definedName>
    <definedName name="YFBGBRAND5APYr">#REF!</definedName>
    <definedName name="YFBGBRAND5DatYr">#REF!</definedName>
    <definedName name="YFBGBRAND5LEYr">#REF!</definedName>
    <definedName name="YFBGBRAND5NAME">#REF!</definedName>
    <definedName name="YFBGBrand6">#REF!</definedName>
    <definedName name="YFBGBRAND6ActYr">#REF!</definedName>
    <definedName name="YFBGBRAND6APYr">#REF!</definedName>
    <definedName name="YFBGBRAND6DatYr">#REF!</definedName>
    <definedName name="YFBGBRAND6LEYr">#REF!</definedName>
    <definedName name="YFBGBRAND6NAME">#REF!</definedName>
    <definedName name="YFBGBrand7">#REF!</definedName>
    <definedName name="YFBGBRAND7ActYr">#REF!</definedName>
    <definedName name="YFBGBRAND7APYr">#REF!</definedName>
    <definedName name="YFBGBRAND7DatYr">#REF!</definedName>
    <definedName name="YFBGBRAND7LEYr">#REF!</definedName>
    <definedName name="YFBGBRAND7NAME">#REF!</definedName>
    <definedName name="YFBGBrand8">#REF!</definedName>
    <definedName name="YFBGBRAND8ActYr">#REF!</definedName>
    <definedName name="YFBGBRAND8APYr">#REF!</definedName>
    <definedName name="YFBGBRAND8DatYr">#REF!</definedName>
    <definedName name="YFBGBRAND8LEYr">#REF!</definedName>
    <definedName name="YFBGBRAND8NAME">#REF!</definedName>
    <definedName name="YFBGBrand9">#REF!</definedName>
    <definedName name="YFBGBRAND9ActYr">#REF!</definedName>
    <definedName name="YFBGBRAND9APYr">#REF!</definedName>
    <definedName name="YFBGBRAND9DatYr">#REF!</definedName>
    <definedName name="YFBGBRAND9LEYr">#REF!</definedName>
    <definedName name="YFBGBRAND9NAME">#REF!</definedName>
    <definedName name="YFBGCode">#REF!</definedName>
    <definedName name="YFBGDatYr">#REF!</definedName>
    <definedName name="YFBGLEYr">#REF!</definedName>
    <definedName name="YLDGCEActYr">#REF!</definedName>
    <definedName name="YLDGCEAPYr">#REF!</definedName>
    <definedName name="YLDGCEBGSP">#REF!</definedName>
    <definedName name="YLDGCEDatYr">#REF!</definedName>
    <definedName name="YLDGCELEYr">#REF!</definedName>
    <definedName name="YN">#REF!</definedName>
    <definedName name="YN_Adj">#REF!</definedName>
    <definedName name="YN_All">#REF!</definedName>
    <definedName name="YN_All_Deo">#REF!</definedName>
    <definedName name="YN_All_FbCl">#REF!</definedName>
    <definedName name="YN_All_FbCo">#REF!</definedName>
    <definedName name="YN_All_Hair">#REF!</definedName>
    <definedName name="YN_All_Hhc">#REF!</definedName>
    <definedName name="YN_All_Oral">#REF!</definedName>
    <definedName name="YN_All_PW">#REF!</definedName>
    <definedName name="YN_All_Skin">#REF!</definedName>
    <definedName name="YN_Deo">#REF!</definedName>
    <definedName name="YN_FbCl">#REF!</definedName>
    <definedName name="YN_FbCo">#REF!</definedName>
    <definedName name="YN_Hair">#REF!</definedName>
    <definedName name="YN_Hhc">#REF!</definedName>
    <definedName name="YN_Oral">#REF!</definedName>
    <definedName name="YN_PW">#REF!</definedName>
    <definedName name="YN_Skin">#REF!</definedName>
    <definedName name="Yomost">#REF!</definedName>
    <definedName name="z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T271" i="1" l="1"/>
  <c r="BS271" i="1"/>
  <c r="BR271" i="1"/>
  <c r="BO271" i="1"/>
  <c r="BN271" i="1"/>
  <c r="BM271" i="1"/>
  <c r="BL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P271" i="1"/>
  <c r="AO271" i="1"/>
  <c r="AN271" i="1"/>
  <c r="AM271" i="1"/>
  <c r="AK271" i="1"/>
  <c r="AJ271" i="1"/>
  <c r="AI271" i="1"/>
  <c r="AH271" i="1"/>
  <c r="AF271" i="1"/>
  <c r="AE271" i="1"/>
  <c r="AD271" i="1"/>
  <c r="AC271" i="1"/>
  <c r="AA271" i="1"/>
  <c r="Z271" i="1"/>
  <c r="Y271" i="1"/>
  <c r="X271" i="1"/>
  <c r="V271" i="1"/>
  <c r="U271" i="1"/>
  <c r="T271" i="1"/>
  <c r="S271" i="1"/>
  <c r="Q271" i="1"/>
  <c r="P271" i="1"/>
  <c r="O271" i="1"/>
  <c r="N271" i="1"/>
  <c r="L271" i="1"/>
  <c r="K271" i="1"/>
  <c r="J271" i="1"/>
  <c r="I271" i="1"/>
  <c r="BT270" i="1"/>
  <c r="BS270" i="1"/>
  <c r="BR270" i="1"/>
  <c r="BQ270" i="1"/>
  <c r="BP270" i="1"/>
  <c r="BK270" i="1"/>
  <c r="BF270" i="1"/>
  <c r="BA270" i="1"/>
  <c r="AV270" i="1"/>
  <c r="AQ270" i="1"/>
  <c r="AL270" i="1"/>
  <c r="AG270" i="1"/>
  <c r="AB270" i="1"/>
  <c r="W270" i="1"/>
  <c r="R270" i="1"/>
  <c r="M270" i="1"/>
  <c r="M271" i="1" s="1"/>
  <c r="BU269" i="1"/>
  <c r="BT269" i="1"/>
  <c r="BS269" i="1"/>
  <c r="BR269" i="1"/>
  <c r="BQ269" i="1"/>
  <c r="BP269" i="1"/>
  <c r="BP271" i="1" s="1"/>
  <c r="BK269" i="1"/>
  <c r="BF269" i="1"/>
  <c r="BA269" i="1"/>
  <c r="AV269" i="1"/>
  <c r="AQ269" i="1"/>
  <c r="AL269" i="1"/>
  <c r="AL271" i="1" s="1"/>
  <c r="AG269" i="1"/>
  <c r="AB269" i="1"/>
  <c r="W269" i="1"/>
  <c r="R269" i="1"/>
  <c r="M269" i="1"/>
  <c r="BU268" i="1"/>
  <c r="BT268" i="1"/>
  <c r="BS268" i="1"/>
  <c r="BR268" i="1"/>
  <c r="BQ268" i="1"/>
  <c r="BP268" i="1"/>
  <c r="BK268" i="1"/>
  <c r="BK271" i="1" s="1"/>
  <c r="BF268" i="1"/>
  <c r="BA268" i="1"/>
  <c r="AV268" i="1"/>
  <c r="AQ268" i="1"/>
  <c r="AL268" i="1"/>
  <c r="AG268" i="1"/>
  <c r="AG271" i="1" s="1"/>
  <c r="AB268" i="1"/>
  <c r="AB271" i="1" s="1"/>
  <c r="W268" i="1"/>
  <c r="W271" i="1" s="1"/>
  <c r="R268" i="1"/>
  <c r="R271" i="1" s="1"/>
  <c r="M268" i="1"/>
  <c r="BS267" i="1"/>
  <c r="AP267" i="1"/>
  <c r="AF267" i="1"/>
  <c r="Y267" i="1"/>
  <c r="X267" i="1"/>
  <c r="W267" i="1"/>
  <c r="V267" i="1"/>
  <c r="BT266" i="1"/>
  <c r="BS266" i="1"/>
  <c r="BR266" i="1"/>
  <c r="BO266" i="1"/>
  <c r="BN266" i="1"/>
  <c r="BM266" i="1"/>
  <c r="BL266" i="1"/>
  <c r="BK266" i="1"/>
  <c r="BJ266" i="1"/>
  <c r="BI266" i="1"/>
  <c r="BH266" i="1"/>
  <c r="BG266" i="1"/>
  <c r="BE266" i="1"/>
  <c r="BD266" i="1"/>
  <c r="BC266" i="1"/>
  <c r="BB266" i="1"/>
  <c r="AZ266" i="1"/>
  <c r="AY266" i="1"/>
  <c r="AX266" i="1"/>
  <c r="AW266" i="1"/>
  <c r="AV266" i="1"/>
  <c r="AU266" i="1"/>
  <c r="AT266" i="1"/>
  <c r="AS266" i="1"/>
  <c r="AR266" i="1"/>
  <c r="AP266" i="1"/>
  <c r="AO266" i="1"/>
  <c r="AN266" i="1"/>
  <c r="AM266" i="1"/>
  <c r="AL266" i="1"/>
  <c r="AK266" i="1"/>
  <c r="AJ266" i="1"/>
  <c r="AI266" i="1"/>
  <c r="AH266" i="1"/>
  <c r="AG266" i="1"/>
  <c r="AG267" i="1" s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U267" i="1" s="1"/>
  <c r="T266" i="1"/>
  <c r="S266" i="1"/>
  <c r="Q266" i="1"/>
  <c r="P266" i="1"/>
  <c r="O266" i="1"/>
  <c r="N266" i="1"/>
  <c r="M266" i="1"/>
  <c r="L266" i="1"/>
  <c r="K266" i="1"/>
  <c r="J266" i="1"/>
  <c r="I266" i="1"/>
  <c r="BT265" i="1"/>
  <c r="BS265" i="1"/>
  <c r="BR265" i="1"/>
  <c r="BQ265" i="1"/>
  <c r="BP265" i="1"/>
  <c r="BP266" i="1" s="1"/>
  <c r="BK265" i="1"/>
  <c r="BF265" i="1"/>
  <c r="BF266" i="1" s="1"/>
  <c r="BA265" i="1"/>
  <c r="BA266" i="1" s="1"/>
  <c r="AV265" i="1"/>
  <c r="AQ265" i="1"/>
  <c r="AQ266" i="1" s="1"/>
  <c r="AL265" i="1"/>
  <c r="AG265" i="1"/>
  <c r="AB265" i="1"/>
  <c r="W265" i="1"/>
  <c r="R265" i="1"/>
  <c r="R266" i="1" s="1"/>
  <c r="M265" i="1"/>
  <c r="BT264" i="1"/>
  <c r="BS264" i="1"/>
  <c r="BR264" i="1"/>
  <c r="BO264" i="1"/>
  <c r="BN264" i="1"/>
  <c r="BM264" i="1"/>
  <c r="BL264" i="1"/>
  <c r="BJ264" i="1"/>
  <c r="BI264" i="1"/>
  <c r="BH264" i="1"/>
  <c r="BG264" i="1"/>
  <c r="BF264" i="1"/>
  <c r="BE264" i="1"/>
  <c r="BE267" i="1" s="1"/>
  <c r="BD264" i="1"/>
  <c r="BC264" i="1"/>
  <c r="BB264" i="1"/>
  <c r="AZ264" i="1"/>
  <c r="AY264" i="1"/>
  <c r="AX264" i="1"/>
  <c r="AW264" i="1"/>
  <c r="AV264" i="1"/>
  <c r="AU264" i="1"/>
  <c r="AT264" i="1"/>
  <c r="AS264" i="1"/>
  <c r="AR264" i="1"/>
  <c r="AR267" i="1" s="1"/>
  <c r="AQ264" i="1"/>
  <c r="AP264" i="1"/>
  <c r="AO264" i="1"/>
  <c r="AN264" i="1"/>
  <c r="AM264" i="1"/>
  <c r="AK264" i="1"/>
  <c r="AJ264" i="1"/>
  <c r="AI264" i="1"/>
  <c r="AH264" i="1"/>
  <c r="AG264" i="1"/>
  <c r="AF264" i="1"/>
  <c r="AE264" i="1"/>
  <c r="AD264" i="1"/>
  <c r="AC264" i="1"/>
  <c r="AA264" i="1"/>
  <c r="Z264" i="1"/>
  <c r="Y264" i="1"/>
  <c r="X264" i="1"/>
  <c r="W264" i="1"/>
  <c r="V264" i="1"/>
  <c r="U264" i="1"/>
  <c r="T264" i="1"/>
  <c r="S264" i="1"/>
  <c r="Q264" i="1"/>
  <c r="P264" i="1"/>
  <c r="O264" i="1"/>
  <c r="N264" i="1"/>
  <c r="L264" i="1"/>
  <c r="K264" i="1"/>
  <c r="J264" i="1"/>
  <c r="I264" i="1"/>
  <c r="BT263" i="1"/>
  <c r="BU263" i="1" s="1"/>
  <c r="BU264" i="1" s="1"/>
  <c r="BS263" i="1"/>
  <c r="BR263" i="1"/>
  <c r="BQ263" i="1"/>
  <c r="BQ264" i="1" s="1"/>
  <c r="BP263" i="1"/>
  <c r="BP264" i="1" s="1"/>
  <c r="BK263" i="1"/>
  <c r="BK264" i="1" s="1"/>
  <c r="BF263" i="1"/>
  <c r="BA263" i="1"/>
  <c r="BA264" i="1" s="1"/>
  <c r="AV263" i="1"/>
  <c r="AQ263" i="1"/>
  <c r="AL263" i="1"/>
  <c r="AL264" i="1" s="1"/>
  <c r="AG263" i="1"/>
  <c r="AB263" i="1"/>
  <c r="AB264" i="1" s="1"/>
  <c r="W263" i="1"/>
  <c r="R263" i="1"/>
  <c r="R264" i="1" s="1"/>
  <c r="M263" i="1"/>
  <c r="M264" i="1" s="1"/>
  <c r="BR262" i="1"/>
  <c r="BQ262" i="1"/>
  <c r="BP262" i="1"/>
  <c r="BO262" i="1"/>
  <c r="BN262" i="1"/>
  <c r="BM262" i="1"/>
  <c r="BL262" i="1"/>
  <c r="BJ262" i="1"/>
  <c r="BI262" i="1"/>
  <c r="BH262" i="1"/>
  <c r="BG262" i="1"/>
  <c r="BE262" i="1"/>
  <c r="BD262" i="1"/>
  <c r="BD267" i="1" s="1"/>
  <c r="BC262" i="1"/>
  <c r="BB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J267" i="1" s="1"/>
  <c r="AI262" i="1"/>
  <c r="AH262" i="1"/>
  <c r="AF262" i="1"/>
  <c r="AE262" i="1"/>
  <c r="AD262" i="1"/>
  <c r="AC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L267" i="1" s="1"/>
  <c r="K262" i="1"/>
  <c r="K267" i="1" s="1"/>
  <c r="J262" i="1"/>
  <c r="I262" i="1"/>
  <c r="BT261" i="1"/>
  <c r="BS261" i="1"/>
  <c r="BS262" i="1" s="1"/>
  <c r="BR261" i="1"/>
  <c r="BQ261" i="1"/>
  <c r="BP261" i="1"/>
  <c r="BK261" i="1"/>
  <c r="BK262" i="1" s="1"/>
  <c r="BF261" i="1"/>
  <c r="BF262" i="1" s="1"/>
  <c r="BA261" i="1"/>
  <c r="BA262" i="1" s="1"/>
  <c r="AV261" i="1"/>
  <c r="AQ261" i="1"/>
  <c r="AL261" i="1"/>
  <c r="AG261" i="1"/>
  <c r="AG262" i="1" s="1"/>
  <c r="AB261" i="1"/>
  <c r="AB262" i="1" s="1"/>
  <c r="W261" i="1"/>
  <c r="R261" i="1"/>
  <c r="M261" i="1"/>
  <c r="BT260" i="1"/>
  <c r="BQ260" i="1"/>
  <c r="BP260" i="1"/>
  <c r="BO260" i="1"/>
  <c r="BN260" i="1"/>
  <c r="BM260" i="1"/>
  <c r="BL260" i="1"/>
  <c r="BK260" i="1"/>
  <c r="BJ260" i="1"/>
  <c r="BI260" i="1"/>
  <c r="BH260" i="1"/>
  <c r="BH267" i="1" s="1"/>
  <c r="BG260" i="1"/>
  <c r="BF260" i="1"/>
  <c r="BE260" i="1"/>
  <c r="BD260" i="1"/>
  <c r="BC260" i="1"/>
  <c r="BC267" i="1" s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Q267" i="1" s="1"/>
  <c r="AP260" i="1"/>
  <c r="AO260" i="1"/>
  <c r="AN260" i="1"/>
  <c r="AM260" i="1"/>
  <c r="AK260" i="1"/>
  <c r="AJ260" i="1"/>
  <c r="AI260" i="1"/>
  <c r="AI267" i="1" s="1"/>
  <c r="AH260" i="1"/>
  <c r="AF260" i="1"/>
  <c r="AE260" i="1"/>
  <c r="AD260" i="1"/>
  <c r="AD267" i="1" s="1"/>
  <c r="AC260" i="1"/>
  <c r="AA260" i="1"/>
  <c r="Z260" i="1"/>
  <c r="Y260" i="1"/>
  <c r="X260" i="1"/>
  <c r="W260" i="1"/>
  <c r="V260" i="1"/>
  <c r="U260" i="1"/>
  <c r="T260" i="1"/>
  <c r="S260" i="1"/>
  <c r="Q260" i="1"/>
  <c r="P260" i="1"/>
  <c r="O260" i="1"/>
  <c r="N260" i="1"/>
  <c r="L260" i="1"/>
  <c r="K260" i="1"/>
  <c r="J260" i="1"/>
  <c r="I260" i="1"/>
  <c r="BT259" i="1"/>
  <c r="BS259" i="1"/>
  <c r="BS260" i="1" s="1"/>
  <c r="BR259" i="1"/>
  <c r="BU259" i="1" s="1"/>
  <c r="BU260" i="1" s="1"/>
  <c r="BQ259" i="1"/>
  <c r="BP259" i="1"/>
  <c r="BK259" i="1"/>
  <c r="BF259" i="1"/>
  <c r="BA259" i="1"/>
  <c r="AV259" i="1"/>
  <c r="AQ259" i="1"/>
  <c r="AL259" i="1"/>
  <c r="AL260" i="1" s="1"/>
  <c r="AG259" i="1"/>
  <c r="AG260" i="1" s="1"/>
  <c r="AB259" i="1"/>
  <c r="AB260" i="1" s="1"/>
  <c r="W259" i="1"/>
  <c r="R259" i="1"/>
  <c r="R260" i="1" s="1"/>
  <c r="R267" i="1" s="1"/>
  <c r="M259" i="1"/>
  <c r="M260" i="1" s="1"/>
  <c r="BR258" i="1"/>
  <c r="BQ258" i="1"/>
  <c r="BO258" i="1"/>
  <c r="BO267" i="1" s="1"/>
  <c r="BN258" i="1"/>
  <c r="BN267" i="1" s="1"/>
  <c r="BM258" i="1"/>
  <c r="BL258" i="1"/>
  <c r="BJ258" i="1"/>
  <c r="BI258" i="1"/>
  <c r="BI267" i="1" s="1"/>
  <c r="BH258" i="1"/>
  <c r="BG258" i="1"/>
  <c r="BE258" i="1"/>
  <c r="BD258" i="1"/>
  <c r="BC258" i="1"/>
  <c r="BB258" i="1"/>
  <c r="BB267" i="1" s="1"/>
  <c r="BA258" i="1"/>
  <c r="AZ258" i="1"/>
  <c r="AY258" i="1"/>
  <c r="AX258" i="1"/>
  <c r="AX267" i="1" s="1"/>
  <c r="AW258" i="1"/>
  <c r="AU258" i="1"/>
  <c r="AT258" i="1"/>
  <c r="AS258" i="1"/>
  <c r="AR258" i="1"/>
  <c r="AQ258" i="1"/>
  <c r="AP258" i="1"/>
  <c r="AO258" i="1"/>
  <c r="AO267" i="1" s="1"/>
  <c r="AN258" i="1"/>
  <c r="AN267" i="1" s="1"/>
  <c r="AM258" i="1"/>
  <c r="AL258" i="1"/>
  <c r="AK258" i="1"/>
  <c r="AJ258" i="1"/>
  <c r="AI258" i="1"/>
  <c r="AH258" i="1"/>
  <c r="AF258" i="1"/>
  <c r="AE258" i="1"/>
  <c r="AD258" i="1"/>
  <c r="AC258" i="1"/>
  <c r="AC267" i="1" s="1"/>
  <c r="AB258" i="1"/>
  <c r="AB267" i="1" s="1"/>
  <c r="AA258" i="1"/>
  <c r="AA267" i="1" s="1"/>
  <c r="Z258" i="1"/>
  <c r="Y258" i="1"/>
  <c r="X258" i="1"/>
  <c r="V258" i="1"/>
  <c r="U258" i="1"/>
  <c r="T258" i="1"/>
  <c r="S258" i="1"/>
  <c r="Q258" i="1"/>
  <c r="P258" i="1"/>
  <c r="P267" i="1" s="1"/>
  <c r="O258" i="1"/>
  <c r="O267" i="1" s="1"/>
  <c r="N258" i="1"/>
  <c r="N267" i="1" s="1"/>
  <c r="M258" i="1"/>
  <c r="M267" i="1" s="1"/>
  <c r="L258" i="1"/>
  <c r="K258" i="1"/>
  <c r="J258" i="1"/>
  <c r="I258" i="1"/>
  <c r="BT257" i="1"/>
  <c r="BT258" i="1" s="1"/>
  <c r="BS257" i="1"/>
  <c r="BS258" i="1" s="1"/>
  <c r="BR257" i="1"/>
  <c r="BQ257" i="1"/>
  <c r="BU257" i="1" s="1"/>
  <c r="BU258" i="1" s="1"/>
  <c r="BP257" i="1"/>
  <c r="BP258" i="1" s="1"/>
  <c r="BP267" i="1" s="1"/>
  <c r="BK257" i="1"/>
  <c r="BK258" i="1" s="1"/>
  <c r="BF257" i="1"/>
  <c r="BF258" i="1" s="1"/>
  <c r="BF267" i="1" s="1"/>
  <c r="BA257" i="1"/>
  <c r="AV257" i="1"/>
  <c r="AV258" i="1" s="1"/>
  <c r="AV267" i="1" s="1"/>
  <c r="AQ257" i="1"/>
  <c r="AL257" i="1"/>
  <c r="AG257" i="1"/>
  <c r="AG258" i="1" s="1"/>
  <c r="AB257" i="1"/>
  <c r="W257" i="1"/>
  <c r="W258" i="1" s="1"/>
  <c r="R257" i="1"/>
  <c r="R258" i="1" s="1"/>
  <c r="M257" i="1"/>
  <c r="AK256" i="1"/>
  <c r="L256" i="1"/>
  <c r="BO255" i="1"/>
  <c r="BN255" i="1"/>
  <c r="BM255" i="1"/>
  <c r="BJ255" i="1"/>
  <c r="BE255" i="1"/>
  <c r="AZ255" i="1"/>
  <c r="AU255" i="1"/>
  <c r="AP255" i="1"/>
  <c r="AP256" i="1" s="1"/>
  <c r="AK255" i="1"/>
  <c r="AF255" i="1"/>
  <c r="AA255" i="1"/>
  <c r="V255" i="1"/>
  <c r="Q255" i="1"/>
  <c r="Q256" i="1" s="1"/>
  <c r="P255" i="1"/>
  <c r="L255" i="1"/>
  <c r="BT254" i="1"/>
  <c r="BN254" i="1"/>
  <c r="BM254" i="1"/>
  <c r="BL254" i="1"/>
  <c r="BI254" i="1"/>
  <c r="BH254" i="1"/>
  <c r="BG254" i="1"/>
  <c r="BK254" i="1" s="1"/>
  <c r="BD254" i="1"/>
  <c r="BC254" i="1"/>
  <c r="BF254" i="1" s="1"/>
  <c r="BB254" i="1"/>
  <c r="AY254" i="1"/>
  <c r="AX254" i="1"/>
  <c r="AW254" i="1"/>
  <c r="BA254" i="1" s="1"/>
  <c r="AV254" i="1"/>
  <c r="AT254" i="1"/>
  <c r="AS254" i="1"/>
  <c r="AR254" i="1"/>
  <c r="AQ254" i="1"/>
  <c r="AO254" i="1"/>
  <c r="AN254" i="1"/>
  <c r="AM254" i="1"/>
  <c r="AJ254" i="1"/>
  <c r="AI254" i="1"/>
  <c r="AH254" i="1"/>
  <c r="AL254" i="1" s="1"/>
  <c r="AE254" i="1"/>
  <c r="AD254" i="1"/>
  <c r="AC254" i="1"/>
  <c r="Z254" i="1"/>
  <c r="Y254" i="1"/>
  <c r="AB254" i="1" s="1"/>
  <c r="X254" i="1"/>
  <c r="U254" i="1"/>
  <c r="T254" i="1"/>
  <c r="S254" i="1"/>
  <c r="W254" i="1" s="1"/>
  <c r="P254" i="1"/>
  <c r="O254" i="1"/>
  <c r="N254" i="1"/>
  <c r="R254" i="1" s="1"/>
  <c r="M254" i="1"/>
  <c r="K254" i="1"/>
  <c r="J254" i="1"/>
  <c r="I254" i="1"/>
  <c r="BT253" i="1"/>
  <c r="BN253" i="1"/>
  <c r="BM253" i="1"/>
  <c r="BL253" i="1"/>
  <c r="BI253" i="1"/>
  <c r="BH253" i="1"/>
  <c r="BK253" i="1" s="1"/>
  <c r="BG253" i="1"/>
  <c r="BD253" i="1"/>
  <c r="BC253" i="1"/>
  <c r="BB253" i="1"/>
  <c r="BA253" i="1"/>
  <c r="AY253" i="1"/>
  <c r="AX253" i="1"/>
  <c r="AW253" i="1"/>
  <c r="AT253" i="1"/>
  <c r="AS253" i="1"/>
  <c r="AV253" i="1" s="1"/>
  <c r="AR253" i="1"/>
  <c r="AO253" i="1"/>
  <c r="AN253" i="1"/>
  <c r="AM253" i="1"/>
  <c r="AJ253" i="1"/>
  <c r="AI253" i="1"/>
  <c r="AH253" i="1"/>
  <c r="AE253" i="1"/>
  <c r="AD253" i="1"/>
  <c r="AC253" i="1"/>
  <c r="Z253" i="1"/>
  <c r="Y253" i="1"/>
  <c r="X253" i="1"/>
  <c r="AB253" i="1" s="1"/>
  <c r="W253" i="1"/>
  <c r="U253" i="1"/>
  <c r="T253" i="1"/>
  <c r="S253" i="1"/>
  <c r="P253" i="1"/>
  <c r="O253" i="1"/>
  <c r="R253" i="1" s="1"/>
  <c r="N253" i="1"/>
  <c r="K253" i="1"/>
  <c r="J253" i="1"/>
  <c r="I253" i="1"/>
  <c r="M253" i="1" s="1"/>
  <c r="BT252" i="1"/>
  <c r="BR252" i="1"/>
  <c r="BQ252" i="1"/>
  <c r="BP252" i="1"/>
  <c r="BN252" i="1"/>
  <c r="BM252" i="1"/>
  <c r="BL252" i="1"/>
  <c r="BK252" i="1"/>
  <c r="BI252" i="1"/>
  <c r="BH252" i="1"/>
  <c r="BG252" i="1"/>
  <c r="BD252" i="1"/>
  <c r="BC252" i="1"/>
  <c r="BB252" i="1"/>
  <c r="BF252" i="1" s="1"/>
  <c r="BA252" i="1"/>
  <c r="AY252" i="1"/>
  <c r="AX252" i="1"/>
  <c r="AW252" i="1"/>
  <c r="AV252" i="1"/>
  <c r="AT252" i="1"/>
  <c r="AS252" i="1"/>
  <c r="AR252" i="1"/>
  <c r="AO252" i="1"/>
  <c r="AN252" i="1"/>
  <c r="AN255" i="1" s="1"/>
  <c r="AM252" i="1"/>
  <c r="AQ252" i="1" s="1"/>
  <c r="AL252" i="1"/>
  <c r="AJ252" i="1"/>
  <c r="AI252" i="1"/>
  <c r="AH252" i="1"/>
  <c r="AG252" i="1"/>
  <c r="AE252" i="1"/>
  <c r="AD252" i="1"/>
  <c r="AC252" i="1"/>
  <c r="Z252" i="1"/>
  <c r="Y252" i="1"/>
  <c r="X252" i="1"/>
  <c r="AB252" i="1" s="1"/>
  <c r="W252" i="1"/>
  <c r="U252" i="1"/>
  <c r="T252" i="1"/>
  <c r="S252" i="1"/>
  <c r="R252" i="1"/>
  <c r="P252" i="1"/>
  <c r="O252" i="1"/>
  <c r="N252" i="1"/>
  <c r="K252" i="1"/>
  <c r="J252" i="1"/>
  <c r="I252" i="1"/>
  <c r="M252" i="1" s="1"/>
  <c r="BT251" i="1"/>
  <c r="BP251" i="1"/>
  <c r="BN251" i="1"/>
  <c r="BM251" i="1"/>
  <c r="BL251" i="1"/>
  <c r="BI251" i="1"/>
  <c r="BH251" i="1"/>
  <c r="BG251" i="1"/>
  <c r="BK251" i="1" s="1"/>
  <c r="BF251" i="1"/>
  <c r="BD251" i="1"/>
  <c r="BC251" i="1"/>
  <c r="BB251" i="1"/>
  <c r="BA251" i="1"/>
  <c r="AY251" i="1"/>
  <c r="AX251" i="1"/>
  <c r="AW251" i="1"/>
  <c r="AT251" i="1"/>
  <c r="AS251" i="1"/>
  <c r="AR251" i="1"/>
  <c r="AV251" i="1" s="1"/>
  <c r="AQ251" i="1"/>
  <c r="AO251" i="1"/>
  <c r="AN251" i="1"/>
  <c r="AM251" i="1"/>
  <c r="AJ251" i="1"/>
  <c r="AL251" i="1" s="1"/>
  <c r="AI251" i="1"/>
  <c r="AH251" i="1"/>
  <c r="AE251" i="1"/>
  <c r="AD251" i="1"/>
  <c r="AC251" i="1"/>
  <c r="AG251" i="1" s="1"/>
  <c r="AB251" i="1"/>
  <c r="Z251" i="1"/>
  <c r="Y251" i="1"/>
  <c r="X251" i="1"/>
  <c r="U251" i="1"/>
  <c r="T251" i="1"/>
  <c r="W251" i="1" s="1"/>
  <c r="S251" i="1"/>
  <c r="P251" i="1"/>
  <c r="O251" i="1"/>
  <c r="N251" i="1"/>
  <c r="R251" i="1" s="1"/>
  <c r="M251" i="1"/>
  <c r="K251" i="1"/>
  <c r="J251" i="1"/>
  <c r="I251" i="1"/>
  <c r="BT250" i="1"/>
  <c r="BS250" i="1"/>
  <c r="BN250" i="1"/>
  <c r="BM250" i="1"/>
  <c r="BL250" i="1"/>
  <c r="BI250" i="1"/>
  <c r="BH250" i="1"/>
  <c r="BG250" i="1"/>
  <c r="BK250" i="1" s="1"/>
  <c r="BD250" i="1"/>
  <c r="BC250" i="1"/>
  <c r="BF250" i="1" s="1"/>
  <c r="BB250" i="1"/>
  <c r="AY250" i="1"/>
  <c r="AX250" i="1"/>
  <c r="AW250" i="1"/>
  <c r="AT250" i="1"/>
  <c r="AS250" i="1"/>
  <c r="AR250" i="1"/>
  <c r="AO250" i="1"/>
  <c r="AN250" i="1"/>
  <c r="AM250" i="1"/>
  <c r="AQ250" i="1" s="1"/>
  <c r="AL250" i="1"/>
  <c r="AJ250" i="1"/>
  <c r="AI250" i="1"/>
  <c r="AH250" i="1"/>
  <c r="AE250" i="1"/>
  <c r="AD250" i="1"/>
  <c r="AC250" i="1"/>
  <c r="AG250" i="1" s="1"/>
  <c r="Z250" i="1"/>
  <c r="Y250" i="1"/>
  <c r="X250" i="1"/>
  <c r="U250" i="1"/>
  <c r="T250" i="1"/>
  <c r="W250" i="1" s="1"/>
  <c r="S250" i="1"/>
  <c r="P250" i="1"/>
  <c r="O250" i="1"/>
  <c r="N250" i="1"/>
  <c r="R250" i="1" s="1"/>
  <c r="M250" i="1"/>
  <c r="K250" i="1"/>
  <c r="J250" i="1"/>
  <c r="I250" i="1"/>
  <c r="BT249" i="1"/>
  <c r="BN249" i="1"/>
  <c r="BM249" i="1"/>
  <c r="BL249" i="1"/>
  <c r="BI249" i="1"/>
  <c r="BK249" i="1" s="1"/>
  <c r="BH249" i="1"/>
  <c r="BG249" i="1"/>
  <c r="BD249" i="1"/>
  <c r="BC249" i="1"/>
  <c r="BF249" i="1" s="1"/>
  <c r="BB249" i="1"/>
  <c r="AY249" i="1"/>
  <c r="AX249" i="1"/>
  <c r="AW249" i="1"/>
  <c r="AT249" i="1"/>
  <c r="AS249" i="1"/>
  <c r="AR249" i="1"/>
  <c r="AO249" i="1"/>
  <c r="AN249" i="1"/>
  <c r="AQ249" i="1" s="1"/>
  <c r="AM249" i="1"/>
  <c r="AJ249" i="1"/>
  <c r="AI249" i="1"/>
  <c r="AH249" i="1"/>
  <c r="AL249" i="1" s="1"/>
  <c r="AE249" i="1"/>
  <c r="AD249" i="1"/>
  <c r="AC249" i="1"/>
  <c r="AG249" i="1" s="1"/>
  <c r="AB249" i="1"/>
  <c r="Z249" i="1"/>
  <c r="Y249" i="1"/>
  <c r="X249" i="1"/>
  <c r="U249" i="1"/>
  <c r="T249" i="1"/>
  <c r="S249" i="1"/>
  <c r="R249" i="1"/>
  <c r="P249" i="1"/>
  <c r="O249" i="1"/>
  <c r="N249" i="1"/>
  <c r="K249" i="1"/>
  <c r="M249" i="1" s="1"/>
  <c r="J249" i="1"/>
  <c r="I249" i="1"/>
  <c r="BT248" i="1"/>
  <c r="BS248" i="1"/>
  <c r="BP248" i="1"/>
  <c r="BN248" i="1"/>
  <c r="BM248" i="1"/>
  <c r="BL248" i="1"/>
  <c r="BI248" i="1"/>
  <c r="BK248" i="1" s="1"/>
  <c r="BH248" i="1"/>
  <c r="BG248" i="1"/>
  <c r="BD248" i="1"/>
  <c r="BC248" i="1"/>
  <c r="BB248" i="1"/>
  <c r="BA248" i="1"/>
  <c r="AY248" i="1"/>
  <c r="AX248" i="1"/>
  <c r="AW248" i="1"/>
  <c r="AT248" i="1"/>
  <c r="AV248" i="1" s="1"/>
  <c r="AS248" i="1"/>
  <c r="AR248" i="1"/>
  <c r="AO248" i="1"/>
  <c r="AN248" i="1"/>
  <c r="AM248" i="1"/>
  <c r="AQ248" i="1" s="1"/>
  <c r="AL248" i="1"/>
  <c r="AJ248" i="1"/>
  <c r="AI248" i="1"/>
  <c r="AH248" i="1"/>
  <c r="AE248" i="1"/>
  <c r="AG248" i="1" s="1"/>
  <c r="AD248" i="1"/>
  <c r="AC248" i="1"/>
  <c r="Z248" i="1"/>
  <c r="Y248" i="1"/>
  <c r="BR248" i="1" s="1"/>
  <c r="X248" i="1"/>
  <c r="W248" i="1"/>
  <c r="U248" i="1"/>
  <c r="T248" i="1"/>
  <c r="S248" i="1"/>
  <c r="P248" i="1"/>
  <c r="R248" i="1" s="1"/>
  <c r="O248" i="1"/>
  <c r="N248" i="1"/>
  <c r="K248" i="1"/>
  <c r="J248" i="1"/>
  <c r="I248" i="1"/>
  <c r="M248" i="1" s="1"/>
  <c r="BT247" i="1"/>
  <c r="BP247" i="1"/>
  <c r="BN247" i="1"/>
  <c r="BM247" i="1"/>
  <c r="BL247" i="1"/>
  <c r="BI247" i="1"/>
  <c r="BS247" i="1" s="1"/>
  <c r="BH247" i="1"/>
  <c r="BG247" i="1"/>
  <c r="BD247" i="1"/>
  <c r="BC247" i="1"/>
  <c r="BB247" i="1"/>
  <c r="BA247" i="1"/>
  <c r="AY247" i="1"/>
  <c r="AX247" i="1"/>
  <c r="AW247" i="1"/>
  <c r="AT247" i="1"/>
  <c r="AS247" i="1"/>
  <c r="AR247" i="1"/>
  <c r="AV247" i="1" s="1"/>
  <c r="AO247" i="1"/>
  <c r="AN247" i="1"/>
  <c r="AM247" i="1"/>
  <c r="AL247" i="1"/>
  <c r="AJ247" i="1"/>
  <c r="AI247" i="1"/>
  <c r="AH247" i="1"/>
  <c r="AE247" i="1"/>
  <c r="AD247" i="1"/>
  <c r="AC247" i="1"/>
  <c r="AG247" i="1" s="1"/>
  <c r="Z247" i="1"/>
  <c r="Y247" i="1"/>
  <c r="X247" i="1"/>
  <c r="W247" i="1"/>
  <c r="U247" i="1"/>
  <c r="T247" i="1"/>
  <c r="S247" i="1"/>
  <c r="P247" i="1"/>
  <c r="O247" i="1"/>
  <c r="N247" i="1"/>
  <c r="K247" i="1"/>
  <c r="J247" i="1"/>
  <c r="I247" i="1"/>
  <c r="M247" i="1" s="1"/>
  <c r="BT246" i="1"/>
  <c r="BN246" i="1"/>
  <c r="BM246" i="1"/>
  <c r="BL246" i="1"/>
  <c r="BI246" i="1"/>
  <c r="BH246" i="1"/>
  <c r="BG246" i="1"/>
  <c r="BD246" i="1"/>
  <c r="BC246" i="1"/>
  <c r="BB246" i="1"/>
  <c r="BF246" i="1" s="1"/>
  <c r="BA246" i="1"/>
  <c r="AY246" i="1"/>
  <c r="AX246" i="1"/>
  <c r="AW246" i="1"/>
  <c r="AT246" i="1"/>
  <c r="AS246" i="1"/>
  <c r="AR246" i="1"/>
  <c r="AV246" i="1" s="1"/>
  <c r="AO246" i="1"/>
  <c r="AN246" i="1"/>
  <c r="AM246" i="1"/>
  <c r="AQ246" i="1" s="1"/>
  <c r="AJ246" i="1"/>
  <c r="AI246" i="1"/>
  <c r="AL246" i="1" s="1"/>
  <c r="AH246" i="1"/>
  <c r="AE246" i="1"/>
  <c r="AD246" i="1"/>
  <c r="AC246" i="1"/>
  <c r="AG246" i="1" s="1"/>
  <c r="Z246" i="1"/>
  <c r="Y246" i="1"/>
  <c r="X246" i="1"/>
  <c r="U246" i="1"/>
  <c r="T246" i="1"/>
  <c r="S246" i="1"/>
  <c r="W246" i="1" s="1"/>
  <c r="R246" i="1"/>
  <c r="P246" i="1"/>
  <c r="O246" i="1"/>
  <c r="N246" i="1"/>
  <c r="K246" i="1"/>
  <c r="J246" i="1"/>
  <c r="I246" i="1"/>
  <c r="M246" i="1" s="1"/>
  <c r="BT245" i="1"/>
  <c r="BQ245" i="1"/>
  <c r="BP245" i="1"/>
  <c r="BN245" i="1"/>
  <c r="BM245" i="1"/>
  <c r="BL245" i="1"/>
  <c r="BI245" i="1"/>
  <c r="BH245" i="1"/>
  <c r="BG245" i="1"/>
  <c r="BD245" i="1"/>
  <c r="BC245" i="1"/>
  <c r="BB245" i="1"/>
  <c r="AY245" i="1"/>
  <c r="BA245" i="1" s="1"/>
  <c r="AX245" i="1"/>
  <c r="AW245" i="1"/>
  <c r="AT245" i="1"/>
  <c r="AS245" i="1"/>
  <c r="AR245" i="1"/>
  <c r="AV245" i="1" s="1"/>
  <c r="AQ245" i="1"/>
  <c r="AO245" i="1"/>
  <c r="AN245" i="1"/>
  <c r="AM245" i="1"/>
  <c r="AJ245" i="1"/>
  <c r="AI245" i="1"/>
  <c r="AL245" i="1" s="1"/>
  <c r="AH245" i="1"/>
  <c r="AE245" i="1"/>
  <c r="AD245" i="1"/>
  <c r="AC245" i="1"/>
  <c r="AG245" i="1" s="1"/>
  <c r="Z245" i="1"/>
  <c r="AB245" i="1" s="1"/>
  <c r="Y245" i="1"/>
  <c r="X245" i="1"/>
  <c r="U245" i="1"/>
  <c r="T245" i="1"/>
  <c r="W245" i="1" s="1"/>
  <c r="S245" i="1"/>
  <c r="P245" i="1"/>
  <c r="O245" i="1"/>
  <c r="N245" i="1"/>
  <c r="K245" i="1"/>
  <c r="J245" i="1"/>
  <c r="M245" i="1" s="1"/>
  <c r="I245" i="1"/>
  <c r="BT244" i="1"/>
  <c r="BP244" i="1"/>
  <c r="BN244" i="1"/>
  <c r="BM244" i="1"/>
  <c r="BL244" i="1"/>
  <c r="BI244" i="1"/>
  <c r="BH244" i="1"/>
  <c r="BG244" i="1"/>
  <c r="BK244" i="1" s="1"/>
  <c r="BF244" i="1"/>
  <c r="BD244" i="1"/>
  <c r="BC244" i="1"/>
  <c r="BB244" i="1"/>
  <c r="AY244" i="1"/>
  <c r="AX244" i="1"/>
  <c r="AW244" i="1"/>
  <c r="AT244" i="1"/>
  <c r="AS244" i="1"/>
  <c r="AR244" i="1"/>
  <c r="AV244" i="1" s="1"/>
  <c r="AO244" i="1"/>
  <c r="AO255" i="1" s="1"/>
  <c r="AN244" i="1"/>
  <c r="AM244" i="1"/>
  <c r="AJ244" i="1"/>
  <c r="AI244" i="1"/>
  <c r="AH244" i="1"/>
  <c r="AL244" i="1" s="1"/>
  <c r="AE244" i="1"/>
  <c r="AD244" i="1"/>
  <c r="AC244" i="1"/>
  <c r="AG244" i="1" s="1"/>
  <c r="Z244" i="1"/>
  <c r="AB244" i="1" s="1"/>
  <c r="Y244" i="1"/>
  <c r="X244" i="1"/>
  <c r="U244" i="1"/>
  <c r="T244" i="1"/>
  <c r="S244" i="1"/>
  <c r="W244" i="1" s="1"/>
  <c r="P244" i="1"/>
  <c r="O244" i="1"/>
  <c r="N244" i="1"/>
  <c r="K244" i="1"/>
  <c r="M244" i="1" s="1"/>
  <c r="J244" i="1"/>
  <c r="I244" i="1"/>
  <c r="BT243" i="1"/>
  <c r="BN243" i="1"/>
  <c r="BM243" i="1"/>
  <c r="BL243" i="1"/>
  <c r="BI243" i="1"/>
  <c r="BH243" i="1"/>
  <c r="BG243" i="1"/>
  <c r="BK243" i="1" s="1"/>
  <c r="BF243" i="1"/>
  <c r="BD243" i="1"/>
  <c r="BC243" i="1"/>
  <c r="BB243" i="1"/>
  <c r="AY243" i="1"/>
  <c r="BA243" i="1" s="1"/>
  <c r="AX243" i="1"/>
  <c r="AW243" i="1"/>
  <c r="AT243" i="1"/>
  <c r="AS243" i="1"/>
  <c r="AR243" i="1"/>
  <c r="AV243" i="1" s="1"/>
  <c r="AO243" i="1"/>
  <c r="AQ243" i="1" s="1"/>
  <c r="AN243" i="1"/>
  <c r="AM243" i="1"/>
  <c r="AJ243" i="1"/>
  <c r="AI243" i="1"/>
  <c r="AH243" i="1"/>
  <c r="AE243" i="1"/>
  <c r="AD243" i="1"/>
  <c r="AC243" i="1"/>
  <c r="AG243" i="1" s="1"/>
  <c r="Z243" i="1"/>
  <c r="Y243" i="1"/>
  <c r="AB243" i="1" s="1"/>
  <c r="X243" i="1"/>
  <c r="W243" i="1"/>
  <c r="U243" i="1"/>
  <c r="T243" i="1"/>
  <c r="S243" i="1"/>
  <c r="P243" i="1"/>
  <c r="O243" i="1"/>
  <c r="N243" i="1"/>
  <c r="R243" i="1" s="1"/>
  <c r="M243" i="1"/>
  <c r="K243" i="1"/>
  <c r="J243" i="1"/>
  <c r="I243" i="1"/>
  <c r="BT242" i="1"/>
  <c r="BN242" i="1"/>
  <c r="BM242" i="1"/>
  <c r="BL242" i="1"/>
  <c r="BK242" i="1"/>
  <c r="BI242" i="1"/>
  <c r="BH242" i="1"/>
  <c r="BG242" i="1"/>
  <c r="BD242" i="1"/>
  <c r="BC242" i="1"/>
  <c r="BB242" i="1"/>
  <c r="AY242" i="1"/>
  <c r="AX242" i="1"/>
  <c r="AW242" i="1"/>
  <c r="BA242" i="1" s="1"/>
  <c r="AT242" i="1"/>
  <c r="AS242" i="1"/>
  <c r="AS255" i="1" s="1"/>
  <c r="AR242" i="1"/>
  <c r="AV242" i="1" s="1"/>
  <c r="AO242" i="1"/>
  <c r="AN242" i="1"/>
  <c r="AM242" i="1"/>
  <c r="AJ242" i="1"/>
  <c r="AI242" i="1"/>
  <c r="AH242" i="1"/>
  <c r="AL242" i="1" s="1"/>
  <c r="AE242" i="1"/>
  <c r="AD242" i="1"/>
  <c r="AC242" i="1"/>
  <c r="AG242" i="1" s="1"/>
  <c r="Z242" i="1"/>
  <c r="Y242" i="1"/>
  <c r="Y255" i="1" s="1"/>
  <c r="X242" i="1"/>
  <c r="U242" i="1"/>
  <c r="T242" i="1"/>
  <c r="S242" i="1"/>
  <c r="P242" i="1"/>
  <c r="O242" i="1"/>
  <c r="N242" i="1"/>
  <c r="K242" i="1"/>
  <c r="J242" i="1"/>
  <c r="I242" i="1"/>
  <c r="BO241" i="1"/>
  <c r="BO256" i="1" s="1"/>
  <c r="BJ241" i="1"/>
  <c r="BJ256" i="1" s="1"/>
  <c r="BE241" i="1"/>
  <c r="AZ241" i="1"/>
  <c r="AU241" i="1"/>
  <c r="AP241" i="1"/>
  <c r="AK241" i="1"/>
  <c r="AF241" i="1"/>
  <c r="AA241" i="1"/>
  <c r="AA256" i="1" s="1"/>
  <c r="V241" i="1"/>
  <c r="Q241" i="1"/>
  <c r="L241" i="1"/>
  <c r="E241" i="1"/>
  <c r="BT240" i="1"/>
  <c r="BR240" i="1"/>
  <c r="BP240" i="1"/>
  <c r="BN240" i="1"/>
  <c r="BM240" i="1"/>
  <c r="BL240" i="1"/>
  <c r="BK240" i="1"/>
  <c r="BI240" i="1"/>
  <c r="BH240" i="1"/>
  <c r="BG240" i="1"/>
  <c r="BD240" i="1"/>
  <c r="BC240" i="1"/>
  <c r="BB240" i="1"/>
  <c r="BF240" i="1" s="1"/>
  <c r="BA240" i="1"/>
  <c r="AY240" i="1"/>
  <c r="AX240" i="1"/>
  <c r="AW240" i="1"/>
  <c r="AV240" i="1"/>
  <c r="AT240" i="1"/>
  <c r="AS240" i="1"/>
  <c r="AR240" i="1"/>
  <c r="AO240" i="1"/>
  <c r="AN240" i="1"/>
  <c r="AM240" i="1"/>
  <c r="AQ240" i="1" s="1"/>
  <c r="AJ240" i="1"/>
  <c r="AI240" i="1"/>
  <c r="AH240" i="1"/>
  <c r="BQ240" i="1" s="1"/>
  <c r="AG240" i="1"/>
  <c r="AE240" i="1"/>
  <c r="AD240" i="1"/>
  <c r="AC240" i="1"/>
  <c r="Z240" i="1"/>
  <c r="Y240" i="1"/>
  <c r="X240" i="1"/>
  <c r="AB240" i="1" s="1"/>
  <c r="U240" i="1"/>
  <c r="T240" i="1"/>
  <c r="S240" i="1"/>
  <c r="W240" i="1" s="1"/>
  <c r="R240" i="1"/>
  <c r="P240" i="1"/>
  <c r="O240" i="1"/>
  <c r="N240" i="1"/>
  <c r="K240" i="1"/>
  <c r="J240" i="1"/>
  <c r="I240" i="1"/>
  <c r="M240" i="1" s="1"/>
  <c r="BT239" i="1"/>
  <c r="BR239" i="1"/>
  <c r="BQ239" i="1"/>
  <c r="BP239" i="1"/>
  <c r="BN239" i="1"/>
  <c r="BM239" i="1"/>
  <c r="BL239" i="1"/>
  <c r="BI239" i="1"/>
  <c r="BH239" i="1"/>
  <c r="BG239" i="1"/>
  <c r="BK239" i="1" s="1"/>
  <c r="BD239" i="1"/>
  <c r="BC239" i="1"/>
  <c r="BB239" i="1"/>
  <c r="BF239" i="1" s="1"/>
  <c r="BA239" i="1"/>
  <c r="AY239" i="1"/>
  <c r="AX239" i="1"/>
  <c r="AW239" i="1"/>
  <c r="AT239" i="1"/>
  <c r="AS239" i="1"/>
  <c r="AR239" i="1"/>
  <c r="AV239" i="1" s="1"/>
  <c r="AO239" i="1"/>
  <c r="AN239" i="1"/>
  <c r="AM239" i="1"/>
  <c r="AQ239" i="1" s="1"/>
  <c r="AJ239" i="1"/>
  <c r="AI239" i="1"/>
  <c r="AL239" i="1" s="1"/>
  <c r="AH239" i="1"/>
  <c r="AE239" i="1"/>
  <c r="AD239" i="1"/>
  <c r="AG239" i="1" s="1"/>
  <c r="AC239" i="1"/>
  <c r="Z239" i="1"/>
  <c r="Y239" i="1"/>
  <c r="X239" i="1"/>
  <c r="AB239" i="1" s="1"/>
  <c r="U239" i="1"/>
  <c r="T239" i="1"/>
  <c r="S239" i="1"/>
  <c r="W239" i="1" s="1"/>
  <c r="P239" i="1"/>
  <c r="O239" i="1"/>
  <c r="N239" i="1"/>
  <c r="K239" i="1"/>
  <c r="J239" i="1"/>
  <c r="I239" i="1"/>
  <c r="M239" i="1" s="1"/>
  <c r="BT238" i="1"/>
  <c r="BS238" i="1"/>
  <c r="BQ238" i="1"/>
  <c r="BN238" i="1"/>
  <c r="BM238" i="1"/>
  <c r="BP238" i="1" s="1"/>
  <c r="BL238" i="1"/>
  <c r="BI238" i="1"/>
  <c r="BH238" i="1"/>
  <c r="BG238" i="1"/>
  <c r="BK238" i="1" s="1"/>
  <c r="BD238" i="1"/>
  <c r="BC238" i="1"/>
  <c r="BB238" i="1"/>
  <c r="BF238" i="1" s="1"/>
  <c r="BA238" i="1"/>
  <c r="AY238" i="1"/>
  <c r="AX238" i="1"/>
  <c r="AW238" i="1"/>
  <c r="AT238" i="1"/>
  <c r="AS238" i="1"/>
  <c r="AR238" i="1"/>
  <c r="AV238" i="1" s="1"/>
  <c r="AO238" i="1"/>
  <c r="AN238" i="1"/>
  <c r="AM238" i="1"/>
  <c r="AJ238" i="1"/>
  <c r="AL238" i="1" s="1"/>
  <c r="AI238" i="1"/>
  <c r="AH238" i="1"/>
  <c r="AE238" i="1"/>
  <c r="AD238" i="1"/>
  <c r="AC238" i="1"/>
  <c r="Z238" i="1"/>
  <c r="Y238" i="1"/>
  <c r="X238" i="1"/>
  <c r="AB238" i="1" s="1"/>
  <c r="U238" i="1"/>
  <c r="T238" i="1"/>
  <c r="W238" i="1" s="1"/>
  <c r="S238" i="1"/>
  <c r="P238" i="1"/>
  <c r="O238" i="1"/>
  <c r="N238" i="1"/>
  <c r="K238" i="1"/>
  <c r="J238" i="1"/>
  <c r="I238" i="1"/>
  <c r="M238" i="1" s="1"/>
  <c r="BT237" i="1"/>
  <c r="BS237" i="1"/>
  <c r="BP237" i="1"/>
  <c r="BN237" i="1"/>
  <c r="BM237" i="1"/>
  <c r="BL237" i="1"/>
  <c r="BK237" i="1"/>
  <c r="BI237" i="1"/>
  <c r="BH237" i="1"/>
  <c r="BG237" i="1"/>
  <c r="BD237" i="1"/>
  <c r="BF237" i="1" s="1"/>
  <c r="BC237" i="1"/>
  <c r="BB237" i="1"/>
  <c r="BA237" i="1"/>
  <c r="AY237" i="1"/>
  <c r="AX237" i="1"/>
  <c r="AW237" i="1"/>
  <c r="AV237" i="1"/>
  <c r="AT237" i="1"/>
  <c r="AS237" i="1"/>
  <c r="AR237" i="1"/>
  <c r="AO237" i="1"/>
  <c r="AQ237" i="1" s="1"/>
  <c r="AN237" i="1"/>
  <c r="AM237" i="1"/>
  <c r="AJ237" i="1"/>
  <c r="AL237" i="1" s="1"/>
  <c r="AI237" i="1"/>
  <c r="AH237" i="1"/>
  <c r="AG237" i="1"/>
  <c r="AE237" i="1"/>
  <c r="AD237" i="1"/>
  <c r="AC237" i="1"/>
  <c r="Z237" i="1"/>
  <c r="AB237" i="1" s="1"/>
  <c r="Y237" i="1"/>
  <c r="X237" i="1"/>
  <c r="U237" i="1"/>
  <c r="U241" i="1" s="1"/>
  <c r="T237" i="1"/>
  <c r="S237" i="1"/>
  <c r="R237" i="1"/>
  <c r="P237" i="1"/>
  <c r="O237" i="1"/>
  <c r="N237" i="1"/>
  <c r="K237" i="1"/>
  <c r="M237" i="1" s="1"/>
  <c r="J237" i="1"/>
  <c r="I237" i="1"/>
  <c r="BT236" i="1"/>
  <c r="BQ236" i="1"/>
  <c r="BN236" i="1"/>
  <c r="BS236" i="1" s="1"/>
  <c r="BM236" i="1"/>
  <c r="BL236" i="1"/>
  <c r="BI236" i="1"/>
  <c r="BH236" i="1"/>
  <c r="BG236" i="1"/>
  <c r="BK236" i="1" s="1"/>
  <c r="BD236" i="1"/>
  <c r="BF236" i="1" s="1"/>
  <c r="BC236" i="1"/>
  <c r="BB236" i="1"/>
  <c r="AY236" i="1"/>
  <c r="AX236" i="1"/>
  <c r="AW236" i="1"/>
  <c r="BA236" i="1" s="1"/>
  <c r="AT236" i="1"/>
  <c r="AS236" i="1"/>
  <c r="AR236" i="1"/>
  <c r="AV236" i="1" s="1"/>
  <c r="AO236" i="1"/>
  <c r="AN236" i="1"/>
  <c r="AQ236" i="1" s="1"/>
  <c r="AM236" i="1"/>
  <c r="AJ236" i="1"/>
  <c r="AI236" i="1"/>
  <c r="AH236" i="1"/>
  <c r="AG236" i="1"/>
  <c r="AE236" i="1"/>
  <c r="AD236" i="1"/>
  <c r="AC236" i="1"/>
  <c r="AB236" i="1"/>
  <c r="Z236" i="1"/>
  <c r="Y236" i="1"/>
  <c r="X236" i="1"/>
  <c r="U236" i="1"/>
  <c r="T236" i="1"/>
  <c r="S236" i="1"/>
  <c r="W236" i="1" s="1"/>
  <c r="R236" i="1"/>
  <c r="P236" i="1"/>
  <c r="O236" i="1"/>
  <c r="N236" i="1"/>
  <c r="K236" i="1"/>
  <c r="J236" i="1"/>
  <c r="I236" i="1"/>
  <c r="BT235" i="1"/>
  <c r="BN235" i="1"/>
  <c r="BM235" i="1"/>
  <c r="BL235" i="1"/>
  <c r="BK235" i="1"/>
  <c r="BI235" i="1"/>
  <c r="BH235" i="1"/>
  <c r="BG235" i="1"/>
  <c r="BD235" i="1"/>
  <c r="BC235" i="1"/>
  <c r="BB235" i="1"/>
  <c r="AY235" i="1"/>
  <c r="AX235" i="1"/>
  <c r="AW235" i="1"/>
  <c r="BA235" i="1" s="1"/>
  <c r="AV235" i="1"/>
  <c r="AT235" i="1"/>
  <c r="AS235" i="1"/>
  <c r="AR235" i="1"/>
  <c r="AO235" i="1"/>
  <c r="AN235" i="1"/>
  <c r="AM235" i="1"/>
  <c r="AQ235" i="1" s="1"/>
  <c r="AJ235" i="1"/>
  <c r="AI235" i="1"/>
  <c r="AH235" i="1"/>
  <c r="AL235" i="1" s="1"/>
  <c r="AE235" i="1"/>
  <c r="AD235" i="1"/>
  <c r="AC235" i="1"/>
  <c r="AG235" i="1" s="1"/>
  <c r="Z235" i="1"/>
  <c r="Y235" i="1"/>
  <c r="X235" i="1"/>
  <c r="AB235" i="1" s="1"/>
  <c r="U235" i="1"/>
  <c r="T235" i="1"/>
  <c r="S235" i="1"/>
  <c r="W235" i="1" s="1"/>
  <c r="P235" i="1"/>
  <c r="O235" i="1"/>
  <c r="N235" i="1"/>
  <c r="R235" i="1" s="1"/>
  <c r="M235" i="1"/>
  <c r="K235" i="1"/>
  <c r="J235" i="1"/>
  <c r="I235" i="1"/>
  <c r="BT234" i="1"/>
  <c r="BN234" i="1"/>
  <c r="BS234" i="1" s="1"/>
  <c r="BM234" i="1"/>
  <c r="BL234" i="1"/>
  <c r="BI234" i="1"/>
  <c r="BH234" i="1"/>
  <c r="BK234" i="1" s="1"/>
  <c r="BG234" i="1"/>
  <c r="BD234" i="1"/>
  <c r="BC234" i="1"/>
  <c r="BB234" i="1"/>
  <c r="AY234" i="1"/>
  <c r="AX234" i="1"/>
  <c r="AW234" i="1"/>
  <c r="BA234" i="1" s="1"/>
  <c r="AT234" i="1"/>
  <c r="AS234" i="1"/>
  <c r="AV234" i="1" s="1"/>
  <c r="AR234" i="1"/>
  <c r="AO234" i="1"/>
  <c r="AN234" i="1"/>
  <c r="AM234" i="1"/>
  <c r="AJ234" i="1"/>
  <c r="AI234" i="1"/>
  <c r="AH234" i="1"/>
  <c r="AG234" i="1"/>
  <c r="AE234" i="1"/>
  <c r="AD234" i="1"/>
  <c r="AC234" i="1"/>
  <c r="Z234" i="1"/>
  <c r="Y234" i="1"/>
  <c r="X234" i="1"/>
  <c r="AB234" i="1" s="1"/>
  <c r="U234" i="1"/>
  <c r="T234" i="1"/>
  <c r="S234" i="1"/>
  <c r="W234" i="1" s="1"/>
  <c r="R234" i="1"/>
  <c r="P234" i="1"/>
  <c r="O234" i="1"/>
  <c r="N234" i="1"/>
  <c r="K234" i="1"/>
  <c r="J234" i="1"/>
  <c r="I234" i="1"/>
  <c r="BT233" i="1"/>
  <c r="BN233" i="1"/>
  <c r="BM233" i="1"/>
  <c r="BL233" i="1"/>
  <c r="BI233" i="1"/>
  <c r="BH233" i="1"/>
  <c r="BG233" i="1"/>
  <c r="BF233" i="1"/>
  <c r="BD233" i="1"/>
  <c r="BC233" i="1"/>
  <c r="BR233" i="1" s="1"/>
  <c r="BB233" i="1"/>
  <c r="AY233" i="1"/>
  <c r="BA233" i="1" s="1"/>
  <c r="AX233" i="1"/>
  <c r="AW233" i="1"/>
  <c r="AT233" i="1"/>
  <c r="AS233" i="1"/>
  <c r="AR233" i="1"/>
  <c r="AV233" i="1" s="1"/>
  <c r="AQ233" i="1"/>
  <c r="AO233" i="1"/>
  <c r="AN233" i="1"/>
  <c r="AM233" i="1"/>
  <c r="AJ233" i="1"/>
  <c r="AL233" i="1" s="1"/>
  <c r="AI233" i="1"/>
  <c r="AH233" i="1"/>
  <c r="AE233" i="1"/>
  <c r="AD233" i="1"/>
  <c r="AC233" i="1"/>
  <c r="AB233" i="1"/>
  <c r="Z233" i="1"/>
  <c r="Y233" i="1"/>
  <c r="X233" i="1"/>
  <c r="U233" i="1"/>
  <c r="W233" i="1" s="1"/>
  <c r="T233" i="1"/>
  <c r="S233" i="1"/>
  <c r="P233" i="1"/>
  <c r="O233" i="1"/>
  <c r="N233" i="1"/>
  <c r="R233" i="1" s="1"/>
  <c r="M233" i="1"/>
  <c r="K233" i="1"/>
  <c r="J233" i="1"/>
  <c r="I233" i="1"/>
  <c r="BT232" i="1"/>
  <c r="BN232" i="1"/>
  <c r="BM232" i="1"/>
  <c r="BL232" i="1"/>
  <c r="BK232" i="1"/>
  <c r="BI232" i="1"/>
  <c r="BH232" i="1"/>
  <c r="BG232" i="1"/>
  <c r="BD232" i="1"/>
  <c r="BC232" i="1"/>
  <c r="BB232" i="1"/>
  <c r="BF232" i="1" s="1"/>
  <c r="AY232" i="1"/>
  <c r="AX232" i="1"/>
  <c r="BA232" i="1" s="1"/>
  <c r="AW232" i="1"/>
  <c r="AV232" i="1"/>
  <c r="AT232" i="1"/>
  <c r="AS232" i="1"/>
  <c r="AR232" i="1"/>
  <c r="AO232" i="1"/>
  <c r="AN232" i="1"/>
  <c r="AM232" i="1"/>
  <c r="AQ232" i="1" s="1"/>
  <c r="AJ232" i="1"/>
  <c r="AI232" i="1"/>
  <c r="AL232" i="1" s="1"/>
  <c r="AH232" i="1"/>
  <c r="AG232" i="1"/>
  <c r="AE232" i="1"/>
  <c r="AD232" i="1"/>
  <c r="AC232" i="1"/>
  <c r="Z232" i="1"/>
  <c r="Y232" i="1"/>
  <c r="X232" i="1"/>
  <c r="U232" i="1"/>
  <c r="T232" i="1"/>
  <c r="W232" i="1" s="1"/>
  <c r="S232" i="1"/>
  <c r="P232" i="1"/>
  <c r="R232" i="1" s="1"/>
  <c r="O232" i="1"/>
  <c r="N232" i="1"/>
  <c r="K232" i="1"/>
  <c r="J232" i="1"/>
  <c r="I232" i="1"/>
  <c r="M232" i="1" s="1"/>
  <c r="BT231" i="1"/>
  <c r="BN231" i="1"/>
  <c r="BM231" i="1"/>
  <c r="BL231" i="1"/>
  <c r="BI231" i="1"/>
  <c r="BH231" i="1"/>
  <c r="BG231" i="1"/>
  <c r="BF231" i="1"/>
  <c r="BD231" i="1"/>
  <c r="BC231" i="1"/>
  <c r="BB231" i="1"/>
  <c r="AY231" i="1"/>
  <c r="AX231" i="1"/>
  <c r="BA231" i="1" s="1"/>
  <c r="AW231" i="1"/>
  <c r="AT231" i="1"/>
  <c r="AS231" i="1"/>
  <c r="AR231" i="1"/>
  <c r="AV231" i="1" s="1"/>
  <c r="AO231" i="1"/>
  <c r="AO241" i="1" s="1"/>
  <c r="AN231" i="1"/>
  <c r="AN241" i="1" s="1"/>
  <c r="AM231" i="1"/>
  <c r="AJ231" i="1"/>
  <c r="AI231" i="1"/>
  <c r="AH231" i="1"/>
  <c r="AL231" i="1" s="1"/>
  <c r="AE231" i="1"/>
  <c r="AD231" i="1"/>
  <c r="AC231" i="1"/>
  <c r="AG231" i="1" s="1"/>
  <c r="Z231" i="1"/>
  <c r="Y231" i="1"/>
  <c r="X231" i="1"/>
  <c r="AB231" i="1" s="1"/>
  <c r="W231" i="1"/>
  <c r="U231" i="1"/>
  <c r="T231" i="1"/>
  <c r="S231" i="1"/>
  <c r="P231" i="1"/>
  <c r="O231" i="1"/>
  <c r="N231" i="1"/>
  <c r="K231" i="1"/>
  <c r="J231" i="1"/>
  <c r="I231" i="1"/>
  <c r="M231" i="1" s="1"/>
  <c r="BT230" i="1"/>
  <c r="BR230" i="1"/>
  <c r="BN230" i="1"/>
  <c r="BM230" i="1"/>
  <c r="BL230" i="1"/>
  <c r="BK230" i="1"/>
  <c r="BI230" i="1"/>
  <c r="BH230" i="1"/>
  <c r="BG230" i="1"/>
  <c r="BD230" i="1"/>
  <c r="BC230" i="1"/>
  <c r="BB230" i="1"/>
  <c r="AY230" i="1"/>
  <c r="AX230" i="1"/>
  <c r="AW230" i="1"/>
  <c r="BA230" i="1" s="1"/>
  <c r="AV230" i="1"/>
  <c r="AT230" i="1"/>
  <c r="AS230" i="1"/>
  <c r="AR230" i="1"/>
  <c r="AO230" i="1"/>
  <c r="AN230" i="1"/>
  <c r="AQ230" i="1" s="1"/>
  <c r="AM230" i="1"/>
  <c r="AJ230" i="1"/>
  <c r="AI230" i="1"/>
  <c r="AI241" i="1" s="1"/>
  <c r="AH230" i="1"/>
  <c r="AL230" i="1" s="1"/>
  <c r="AE230" i="1"/>
  <c r="AE241" i="1" s="1"/>
  <c r="AD230" i="1"/>
  <c r="AC230" i="1"/>
  <c r="Z230" i="1"/>
  <c r="Y230" i="1"/>
  <c r="X230" i="1"/>
  <c r="U230" i="1"/>
  <c r="T230" i="1"/>
  <c r="S230" i="1"/>
  <c r="W230" i="1" s="1"/>
  <c r="P230" i="1"/>
  <c r="O230" i="1"/>
  <c r="O241" i="1" s="1"/>
  <c r="N230" i="1"/>
  <c r="N241" i="1" s="1"/>
  <c r="K230" i="1"/>
  <c r="J230" i="1"/>
  <c r="I230" i="1"/>
  <c r="BT229" i="1"/>
  <c r="BN229" i="1"/>
  <c r="BM229" i="1"/>
  <c r="BL229" i="1"/>
  <c r="BK229" i="1"/>
  <c r="BI229" i="1"/>
  <c r="BH229" i="1"/>
  <c r="BG229" i="1"/>
  <c r="BF229" i="1"/>
  <c r="BD229" i="1"/>
  <c r="BC229" i="1"/>
  <c r="BB229" i="1"/>
  <c r="AY229" i="1"/>
  <c r="AX229" i="1"/>
  <c r="AW229" i="1"/>
  <c r="AV229" i="1"/>
  <c r="AT229" i="1"/>
  <c r="AS229" i="1"/>
  <c r="AR229" i="1"/>
  <c r="AQ229" i="1"/>
  <c r="AO229" i="1"/>
  <c r="AN229" i="1"/>
  <c r="AM229" i="1"/>
  <c r="AJ229" i="1"/>
  <c r="AI229" i="1"/>
  <c r="AH229" i="1"/>
  <c r="AG229" i="1"/>
  <c r="AE229" i="1"/>
  <c r="AD229" i="1"/>
  <c r="AC229" i="1"/>
  <c r="AB229" i="1"/>
  <c r="Z229" i="1"/>
  <c r="Y229" i="1"/>
  <c r="X229" i="1"/>
  <c r="U229" i="1"/>
  <c r="T229" i="1"/>
  <c r="S229" i="1"/>
  <c r="R229" i="1"/>
  <c r="P229" i="1"/>
  <c r="O229" i="1"/>
  <c r="N229" i="1"/>
  <c r="M229" i="1"/>
  <c r="K229" i="1"/>
  <c r="J229" i="1"/>
  <c r="I229" i="1"/>
  <c r="BO228" i="1"/>
  <c r="BJ228" i="1"/>
  <c r="BE228" i="1"/>
  <c r="AZ228" i="1"/>
  <c r="AU228" i="1"/>
  <c r="AU256" i="1" s="1"/>
  <c r="AP228" i="1"/>
  <c r="AK228" i="1"/>
  <c r="AF228" i="1"/>
  <c r="AF256" i="1" s="1"/>
  <c r="AA228" i="1"/>
  <c r="V228" i="1"/>
  <c r="Q228" i="1"/>
  <c r="L228" i="1"/>
  <c r="E228" i="1"/>
  <c r="BT227" i="1"/>
  <c r="BR227" i="1"/>
  <c r="BP227" i="1"/>
  <c r="BN227" i="1"/>
  <c r="BM227" i="1"/>
  <c r="BL227" i="1"/>
  <c r="BK227" i="1"/>
  <c r="BI227" i="1"/>
  <c r="BH227" i="1"/>
  <c r="BG227" i="1"/>
  <c r="BD227" i="1"/>
  <c r="BC227" i="1"/>
  <c r="BB227" i="1"/>
  <c r="BF227" i="1" s="1"/>
  <c r="BA227" i="1"/>
  <c r="AY227" i="1"/>
  <c r="AX227" i="1"/>
  <c r="AW227" i="1"/>
  <c r="AT227" i="1"/>
  <c r="AV227" i="1" s="1"/>
  <c r="AS227" i="1"/>
  <c r="AR227" i="1"/>
  <c r="AO227" i="1"/>
  <c r="AN227" i="1"/>
  <c r="AM227" i="1"/>
  <c r="AQ227" i="1" s="1"/>
  <c r="AJ227" i="1"/>
  <c r="AI227" i="1"/>
  <c r="AL227" i="1" s="1"/>
  <c r="AH227" i="1"/>
  <c r="AE227" i="1"/>
  <c r="AD227" i="1"/>
  <c r="AG227" i="1" s="1"/>
  <c r="AC227" i="1"/>
  <c r="Z227" i="1"/>
  <c r="Y227" i="1"/>
  <c r="X227" i="1"/>
  <c r="W227" i="1"/>
  <c r="U227" i="1"/>
  <c r="T227" i="1"/>
  <c r="S227" i="1"/>
  <c r="P227" i="1"/>
  <c r="O227" i="1"/>
  <c r="R227" i="1" s="1"/>
  <c r="N227" i="1"/>
  <c r="K227" i="1"/>
  <c r="J227" i="1"/>
  <c r="I227" i="1"/>
  <c r="BT226" i="1"/>
  <c r="BP226" i="1"/>
  <c r="BN226" i="1"/>
  <c r="BM226" i="1"/>
  <c r="BL226" i="1"/>
  <c r="BK226" i="1"/>
  <c r="BI226" i="1"/>
  <c r="BH226" i="1"/>
  <c r="BG226" i="1"/>
  <c r="BD226" i="1"/>
  <c r="BS226" i="1" s="1"/>
  <c r="BC226" i="1"/>
  <c r="BF226" i="1" s="1"/>
  <c r="BB226" i="1"/>
  <c r="BQ226" i="1" s="1"/>
  <c r="BA226" i="1"/>
  <c r="AY226" i="1"/>
  <c r="AX226" i="1"/>
  <c r="AW226" i="1"/>
  <c r="AV226" i="1"/>
  <c r="AT226" i="1"/>
  <c r="AS226" i="1"/>
  <c r="AR226" i="1"/>
  <c r="AO226" i="1"/>
  <c r="AN226" i="1"/>
  <c r="AQ226" i="1" s="1"/>
  <c r="AM226" i="1"/>
  <c r="AL226" i="1"/>
  <c r="AJ226" i="1"/>
  <c r="AI226" i="1"/>
  <c r="AH226" i="1"/>
  <c r="AG226" i="1"/>
  <c r="AE226" i="1"/>
  <c r="AD226" i="1"/>
  <c r="AC226" i="1"/>
  <c r="Z226" i="1"/>
  <c r="Y226" i="1"/>
  <c r="AB226" i="1" s="1"/>
  <c r="X226" i="1"/>
  <c r="W226" i="1"/>
  <c r="U226" i="1"/>
  <c r="T226" i="1"/>
  <c r="S226" i="1"/>
  <c r="R226" i="1"/>
  <c r="P226" i="1"/>
  <c r="O226" i="1"/>
  <c r="N226" i="1"/>
  <c r="K226" i="1"/>
  <c r="J226" i="1"/>
  <c r="M226" i="1" s="1"/>
  <c r="I226" i="1"/>
  <c r="BT225" i="1"/>
  <c r="BN225" i="1"/>
  <c r="BP225" i="1" s="1"/>
  <c r="BM225" i="1"/>
  <c r="BL225" i="1"/>
  <c r="BI225" i="1"/>
  <c r="BH225" i="1"/>
  <c r="BG225" i="1"/>
  <c r="BF225" i="1"/>
  <c r="BD225" i="1"/>
  <c r="BC225" i="1"/>
  <c r="BB225" i="1"/>
  <c r="AY225" i="1"/>
  <c r="AX225" i="1"/>
  <c r="BA225" i="1" s="1"/>
  <c r="AW225" i="1"/>
  <c r="AT225" i="1"/>
  <c r="AS225" i="1"/>
  <c r="AR225" i="1"/>
  <c r="AV225" i="1" s="1"/>
  <c r="AO225" i="1"/>
  <c r="AN225" i="1"/>
  <c r="AM225" i="1"/>
  <c r="AQ225" i="1" s="1"/>
  <c r="AJ225" i="1"/>
  <c r="AI225" i="1"/>
  <c r="AH225" i="1"/>
  <c r="AL225" i="1" s="1"/>
  <c r="AE225" i="1"/>
  <c r="AD225" i="1"/>
  <c r="AC225" i="1"/>
  <c r="Z225" i="1"/>
  <c r="Y225" i="1"/>
  <c r="X225" i="1"/>
  <c r="AB225" i="1" s="1"/>
  <c r="W225" i="1"/>
  <c r="U225" i="1"/>
  <c r="T225" i="1"/>
  <c r="S225" i="1"/>
  <c r="P225" i="1"/>
  <c r="O225" i="1"/>
  <c r="N225" i="1"/>
  <c r="K225" i="1"/>
  <c r="J225" i="1"/>
  <c r="I225" i="1"/>
  <c r="M225" i="1" s="1"/>
  <c r="BT224" i="1"/>
  <c r="BN224" i="1"/>
  <c r="BM224" i="1"/>
  <c r="BL224" i="1"/>
  <c r="BI224" i="1"/>
  <c r="BH224" i="1"/>
  <c r="BG224" i="1"/>
  <c r="BK224" i="1" s="1"/>
  <c r="BD224" i="1"/>
  <c r="BC224" i="1"/>
  <c r="BB224" i="1"/>
  <c r="BF224" i="1" s="1"/>
  <c r="AY224" i="1"/>
  <c r="AX224" i="1"/>
  <c r="AW224" i="1"/>
  <c r="BA224" i="1" s="1"/>
  <c r="AT224" i="1"/>
  <c r="AS224" i="1"/>
  <c r="AR224" i="1"/>
  <c r="AV224" i="1" s="1"/>
  <c r="AO224" i="1"/>
  <c r="BS224" i="1" s="1"/>
  <c r="AN224" i="1"/>
  <c r="AM224" i="1"/>
  <c r="AJ224" i="1"/>
  <c r="AI224" i="1"/>
  <c r="AL224" i="1" s="1"/>
  <c r="AH224" i="1"/>
  <c r="AE224" i="1"/>
  <c r="AD224" i="1"/>
  <c r="AC224" i="1"/>
  <c r="Z224" i="1"/>
  <c r="Y224" i="1"/>
  <c r="X224" i="1"/>
  <c r="AB224" i="1" s="1"/>
  <c r="W224" i="1"/>
  <c r="U224" i="1"/>
  <c r="T224" i="1"/>
  <c r="S224" i="1"/>
  <c r="P224" i="1"/>
  <c r="O224" i="1"/>
  <c r="N224" i="1"/>
  <c r="K224" i="1"/>
  <c r="J224" i="1"/>
  <c r="I224" i="1"/>
  <c r="BT223" i="1"/>
  <c r="BN223" i="1"/>
  <c r="BS223" i="1" s="1"/>
  <c r="BM223" i="1"/>
  <c r="BL223" i="1"/>
  <c r="BI223" i="1"/>
  <c r="BK223" i="1" s="1"/>
  <c r="BH223" i="1"/>
  <c r="BG223" i="1"/>
  <c r="BD223" i="1"/>
  <c r="BC223" i="1"/>
  <c r="BF223" i="1" s="1"/>
  <c r="BB223" i="1"/>
  <c r="AY223" i="1"/>
  <c r="AX223" i="1"/>
  <c r="AW223" i="1"/>
  <c r="BA223" i="1" s="1"/>
  <c r="AT223" i="1"/>
  <c r="AS223" i="1"/>
  <c r="AV223" i="1" s="1"/>
  <c r="AR223" i="1"/>
  <c r="AO223" i="1"/>
  <c r="AN223" i="1"/>
  <c r="AM223" i="1"/>
  <c r="AJ223" i="1"/>
  <c r="AI223" i="1"/>
  <c r="AH223" i="1"/>
  <c r="AL223" i="1" s="1"/>
  <c r="AE223" i="1"/>
  <c r="AG223" i="1" s="1"/>
  <c r="AD223" i="1"/>
  <c r="AC223" i="1"/>
  <c r="Z223" i="1"/>
  <c r="Y223" i="1"/>
  <c r="AB223" i="1" s="1"/>
  <c r="X223" i="1"/>
  <c r="U223" i="1"/>
  <c r="T223" i="1"/>
  <c r="S223" i="1"/>
  <c r="P223" i="1"/>
  <c r="O223" i="1"/>
  <c r="N223" i="1"/>
  <c r="R223" i="1" s="1"/>
  <c r="M223" i="1"/>
  <c r="K223" i="1"/>
  <c r="J223" i="1"/>
  <c r="I223" i="1"/>
  <c r="BT222" i="1"/>
  <c r="BN222" i="1"/>
  <c r="BM222" i="1"/>
  <c r="BL222" i="1"/>
  <c r="BI222" i="1"/>
  <c r="BK222" i="1" s="1"/>
  <c r="BH222" i="1"/>
  <c r="BG222" i="1"/>
  <c r="BF222" i="1"/>
  <c r="BD222" i="1"/>
  <c r="BC222" i="1"/>
  <c r="BB222" i="1"/>
  <c r="AY222" i="1"/>
  <c r="AX222" i="1"/>
  <c r="AW222" i="1"/>
  <c r="BA222" i="1" s="1"/>
  <c r="AT222" i="1"/>
  <c r="AV222" i="1" s="1"/>
  <c r="AS222" i="1"/>
  <c r="AR222" i="1"/>
  <c r="AO222" i="1"/>
  <c r="AQ222" i="1" s="1"/>
  <c r="AN222" i="1"/>
  <c r="AM222" i="1"/>
  <c r="AJ222" i="1"/>
  <c r="AI222" i="1"/>
  <c r="AH222" i="1"/>
  <c r="AE222" i="1"/>
  <c r="AG222" i="1" s="1"/>
  <c r="AD222" i="1"/>
  <c r="AC222" i="1"/>
  <c r="Z222" i="1"/>
  <c r="AB222" i="1" s="1"/>
  <c r="Y222" i="1"/>
  <c r="X222" i="1"/>
  <c r="U222" i="1"/>
  <c r="T222" i="1"/>
  <c r="S222" i="1"/>
  <c r="P222" i="1"/>
  <c r="R222" i="1" s="1"/>
  <c r="O222" i="1"/>
  <c r="N222" i="1"/>
  <c r="K222" i="1"/>
  <c r="M222" i="1" s="1"/>
  <c r="J222" i="1"/>
  <c r="I222" i="1"/>
  <c r="BT221" i="1"/>
  <c r="BS221" i="1"/>
  <c r="BN221" i="1"/>
  <c r="BM221" i="1"/>
  <c r="BL221" i="1"/>
  <c r="BK221" i="1"/>
  <c r="BI221" i="1"/>
  <c r="BH221" i="1"/>
  <c r="BG221" i="1"/>
  <c r="BD221" i="1"/>
  <c r="BC221" i="1"/>
  <c r="BR221" i="1" s="1"/>
  <c r="BB221" i="1"/>
  <c r="AY221" i="1"/>
  <c r="AX221" i="1"/>
  <c r="AW221" i="1"/>
  <c r="BA221" i="1" s="1"/>
  <c r="AV221" i="1"/>
  <c r="AT221" i="1"/>
  <c r="AS221" i="1"/>
  <c r="AR221" i="1"/>
  <c r="AO221" i="1"/>
  <c r="AN221" i="1"/>
  <c r="AQ221" i="1" s="1"/>
  <c r="AM221" i="1"/>
  <c r="AJ221" i="1"/>
  <c r="AI221" i="1"/>
  <c r="AH221" i="1"/>
  <c r="AL221" i="1" s="1"/>
  <c r="AG221" i="1"/>
  <c r="AE221" i="1"/>
  <c r="AD221" i="1"/>
  <c r="AC221" i="1"/>
  <c r="Z221" i="1"/>
  <c r="Y221" i="1"/>
  <c r="AB221" i="1" s="1"/>
  <c r="X221" i="1"/>
  <c r="U221" i="1"/>
  <c r="T221" i="1"/>
  <c r="S221" i="1"/>
  <c r="W221" i="1" s="1"/>
  <c r="R221" i="1"/>
  <c r="P221" i="1"/>
  <c r="O221" i="1"/>
  <c r="N221" i="1"/>
  <c r="K221" i="1"/>
  <c r="J221" i="1"/>
  <c r="M221" i="1" s="1"/>
  <c r="I221" i="1"/>
  <c r="BT220" i="1"/>
  <c r="BN220" i="1"/>
  <c r="BM220" i="1"/>
  <c r="BL220" i="1"/>
  <c r="BI220" i="1"/>
  <c r="BH220" i="1"/>
  <c r="BG220" i="1"/>
  <c r="BD220" i="1"/>
  <c r="BC220" i="1"/>
  <c r="BB220" i="1"/>
  <c r="BF220" i="1" s="1"/>
  <c r="AY220" i="1"/>
  <c r="AX220" i="1"/>
  <c r="BA220" i="1" s="1"/>
  <c r="AW220" i="1"/>
  <c r="AT220" i="1"/>
  <c r="AS220" i="1"/>
  <c r="AR220" i="1"/>
  <c r="AO220" i="1"/>
  <c r="AN220" i="1"/>
  <c r="AM220" i="1"/>
  <c r="AJ220" i="1"/>
  <c r="AI220" i="1"/>
  <c r="AH220" i="1"/>
  <c r="AL220" i="1" s="1"/>
  <c r="AE220" i="1"/>
  <c r="AD220" i="1"/>
  <c r="AC220" i="1"/>
  <c r="Z220" i="1"/>
  <c r="Y220" i="1"/>
  <c r="X220" i="1"/>
  <c r="W220" i="1"/>
  <c r="U220" i="1"/>
  <c r="T220" i="1"/>
  <c r="S220" i="1"/>
  <c r="P220" i="1"/>
  <c r="O220" i="1"/>
  <c r="R220" i="1" s="1"/>
  <c r="N220" i="1"/>
  <c r="K220" i="1"/>
  <c r="J220" i="1"/>
  <c r="I220" i="1"/>
  <c r="M220" i="1" s="1"/>
  <c r="BT219" i="1"/>
  <c r="BP219" i="1"/>
  <c r="BN219" i="1"/>
  <c r="BM219" i="1"/>
  <c r="BL219" i="1"/>
  <c r="BI219" i="1"/>
  <c r="BH219" i="1"/>
  <c r="BG219" i="1"/>
  <c r="BD219" i="1"/>
  <c r="BF219" i="1" s="1"/>
  <c r="BC219" i="1"/>
  <c r="BB219" i="1"/>
  <c r="AY219" i="1"/>
  <c r="BA219" i="1" s="1"/>
  <c r="AX219" i="1"/>
  <c r="AW219" i="1"/>
  <c r="AT219" i="1"/>
  <c r="AS219" i="1"/>
  <c r="AR219" i="1"/>
  <c r="AO219" i="1"/>
  <c r="AN219" i="1"/>
  <c r="AQ219" i="1" s="1"/>
  <c r="AM219" i="1"/>
  <c r="AJ219" i="1"/>
  <c r="AI219" i="1"/>
  <c r="AH219" i="1"/>
  <c r="AE219" i="1"/>
  <c r="AD219" i="1"/>
  <c r="AC219" i="1"/>
  <c r="AB219" i="1"/>
  <c r="Z219" i="1"/>
  <c r="Y219" i="1"/>
  <c r="X219" i="1"/>
  <c r="U219" i="1"/>
  <c r="T219" i="1"/>
  <c r="S219" i="1"/>
  <c r="P219" i="1"/>
  <c r="O219" i="1"/>
  <c r="N219" i="1"/>
  <c r="R219" i="1" s="1"/>
  <c r="M219" i="1"/>
  <c r="K219" i="1"/>
  <c r="J219" i="1"/>
  <c r="I219" i="1"/>
  <c r="BT218" i="1"/>
  <c r="BN218" i="1"/>
  <c r="BM218" i="1"/>
  <c r="BL218" i="1"/>
  <c r="BI218" i="1"/>
  <c r="BH218" i="1"/>
  <c r="BK218" i="1" s="1"/>
  <c r="BG218" i="1"/>
  <c r="BD218" i="1"/>
  <c r="BC218" i="1"/>
  <c r="BB218" i="1"/>
  <c r="BF218" i="1" s="1"/>
  <c r="AY218" i="1"/>
  <c r="AX218" i="1"/>
  <c r="AW218" i="1"/>
  <c r="AV218" i="1"/>
  <c r="AT218" i="1"/>
  <c r="AS218" i="1"/>
  <c r="AR218" i="1"/>
  <c r="AQ218" i="1"/>
  <c r="AO218" i="1"/>
  <c r="AN218" i="1"/>
  <c r="AM218" i="1"/>
  <c r="AJ218" i="1"/>
  <c r="AI218" i="1"/>
  <c r="AH218" i="1"/>
  <c r="AG218" i="1"/>
  <c r="AE218" i="1"/>
  <c r="AD218" i="1"/>
  <c r="AC218" i="1"/>
  <c r="Z218" i="1"/>
  <c r="AB218" i="1" s="1"/>
  <c r="Y218" i="1"/>
  <c r="X218" i="1"/>
  <c r="U218" i="1"/>
  <c r="T218" i="1"/>
  <c r="S218" i="1"/>
  <c r="W218" i="1" s="1"/>
  <c r="R218" i="1"/>
  <c r="P218" i="1"/>
  <c r="O218" i="1"/>
  <c r="N218" i="1"/>
  <c r="K218" i="1"/>
  <c r="J218" i="1"/>
  <c r="M218" i="1" s="1"/>
  <c r="I218" i="1"/>
  <c r="BT217" i="1"/>
  <c r="BN217" i="1"/>
  <c r="BM217" i="1"/>
  <c r="BL217" i="1"/>
  <c r="BI217" i="1"/>
  <c r="BK217" i="1" s="1"/>
  <c r="BH217" i="1"/>
  <c r="BG217" i="1"/>
  <c r="BD217" i="1"/>
  <c r="BC217" i="1"/>
  <c r="BB217" i="1"/>
  <c r="BF217" i="1" s="1"/>
  <c r="AY217" i="1"/>
  <c r="AX217" i="1"/>
  <c r="AW217" i="1"/>
  <c r="BA217" i="1" s="1"/>
  <c r="AT217" i="1"/>
  <c r="AS217" i="1"/>
  <c r="AV217" i="1" s="1"/>
  <c r="AR217" i="1"/>
  <c r="AO217" i="1"/>
  <c r="AN217" i="1"/>
  <c r="AM217" i="1"/>
  <c r="AJ217" i="1"/>
  <c r="AI217" i="1"/>
  <c r="AH217" i="1"/>
  <c r="AL217" i="1" s="1"/>
  <c r="AE217" i="1"/>
  <c r="AD217" i="1"/>
  <c r="AG217" i="1" s="1"/>
  <c r="AC217" i="1"/>
  <c r="Z217" i="1"/>
  <c r="Y217" i="1"/>
  <c r="X217" i="1"/>
  <c r="U217" i="1"/>
  <c r="T217" i="1"/>
  <c r="S217" i="1"/>
  <c r="P217" i="1"/>
  <c r="O217" i="1"/>
  <c r="R217" i="1" s="1"/>
  <c r="N217" i="1"/>
  <c r="K217" i="1"/>
  <c r="J217" i="1"/>
  <c r="I217" i="1"/>
  <c r="M217" i="1" s="1"/>
  <c r="BT216" i="1"/>
  <c r="BR216" i="1"/>
  <c r="BP216" i="1"/>
  <c r="BN216" i="1"/>
  <c r="BM216" i="1"/>
  <c r="BL216" i="1"/>
  <c r="BI216" i="1"/>
  <c r="BH216" i="1"/>
  <c r="BG216" i="1"/>
  <c r="BD216" i="1"/>
  <c r="BC216" i="1"/>
  <c r="BB216" i="1"/>
  <c r="BF216" i="1" s="1"/>
  <c r="BA216" i="1"/>
  <c r="AY216" i="1"/>
  <c r="AX216" i="1"/>
  <c r="AW216" i="1"/>
  <c r="AT216" i="1"/>
  <c r="AS216" i="1"/>
  <c r="AR216" i="1"/>
  <c r="AV216" i="1" s="1"/>
  <c r="AQ216" i="1"/>
  <c r="AO216" i="1"/>
  <c r="AN216" i="1"/>
  <c r="AM216" i="1"/>
  <c r="AJ216" i="1"/>
  <c r="AL216" i="1" s="1"/>
  <c r="AI216" i="1"/>
  <c r="AH216" i="1"/>
  <c r="AE216" i="1"/>
  <c r="AD216" i="1"/>
  <c r="AC216" i="1"/>
  <c r="AG216" i="1" s="1"/>
  <c r="Z216" i="1"/>
  <c r="AB216" i="1" s="1"/>
  <c r="Y216" i="1"/>
  <c r="X216" i="1"/>
  <c r="U216" i="1"/>
  <c r="W216" i="1" s="1"/>
  <c r="T216" i="1"/>
  <c r="S216" i="1"/>
  <c r="P216" i="1"/>
  <c r="O216" i="1"/>
  <c r="N216" i="1"/>
  <c r="K216" i="1"/>
  <c r="J216" i="1"/>
  <c r="M216" i="1" s="1"/>
  <c r="I216" i="1"/>
  <c r="BT215" i="1"/>
  <c r="BN215" i="1"/>
  <c r="BM215" i="1"/>
  <c r="BR215" i="1" s="1"/>
  <c r="BL215" i="1"/>
  <c r="BK215" i="1"/>
  <c r="BI215" i="1"/>
  <c r="BH215" i="1"/>
  <c r="BG215" i="1"/>
  <c r="BF215" i="1"/>
  <c r="BD215" i="1"/>
  <c r="BC215" i="1"/>
  <c r="BB215" i="1"/>
  <c r="AY215" i="1"/>
  <c r="AX215" i="1"/>
  <c r="AW215" i="1"/>
  <c r="BA215" i="1" s="1"/>
  <c r="AT215" i="1"/>
  <c r="AV215" i="1" s="1"/>
  <c r="AS215" i="1"/>
  <c r="AR215" i="1"/>
  <c r="AQ215" i="1"/>
  <c r="AO215" i="1"/>
  <c r="AN215" i="1"/>
  <c r="AM215" i="1"/>
  <c r="AJ215" i="1"/>
  <c r="AI215" i="1"/>
  <c r="AH215" i="1"/>
  <c r="AL215" i="1" s="1"/>
  <c r="AE215" i="1"/>
  <c r="AD215" i="1"/>
  <c r="AG215" i="1" s="1"/>
  <c r="AC215" i="1"/>
  <c r="Z215" i="1"/>
  <c r="Y215" i="1"/>
  <c r="AB215" i="1" s="1"/>
  <c r="X215" i="1"/>
  <c r="U215" i="1"/>
  <c r="T215" i="1"/>
  <c r="S215" i="1"/>
  <c r="W215" i="1" s="1"/>
  <c r="P215" i="1"/>
  <c r="O215" i="1"/>
  <c r="N215" i="1"/>
  <c r="R215" i="1" s="1"/>
  <c r="K215" i="1"/>
  <c r="J215" i="1"/>
  <c r="M215" i="1" s="1"/>
  <c r="I215" i="1"/>
  <c r="BT214" i="1"/>
  <c r="BN214" i="1"/>
  <c r="BM214" i="1"/>
  <c r="BL214" i="1"/>
  <c r="BI214" i="1"/>
  <c r="BH214" i="1"/>
  <c r="BG214" i="1"/>
  <c r="BD214" i="1"/>
  <c r="BC214" i="1"/>
  <c r="BB214" i="1"/>
  <c r="AY214" i="1"/>
  <c r="AX214" i="1"/>
  <c r="AW214" i="1"/>
  <c r="BA214" i="1" s="1"/>
  <c r="AT214" i="1"/>
  <c r="AS214" i="1"/>
  <c r="AR214" i="1"/>
  <c r="AV214" i="1" s="1"/>
  <c r="AO214" i="1"/>
  <c r="AN214" i="1"/>
  <c r="AM214" i="1"/>
  <c r="AJ214" i="1"/>
  <c r="AI214" i="1"/>
  <c r="AH214" i="1"/>
  <c r="AL214" i="1" s="1"/>
  <c r="AE214" i="1"/>
  <c r="AD214" i="1"/>
  <c r="AC214" i="1"/>
  <c r="AG214" i="1" s="1"/>
  <c r="Z214" i="1"/>
  <c r="Y214" i="1"/>
  <c r="X214" i="1"/>
  <c r="AB214" i="1" s="1"/>
  <c r="W214" i="1"/>
  <c r="U214" i="1"/>
  <c r="T214" i="1"/>
  <c r="S214" i="1"/>
  <c r="P214" i="1"/>
  <c r="O214" i="1"/>
  <c r="N214" i="1"/>
  <c r="R214" i="1" s="1"/>
  <c r="K214" i="1"/>
  <c r="M214" i="1" s="1"/>
  <c r="J214" i="1"/>
  <c r="I214" i="1"/>
  <c r="BT213" i="1"/>
  <c r="BN213" i="1"/>
  <c r="BM213" i="1"/>
  <c r="BL213" i="1"/>
  <c r="BI213" i="1"/>
  <c r="BK213" i="1" s="1"/>
  <c r="BH213" i="1"/>
  <c r="BG213" i="1"/>
  <c r="BD213" i="1"/>
  <c r="BF213" i="1" s="1"/>
  <c r="BC213" i="1"/>
  <c r="BB213" i="1"/>
  <c r="AY213" i="1"/>
  <c r="AX213" i="1"/>
  <c r="AW213" i="1"/>
  <c r="AT213" i="1"/>
  <c r="AV213" i="1" s="1"/>
  <c r="AS213" i="1"/>
  <c r="AR213" i="1"/>
  <c r="AO213" i="1"/>
  <c r="AQ213" i="1" s="1"/>
  <c r="AN213" i="1"/>
  <c r="AM213" i="1"/>
  <c r="AJ213" i="1"/>
  <c r="AI213" i="1"/>
  <c r="AH213" i="1"/>
  <c r="AE213" i="1"/>
  <c r="AG213" i="1" s="1"/>
  <c r="AD213" i="1"/>
  <c r="AC213" i="1"/>
  <c r="AB213" i="1"/>
  <c r="Z213" i="1"/>
  <c r="Y213" i="1"/>
  <c r="X213" i="1"/>
  <c r="U213" i="1"/>
  <c r="T213" i="1"/>
  <c r="S213" i="1"/>
  <c r="W213" i="1" s="1"/>
  <c r="R213" i="1"/>
  <c r="P213" i="1"/>
  <c r="O213" i="1"/>
  <c r="N213" i="1"/>
  <c r="M213" i="1"/>
  <c r="K213" i="1"/>
  <c r="J213" i="1"/>
  <c r="I213" i="1"/>
  <c r="BT212" i="1"/>
  <c r="BR212" i="1"/>
  <c r="BN212" i="1"/>
  <c r="BM212" i="1"/>
  <c r="BL212" i="1"/>
  <c r="BP212" i="1" s="1"/>
  <c r="BK212" i="1"/>
  <c r="BI212" i="1"/>
  <c r="BH212" i="1"/>
  <c r="BG212" i="1"/>
  <c r="BD212" i="1"/>
  <c r="BC212" i="1"/>
  <c r="BB212" i="1"/>
  <c r="AY212" i="1"/>
  <c r="AX212" i="1"/>
  <c r="AW212" i="1"/>
  <c r="BA212" i="1" s="1"/>
  <c r="AV212" i="1"/>
  <c r="AT212" i="1"/>
  <c r="AS212" i="1"/>
  <c r="AR212" i="1"/>
  <c r="AO212" i="1"/>
  <c r="AN212" i="1"/>
  <c r="AM212" i="1"/>
  <c r="AQ212" i="1" s="1"/>
  <c r="AJ212" i="1"/>
  <c r="AI212" i="1"/>
  <c r="AH212" i="1"/>
  <c r="AL212" i="1" s="1"/>
  <c r="AG212" i="1"/>
  <c r="AE212" i="1"/>
  <c r="AD212" i="1"/>
  <c r="AC212" i="1"/>
  <c r="AB212" i="1"/>
  <c r="Z212" i="1"/>
  <c r="Y212" i="1"/>
  <c r="X212" i="1"/>
  <c r="U212" i="1"/>
  <c r="T212" i="1"/>
  <c r="S212" i="1"/>
  <c r="W212" i="1" s="1"/>
  <c r="R212" i="1"/>
  <c r="P212" i="1"/>
  <c r="O212" i="1"/>
  <c r="N212" i="1"/>
  <c r="K212" i="1"/>
  <c r="BS212" i="1" s="1"/>
  <c r="J212" i="1"/>
  <c r="I212" i="1"/>
  <c r="BT211" i="1"/>
  <c r="BP211" i="1"/>
  <c r="BN211" i="1"/>
  <c r="BM211" i="1"/>
  <c r="BL211" i="1"/>
  <c r="BI211" i="1"/>
  <c r="BH211" i="1"/>
  <c r="BG211" i="1"/>
  <c r="BD211" i="1"/>
  <c r="BC211" i="1"/>
  <c r="BB211" i="1"/>
  <c r="BF211" i="1" s="1"/>
  <c r="BA211" i="1"/>
  <c r="AY211" i="1"/>
  <c r="AX211" i="1"/>
  <c r="AW211" i="1"/>
  <c r="AT211" i="1"/>
  <c r="AS211" i="1"/>
  <c r="AR211" i="1"/>
  <c r="AO211" i="1"/>
  <c r="AN211" i="1"/>
  <c r="AM211" i="1"/>
  <c r="AJ211" i="1"/>
  <c r="AI211" i="1"/>
  <c r="AL211" i="1" s="1"/>
  <c r="AH211" i="1"/>
  <c r="AE211" i="1"/>
  <c r="AD211" i="1"/>
  <c r="AC211" i="1"/>
  <c r="Z211" i="1"/>
  <c r="Y211" i="1"/>
  <c r="X211" i="1"/>
  <c r="AB211" i="1" s="1"/>
  <c r="W211" i="1"/>
  <c r="U211" i="1"/>
  <c r="T211" i="1"/>
  <c r="S211" i="1"/>
  <c r="P211" i="1"/>
  <c r="O211" i="1"/>
  <c r="N211" i="1"/>
  <c r="R211" i="1" s="1"/>
  <c r="K211" i="1"/>
  <c r="J211" i="1"/>
  <c r="I211" i="1"/>
  <c r="M211" i="1" s="1"/>
  <c r="BT210" i="1"/>
  <c r="BN210" i="1"/>
  <c r="BM210" i="1"/>
  <c r="BP210" i="1" s="1"/>
  <c r="BL210" i="1"/>
  <c r="BI210" i="1"/>
  <c r="BH210" i="1"/>
  <c r="BG210" i="1"/>
  <c r="BD210" i="1"/>
  <c r="BC210" i="1"/>
  <c r="BB210" i="1"/>
  <c r="BA210" i="1"/>
  <c r="AY210" i="1"/>
  <c r="AX210" i="1"/>
  <c r="AW210" i="1"/>
  <c r="AT210" i="1"/>
  <c r="AS210" i="1"/>
  <c r="AR210" i="1"/>
  <c r="AO210" i="1"/>
  <c r="AN210" i="1"/>
  <c r="AM210" i="1"/>
  <c r="AQ210" i="1" s="1"/>
  <c r="AJ210" i="1"/>
  <c r="AL210" i="1" s="1"/>
  <c r="AI210" i="1"/>
  <c r="AH210" i="1"/>
  <c r="AE210" i="1"/>
  <c r="AD210" i="1"/>
  <c r="AC210" i="1"/>
  <c r="AG210" i="1" s="1"/>
  <c r="Z210" i="1"/>
  <c r="Y210" i="1"/>
  <c r="X210" i="1"/>
  <c r="AB210" i="1" s="1"/>
  <c r="U210" i="1"/>
  <c r="T210" i="1"/>
  <c r="S210" i="1"/>
  <c r="R210" i="1"/>
  <c r="P210" i="1"/>
  <c r="O210" i="1"/>
  <c r="N210" i="1"/>
  <c r="K210" i="1"/>
  <c r="J210" i="1"/>
  <c r="I210" i="1"/>
  <c r="BT209" i="1"/>
  <c r="BR209" i="1"/>
  <c r="BP209" i="1"/>
  <c r="BN209" i="1"/>
  <c r="BM209" i="1"/>
  <c r="BL209" i="1"/>
  <c r="BI209" i="1"/>
  <c r="BH209" i="1"/>
  <c r="BG209" i="1"/>
  <c r="BD209" i="1"/>
  <c r="BC209" i="1"/>
  <c r="BB209" i="1"/>
  <c r="BF209" i="1" s="1"/>
  <c r="BA209" i="1"/>
  <c r="AY209" i="1"/>
  <c r="AX209" i="1"/>
  <c r="AW209" i="1"/>
  <c r="AT209" i="1"/>
  <c r="AS209" i="1"/>
  <c r="AR209" i="1"/>
  <c r="AO209" i="1"/>
  <c r="AN209" i="1"/>
  <c r="AM209" i="1"/>
  <c r="AQ209" i="1" s="1"/>
  <c r="AL209" i="1"/>
  <c r="AJ209" i="1"/>
  <c r="AI209" i="1"/>
  <c r="AH209" i="1"/>
  <c r="AE209" i="1"/>
  <c r="AD209" i="1"/>
  <c r="AC209" i="1"/>
  <c r="Z209" i="1"/>
  <c r="Y209" i="1"/>
  <c r="X209" i="1"/>
  <c r="AB209" i="1" s="1"/>
  <c r="W209" i="1"/>
  <c r="U209" i="1"/>
  <c r="T209" i="1"/>
  <c r="S209" i="1"/>
  <c r="P209" i="1"/>
  <c r="BS209" i="1" s="1"/>
  <c r="O209" i="1"/>
  <c r="N209" i="1"/>
  <c r="M209" i="1"/>
  <c r="K209" i="1"/>
  <c r="J209" i="1"/>
  <c r="I209" i="1"/>
  <c r="BT208" i="1"/>
  <c r="BN208" i="1"/>
  <c r="BM208" i="1"/>
  <c r="BL208" i="1"/>
  <c r="BI208" i="1"/>
  <c r="BK208" i="1" s="1"/>
  <c r="BH208" i="1"/>
  <c r="BG208" i="1"/>
  <c r="BF208" i="1"/>
  <c r="BD208" i="1"/>
  <c r="BC208" i="1"/>
  <c r="BB208" i="1"/>
  <c r="AY208" i="1"/>
  <c r="AX208" i="1"/>
  <c r="AW208" i="1"/>
  <c r="BA208" i="1" s="1"/>
  <c r="AT208" i="1"/>
  <c r="AS208" i="1"/>
  <c r="AR208" i="1"/>
  <c r="AV208" i="1" s="1"/>
  <c r="AQ208" i="1"/>
  <c r="AO208" i="1"/>
  <c r="AN208" i="1"/>
  <c r="AM208" i="1"/>
  <c r="AJ208" i="1"/>
  <c r="AI208" i="1"/>
  <c r="AH208" i="1"/>
  <c r="AE208" i="1"/>
  <c r="AD208" i="1"/>
  <c r="AC208" i="1"/>
  <c r="Z208" i="1"/>
  <c r="AB208" i="1" s="1"/>
  <c r="Y208" i="1"/>
  <c r="X208" i="1"/>
  <c r="U208" i="1"/>
  <c r="T208" i="1"/>
  <c r="S208" i="1"/>
  <c r="P208" i="1"/>
  <c r="O208" i="1"/>
  <c r="N208" i="1"/>
  <c r="R208" i="1" s="1"/>
  <c r="K208" i="1"/>
  <c r="M208" i="1" s="1"/>
  <c r="J208" i="1"/>
  <c r="I208" i="1"/>
  <c r="BT207" i="1"/>
  <c r="BN207" i="1"/>
  <c r="BM207" i="1"/>
  <c r="BL207" i="1"/>
  <c r="BK207" i="1"/>
  <c r="BI207" i="1"/>
  <c r="BH207" i="1"/>
  <c r="BG207" i="1"/>
  <c r="BD207" i="1"/>
  <c r="BS207" i="1" s="1"/>
  <c r="BC207" i="1"/>
  <c r="BR207" i="1" s="1"/>
  <c r="BB207" i="1"/>
  <c r="BF207" i="1" s="1"/>
  <c r="AY207" i="1"/>
  <c r="AX207" i="1"/>
  <c r="AW207" i="1"/>
  <c r="BA207" i="1" s="1"/>
  <c r="AV207" i="1"/>
  <c r="AT207" i="1"/>
  <c r="AS207" i="1"/>
  <c r="AR207" i="1"/>
  <c r="AO207" i="1"/>
  <c r="AN207" i="1"/>
  <c r="AM207" i="1"/>
  <c r="AQ207" i="1" s="1"/>
  <c r="AL207" i="1"/>
  <c r="AJ207" i="1"/>
  <c r="AI207" i="1"/>
  <c r="AH207" i="1"/>
  <c r="AG207" i="1"/>
  <c r="AE207" i="1"/>
  <c r="AD207" i="1"/>
  <c r="AC207" i="1"/>
  <c r="Z207" i="1"/>
  <c r="Y207" i="1"/>
  <c r="X207" i="1"/>
  <c r="AB207" i="1" s="1"/>
  <c r="U207" i="1"/>
  <c r="W207" i="1" s="1"/>
  <c r="T207" i="1"/>
  <c r="S207" i="1"/>
  <c r="R207" i="1"/>
  <c r="P207" i="1"/>
  <c r="O207" i="1"/>
  <c r="N207" i="1"/>
  <c r="K207" i="1"/>
  <c r="J207" i="1"/>
  <c r="I207" i="1"/>
  <c r="M207" i="1" s="1"/>
  <c r="BT206" i="1"/>
  <c r="BS206" i="1"/>
  <c r="BN206" i="1"/>
  <c r="BM206" i="1"/>
  <c r="BL206" i="1"/>
  <c r="BP206" i="1" s="1"/>
  <c r="BI206" i="1"/>
  <c r="BH206" i="1"/>
  <c r="BG206" i="1"/>
  <c r="BD206" i="1"/>
  <c r="BC206" i="1"/>
  <c r="BB206" i="1"/>
  <c r="BF206" i="1" s="1"/>
  <c r="AY206" i="1"/>
  <c r="AX206" i="1"/>
  <c r="AW206" i="1"/>
  <c r="AT206" i="1"/>
  <c r="AS206" i="1"/>
  <c r="AR206" i="1"/>
  <c r="AO206" i="1"/>
  <c r="AN206" i="1"/>
  <c r="AM206" i="1"/>
  <c r="AJ206" i="1"/>
  <c r="AI206" i="1"/>
  <c r="AH206" i="1"/>
  <c r="AE206" i="1"/>
  <c r="AD206" i="1"/>
  <c r="AC206" i="1"/>
  <c r="AG206" i="1" s="1"/>
  <c r="Z206" i="1"/>
  <c r="Y206" i="1"/>
  <c r="X206" i="1"/>
  <c r="AB206" i="1" s="1"/>
  <c r="U206" i="1"/>
  <c r="T206" i="1"/>
  <c r="S206" i="1"/>
  <c r="P206" i="1"/>
  <c r="O206" i="1"/>
  <c r="N206" i="1"/>
  <c r="K206" i="1"/>
  <c r="J206" i="1"/>
  <c r="I206" i="1"/>
  <c r="M206" i="1" s="1"/>
  <c r="BT205" i="1"/>
  <c r="BN205" i="1"/>
  <c r="BM205" i="1"/>
  <c r="BL205" i="1"/>
  <c r="BP205" i="1" s="1"/>
  <c r="BI205" i="1"/>
  <c r="BH205" i="1"/>
  <c r="BK205" i="1" s="1"/>
  <c r="BG205" i="1"/>
  <c r="BD205" i="1"/>
  <c r="BC205" i="1"/>
  <c r="BB205" i="1"/>
  <c r="AY205" i="1"/>
  <c r="AX205" i="1"/>
  <c r="AW205" i="1"/>
  <c r="BA205" i="1" s="1"/>
  <c r="AV205" i="1"/>
  <c r="AT205" i="1"/>
  <c r="AS205" i="1"/>
  <c r="AR205" i="1"/>
  <c r="AO205" i="1"/>
  <c r="AN205" i="1"/>
  <c r="AM205" i="1"/>
  <c r="AQ205" i="1" s="1"/>
  <c r="AJ205" i="1"/>
  <c r="AI205" i="1"/>
  <c r="AH205" i="1"/>
  <c r="AL205" i="1" s="1"/>
  <c r="AE205" i="1"/>
  <c r="AG205" i="1" s="1"/>
  <c r="AD205" i="1"/>
  <c r="AC205" i="1"/>
  <c r="Z205" i="1"/>
  <c r="Y205" i="1"/>
  <c r="X205" i="1"/>
  <c r="AB205" i="1" s="1"/>
  <c r="U205" i="1"/>
  <c r="T205" i="1"/>
  <c r="S205" i="1"/>
  <c r="P205" i="1"/>
  <c r="O205" i="1"/>
  <c r="R205" i="1" s="1"/>
  <c r="N205" i="1"/>
  <c r="K205" i="1"/>
  <c r="J205" i="1"/>
  <c r="I205" i="1"/>
  <c r="BT204" i="1"/>
  <c r="BP204" i="1"/>
  <c r="BN204" i="1"/>
  <c r="BM204" i="1"/>
  <c r="BL204" i="1"/>
  <c r="BI204" i="1"/>
  <c r="BH204" i="1"/>
  <c r="BG204" i="1"/>
  <c r="BD204" i="1"/>
  <c r="BC204" i="1"/>
  <c r="BB204" i="1"/>
  <c r="BF204" i="1" s="1"/>
  <c r="BA204" i="1"/>
  <c r="AY204" i="1"/>
  <c r="AX204" i="1"/>
  <c r="AW204" i="1"/>
  <c r="AT204" i="1"/>
  <c r="AS204" i="1"/>
  <c r="AV204" i="1" s="1"/>
  <c r="AR204" i="1"/>
  <c r="AO204" i="1"/>
  <c r="AN204" i="1"/>
  <c r="AM204" i="1"/>
  <c r="AJ204" i="1"/>
  <c r="AI204" i="1"/>
  <c r="AH204" i="1"/>
  <c r="AL204" i="1" s="1"/>
  <c r="AG204" i="1"/>
  <c r="AE204" i="1"/>
  <c r="AD204" i="1"/>
  <c r="AC204" i="1"/>
  <c r="Z204" i="1"/>
  <c r="Y204" i="1"/>
  <c r="X204" i="1"/>
  <c r="U204" i="1"/>
  <c r="T204" i="1"/>
  <c r="S204" i="1"/>
  <c r="W204" i="1" s="1"/>
  <c r="P204" i="1"/>
  <c r="R204" i="1" s="1"/>
  <c r="O204" i="1"/>
  <c r="N204" i="1"/>
  <c r="K204" i="1"/>
  <c r="J204" i="1"/>
  <c r="I204" i="1"/>
  <c r="M204" i="1" s="1"/>
  <c r="BT203" i="1"/>
  <c r="BN203" i="1"/>
  <c r="BS203" i="1" s="1"/>
  <c r="BM203" i="1"/>
  <c r="BP203" i="1" s="1"/>
  <c r="BL203" i="1"/>
  <c r="BI203" i="1"/>
  <c r="BH203" i="1"/>
  <c r="BG203" i="1"/>
  <c r="BF203" i="1"/>
  <c r="BD203" i="1"/>
  <c r="BC203" i="1"/>
  <c r="BB203" i="1"/>
  <c r="AY203" i="1"/>
  <c r="AX203" i="1"/>
  <c r="BA203" i="1" s="1"/>
  <c r="AW203" i="1"/>
  <c r="AT203" i="1"/>
  <c r="AS203" i="1"/>
  <c r="AR203" i="1"/>
  <c r="AV203" i="1" s="1"/>
  <c r="AQ203" i="1"/>
  <c r="AO203" i="1"/>
  <c r="AN203" i="1"/>
  <c r="AM203" i="1"/>
  <c r="AJ203" i="1"/>
  <c r="AI203" i="1"/>
  <c r="AL203" i="1" s="1"/>
  <c r="AH203" i="1"/>
  <c r="AE203" i="1"/>
  <c r="AD203" i="1"/>
  <c r="AC203" i="1"/>
  <c r="Z203" i="1"/>
  <c r="Y203" i="1"/>
  <c r="X203" i="1"/>
  <c r="AB203" i="1" s="1"/>
  <c r="U203" i="1"/>
  <c r="T203" i="1"/>
  <c r="W203" i="1" s="1"/>
  <c r="S203" i="1"/>
  <c r="P203" i="1"/>
  <c r="O203" i="1"/>
  <c r="N203" i="1"/>
  <c r="K203" i="1"/>
  <c r="J203" i="1"/>
  <c r="I203" i="1"/>
  <c r="M203" i="1" s="1"/>
  <c r="BT202" i="1"/>
  <c r="BN202" i="1"/>
  <c r="BM202" i="1"/>
  <c r="BL202" i="1"/>
  <c r="BI202" i="1"/>
  <c r="BH202" i="1"/>
  <c r="BG202" i="1"/>
  <c r="BK202" i="1" s="1"/>
  <c r="BD202" i="1"/>
  <c r="BC202" i="1"/>
  <c r="BF202" i="1" s="1"/>
  <c r="BB202" i="1"/>
  <c r="AY202" i="1"/>
  <c r="AX202" i="1"/>
  <c r="AW202" i="1"/>
  <c r="BA202" i="1" s="1"/>
  <c r="AT202" i="1"/>
  <c r="AS202" i="1"/>
  <c r="AR202" i="1"/>
  <c r="AO202" i="1"/>
  <c r="AN202" i="1"/>
  <c r="AM202" i="1"/>
  <c r="AQ202" i="1" s="1"/>
  <c r="AJ202" i="1"/>
  <c r="AI202" i="1"/>
  <c r="AH202" i="1"/>
  <c r="AL202" i="1" s="1"/>
  <c r="AE202" i="1"/>
  <c r="AD202" i="1"/>
  <c r="AC202" i="1"/>
  <c r="AG202" i="1" s="1"/>
  <c r="AB202" i="1"/>
  <c r="Z202" i="1"/>
  <c r="Y202" i="1"/>
  <c r="X202" i="1"/>
  <c r="U202" i="1"/>
  <c r="T202" i="1"/>
  <c r="S202" i="1"/>
  <c r="W202" i="1" s="1"/>
  <c r="P202" i="1"/>
  <c r="O202" i="1"/>
  <c r="N202" i="1"/>
  <c r="K202" i="1"/>
  <c r="M202" i="1" s="1"/>
  <c r="J202" i="1"/>
  <c r="I202" i="1"/>
  <c r="BT201" i="1"/>
  <c r="BN201" i="1"/>
  <c r="BM201" i="1"/>
  <c r="BL201" i="1"/>
  <c r="BK201" i="1"/>
  <c r="BI201" i="1"/>
  <c r="BH201" i="1"/>
  <c r="BG201" i="1"/>
  <c r="BF201" i="1"/>
  <c r="BD201" i="1"/>
  <c r="BC201" i="1"/>
  <c r="BB201" i="1"/>
  <c r="AY201" i="1"/>
  <c r="AX201" i="1"/>
  <c r="AW201" i="1"/>
  <c r="BA201" i="1" s="1"/>
  <c r="AV201" i="1"/>
  <c r="AT201" i="1"/>
  <c r="AS201" i="1"/>
  <c r="AR201" i="1"/>
  <c r="AQ201" i="1"/>
  <c r="AO201" i="1"/>
  <c r="AN201" i="1"/>
  <c r="AM201" i="1"/>
  <c r="AJ201" i="1"/>
  <c r="AI201" i="1"/>
  <c r="AH201" i="1"/>
  <c r="AL201" i="1" s="1"/>
  <c r="AG201" i="1"/>
  <c r="AE201" i="1"/>
  <c r="AD201" i="1"/>
  <c r="AC201" i="1"/>
  <c r="AB201" i="1"/>
  <c r="Z201" i="1"/>
  <c r="Y201" i="1"/>
  <c r="X201" i="1"/>
  <c r="U201" i="1"/>
  <c r="T201" i="1"/>
  <c r="S201" i="1"/>
  <c r="W201" i="1" s="1"/>
  <c r="R201" i="1"/>
  <c r="P201" i="1"/>
  <c r="O201" i="1"/>
  <c r="N201" i="1"/>
  <c r="M201" i="1"/>
  <c r="K201" i="1"/>
  <c r="J201" i="1"/>
  <c r="I201" i="1"/>
  <c r="BT200" i="1"/>
  <c r="BN200" i="1"/>
  <c r="BM200" i="1"/>
  <c r="BP200" i="1" s="1"/>
  <c r="BL200" i="1"/>
  <c r="BI200" i="1"/>
  <c r="BH200" i="1"/>
  <c r="BG200" i="1"/>
  <c r="BD200" i="1"/>
  <c r="BC200" i="1"/>
  <c r="BB200" i="1"/>
  <c r="BF200" i="1" s="1"/>
  <c r="BA200" i="1"/>
  <c r="AY200" i="1"/>
  <c r="AX200" i="1"/>
  <c r="AW200" i="1"/>
  <c r="AT200" i="1"/>
  <c r="AS200" i="1"/>
  <c r="AR200" i="1"/>
  <c r="AV200" i="1" s="1"/>
  <c r="AQ200" i="1"/>
  <c r="AO200" i="1"/>
  <c r="AN200" i="1"/>
  <c r="AM200" i="1"/>
  <c r="AJ200" i="1"/>
  <c r="AI200" i="1"/>
  <c r="AH200" i="1"/>
  <c r="AE200" i="1"/>
  <c r="AD200" i="1"/>
  <c r="AC200" i="1"/>
  <c r="AG200" i="1" s="1"/>
  <c r="Z200" i="1"/>
  <c r="AB200" i="1" s="1"/>
  <c r="Y200" i="1"/>
  <c r="X200" i="1"/>
  <c r="U200" i="1"/>
  <c r="T200" i="1"/>
  <c r="S200" i="1"/>
  <c r="P200" i="1"/>
  <c r="O200" i="1"/>
  <c r="N200" i="1"/>
  <c r="R200" i="1" s="1"/>
  <c r="K200" i="1"/>
  <c r="J200" i="1"/>
  <c r="M200" i="1" s="1"/>
  <c r="I200" i="1"/>
  <c r="BT199" i="1"/>
  <c r="BN199" i="1"/>
  <c r="BM199" i="1"/>
  <c r="BL199" i="1"/>
  <c r="BI199" i="1"/>
  <c r="BH199" i="1"/>
  <c r="BG199" i="1"/>
  <c r="BF199" i="1"/>
  <c r="BD199" i="1"/>
  <c r="BC199" i="1"/>
  <c r="BB199" i="1"/>
  <c r="AY199" i="1"/>
  <c r="AX199" i="1"/>
  <c r="AW199" i="1"/>
  <c r="BA199" i="1" s="1"/>
  <c r="AT199" i="1"/>
  <c r="AS199" i="1"/>
  <c r="AR199" i="1"/>
  <c r="AV199" i="1" s="1"/>
  <c r="AQ199" i="1"/>
  <c r="AO199" i="1"/>
  <c r="AN199" i="1"/>
  <c r="AM199" i="1"/>
  <c r="AJ199" i="1"/>
  <c r="AI199" i="1"/>
  <c r="AH199" i="1"/>
  <c r="AL199" i="1" s="1"/>
  <c r="AE199" i="1"/>
  <c r="AD199" i="1"/>
  <c r="AC199" i="1"/>
  <c r="AG199" i="1" s="1"/>
  <c r="Z199" i="1"/>
  <c r="Y199" i="1"/>
  <c r="AB199" i="1" s="1"/>
  <c r="X199" i="1"/>
  <c r="U199" i="1"/>
  <c r="T199" i="1"/>
  <c r="S199" i="1"/>
  <c r="P199" i="1"/>
  <c r="O199" i="1"/>
  <c r="N199" i="1"/>
  <c r="K199" i="1"/>
  <c r="J199" i="1"/>
  <c r="I199" i="1"/>
  <c r="M199" i="1" s="1"/>
  <c r="BT198" i="1"/>
  <c r="BN198" i="1"/>
  <c r="BM198" i="1"/>
  <c r="BL198" i="1"/>
  <c r="BK198" i="1"/>
  <c r="BI198" i="1"/>
  <c r="BH198" i="1"/>
  <c r="BG198" i="1"/>
  <c r="BD198" i="1"/>
  <c r="BC198" i="1"/>
  <c r="BB198" i="1"/>
  <c r="AY198" i="1"/>
  <c r="AX198" i="1"/>
  <c r="AW198" i="1"/>
  <c r="AV198" i="1"/>
  <c r="AT198" i="1"/>
  <c r="AS198" i="1"/>
  <c r="AR198" i="1"/>
  <c r="AO198" i="1"/>
  <c r="AN198" i="1"/>
  <c r="AM198" i="1"/>
  <c r="AJ198" i="1"/>
  <c r="AI198" i="1"/>
  <c r="AH198" i="1"/>
  <c r="AG198" i="1"/>
  <c r="AE198" i="1"/>
  <c r="AD198" i="1"/>
  <c r="AC198" i="1"/>
  <c r="Z198" i="1"/>
  <c r="Y198" i="1"/>
  <c r="X198" i="1"/>
  <c r="W198" i="1"/>
  <c r="U198" i="1"/>
  <c r="T198" i="1"/>
  <c r="S198" i="1"/>
  <c r="P198" i="1"/>
  <c r="BS198" i="1" s="1"/>
  <c r="O198" i="1"/>
  <c r="N198" i="1"/>
  <c r="K198" i="1"/>
  <c r="J198" i="1"/>
  <c r="I198" i="1"/>
  <c r="BJ197" i="1"/>
  <c r="BE197" i="1"/>
  <c r="AA197" i="1"/>
  <c r="BO196" i="1"/>
  <c r="BJ196" i="1"/>
  <c r="BE196" i="1"/>
  <c r="AZ196" i="1"/>
  <c r="AU196" i="1"/>
  <c r="AP196" i="1"/>
  <c r="AK196" i="1"/>
  <c r="AF196" i="1"/>
  <c r="AA196" i="1"/>
  <c r="V196" i="1"/>
  <c r="Q196" i="1"/>
  <c r="L196" i="1"/>
  <c r="BT195" i="1"/>
  <c r="BS195" i="1"/>
  <c r="BP195" i="1"/>
  <c r="BN195" i="1"/>
  <c r="BM195" i="1"/>
  <c r="BL195" i="1"/>
  <c r="BK195" i="1"/>
  <c r="BI195" i="1"/>
  <c r="BH195" i="1"/>
  <c r="BG195" i="1"/>
  <c r="BD195" i="1"/>
  <c r="BF195" i="1" s="1"/>
  <c r="BC195" i="1"/>
  <c r="BR195" i="1" s="1"/>
  <c r="BB195" i="1"/>
  <c r="BQ195" i="1" s="1"/>
  <c r="BU195" i="1" s="1"/>
  <c r="BA195" i="1"/>
  <c r="AY195" i="1"/>
  <c r="AX195" i="1"/>
  <c r="AW195" i="1"/>
  <c r="AV195" i="1"/>
  <c r="AT195" i="1"/>
  <c r="AS195" i="1"/>
  <c r="AR195" i="1"/>
  <c r="AO195" i="1"/>
  <c r="AQ195" i="1" s="1"/>
  <c r="AN195" i="1"/>
  <c r="AM195" i="1"/>
  <c r="AL195" i="1"/>
  <c r="AJ195" i="1"/>
  <c r="AI195" i="1"/>
  <c r="AH195" i="1"/>
  <c r="AG195" i="1"/>
  <c r="AE195" i="1"/>
  <c r="AD195" i="1"/>
  <c r="AC195" i="1"/>
  <c r="Z195" i="1"/>
  <c r="AB195" i="1" s="1"/>
  <c r="Y195" i="1"/>
  <c r="X195" i="1"/>
  <c r="W195" i="1"/>
  <c r="U195" i="1"/>
  <c r="T195" i="1"/>
  <c r="S195" i="1"/>
  <c r="R195" i="1"/>
  <c r="P195" i="1"/>
  <c r="O195" i="1"/>
  <c r="N195" i="1"/>
  <c r="K195" i="1"/>
  <c r="M195" i="1" s="1"/>
  <c r="J195" i="1"/>
  <c r="I195" i="1"/>
  <c r="BT194" i="1"/>
  <c r="BN194" i="1"/>
  <c r="BM194" i="1"/>
  <c r="BL194" i="1"/>
  <c r="BI194" i="1"/>
  <c r="BH194" i="1"/>
  <c r="BR194" i="1" s="1"/>
  <c r="BG194" i="1"/>
  <c r="BF194" i="1"/>
  <c r="BD194" i="1"/>
  <c r="BC194" i="1"/>
  <c r="BB194" i="1"/>
  <c r="AY194" i="1"/>
  <c r="AX194" i="1"/>
  <c r="AW194" i="1"/>
  <c r="AT194" i="1"/>
  <c r="AS194" i="1"/>
  <c r="AR194" i="1"/>
  <c r="AV194" i="1" s="1"/>
  <c r="AO194" i="1"/>
  <c r="AQ194" i="1" s="1"/>
  <c r="AN194" i="1"/>
  <c r="AM194" i="1"/>
  <c r="AJ194" i="1"/>
  <c r="AI194" i="1"/>
  <c r="AH194" i="1"/>
  <c r="AE194" i="1"/>
  <c r="AD194" i="1"/>
  <c r="AC194" i="1"/>
  <c r="AG194" i="1" s="1"/>
  <c r="Z194" i="1"/>
  <c r="Y194" i="1"/>
  <c r="X194" i="1"/>
  <c r="AB194" i="1" s="1"/>
  <c r="U194" i="1"/>
  <c r="T194" i="1"/>
  <c r="S194" i="1"/>
  <c r="R194" i="1"/>
  <c r="P194" i="1"/>
  <c r="O194" i="1"/>
  <c r="N194" i="1"/>
  <c r="K194" i="1"/>
  <c r="J194" i="1"/>
  <c r="I194" i="1"/>
  <c r="M194" i="1" s="1"/>
  <c r="BT193" i="1"/>
  <c r="BS193" i="1"/>
  <c r="BP193" i="1"/>
  <c r="BN193" i="1"/>
  <c r="BM193" i="1"/>
  <c r="BL193" i="1"/>
  <c r="BI193" i="1"/>
  <c r="BH193" i="1"/>
  <c r="BG193" i="1"/>
  <c r="BD193" i="1"/>
  <c r="BC193" i="1"/>
  <c r="BF193" i="1" s="1"/>
  <c r="BB193" i="1"/>
  <c r="BQ193" i="1" s="1"/>
  <c r="BA193" i="1"/>
  <c r="AY193" i="1"/>
  <c r="AX193" i="1"/>
  <c r="AW193" i="1"/>
  <c r="AT193" i="1"/>
  <c r="AS193" i="1"/>
  <c r="AV193" i="1" s="1"/>
  <c r="AR193" i="1"/>
  <c r="AO193" i="1"/>
  <c r="AN193" i="1"/>
  <c r="AQ193" i="1" s="1"/>
  <c r="AM193" i="1"/>
  <c r="AL193" i="1"/>
  <c r="AJ193" i="1"/>
  <c r="AI193" i="1"/>
  <c r="AH193" i="1"/>
  <c r="AE193" i="1"/>
  <c r="AD193" i="1"/>
  <c r="AG193" i="1" s="1"/>
  <c r="AC193" i="1"/>
  <c r="Z193" i="1"/>
  <c r="Y193" i="1"/>
  <c r="X193" i="1"/>
  <c r="W193" i="1"/>
  <c r="U193" i="1"/>
  <c r="T193" i="1"/>
  <c r="S193" i="1"/>
  <c r="P193" i="1"/>
  <c r="O193" i="1"/>
  <c r="R193" i="1" s="1"/>
  <c r="N193" i="1"/>
  <c r="K193" i="1"/>
  <c r="J193" i="1"/>
  <c r="I193" i="1"/>
  <c r="BT192" i="1"/>
  <c r="BN192" i="1"/>
  <c r="BM192" i="1"/>
  <c r="BL192" i="1"/>
  <c r="BI192" i="1"/>
  <c r="BH192" i="1"/>
  <c r="BG192" i="1"/>
  <c r="BK192" i="1" s="1"/>
  <c r="BD192" i="1"/>
  <c r="BC192" i="1"/>
  <c r="BB192" i="1"/>
  <c r="AY192" i="1"/>
  <c r="AX192" i="1"/>
  <c r="AW192" i="1"/>
  <c r="BA192" i="1" s="1"/>
  <c r="AT192" i="1"/>
  <c r="AS192" i="1"/>
  <c r="AR192" i="1"/>
  <c r="AO192" i="1"/>
  <c r="AN192" i="1"/>
  <c r="AM192" i="1"/>
  <c r="AJ192" i="1"/>
  <c r="AI192" i="1"/>
  <c r="AH192" i="1"/>
  <c r="AL192" i="1" s="1"/>
  <c r="AE192" i="1"/>
  <c r="AD192" i="1"/>
  <c r="AC192" i="1"/>
  <c r="AG192" i="1" s="1"/>
  <c r="Z192" i="1"/>
  <c r="Y192" i="1"/>
  <c r="X192" i="1"/>
  <c r="AB192" i="1" s="1"/>
  <c r="U192" i="1"/>
  <c r="T192" i="1"/>
  <c r="S192" i="1"/>
  <c r="W192" i="1" s="1"/>
  <c r="P192" i="1"/>
  <c r="O192" i="1"/>
  <c r="N192" i="1"/>
  <c r="R192" i="1" s="1"/>
  <c r="K192" i="1"/>
  <c r="J192" i="1"/>
  <c r="I192" i="1"/>
  <c r="M192" i="1" s="1"/>
  <c r="BT191" i="1"/>
  <c r="BP191" i="1"/>
  <c r="BN191" i="1"/>
  <c r="BS191" i="1" s="1"/>
  <c r="BM191" i="1"/>
  <c r="BL191" i="1"/>
  <c r="BI191" i="1"/>
  <c r="BH191" i="1"/>
  <c r="BG191" i="1"/>
  <c r="BK191" i="1" s="1"/>
  <c r="BF191" i="1"/>
  <c r="BD191" i="1"/>
  <c r="BC191" i="1"/>
  <c r="BB191" i="1"/>
  <c r="AY191" i="1"/>
  <c r="AX191" i="1"/>
  <c r="AW191" i="1"/>
  <c r="AT191" i="1"/>
  <c r="AS191" i="1"/>
  <c r="AR191" i="1"/>
  <c r="AV191" i="1" s="1"/>
  <c r="AO191" i="1"/>
  <c r="AN191" i="1"/>
  <c r="AQ191" i="1" s="1"/>
  <c r="AM191" i="1"/>
  <c r="AJ191" i="1"/>
  <c r="AI191" i="1"/>
  <c r="AH191" i="1"/>
  <c r="AL191" i="1" s="1"/>
  <c r="AE191" i="1"/>
  <c r="AD191" i="1"/>
  <c r="AC191" i="1"/>
  <c r="Z191" i="1"/>
  <c r="Y191" i="1"/>
  <c r="X191" i="1"/>
  <c r="AB191" i="1" s="1"/>
  <c r="U191" i="1"/>
  <c r="T191" i="1"/>
  <c r="S191" i="1"/>
  <c r="W191" i="1" s="1"/>
  <c r="P191" i="1"/>
  <c r="O191" i="1"/>
  <c r="N191" i="1"/>
  <c r="R191" i="1" s="1"/>
  <c r="M191" i="1"/>
  <c r="K191" i="1"/>
  <c r="J191" i="1"/>
  <c r="I191" i="1"/>
  <c r="BT190" i="1"/>
  <c r="BN190" i="1"/>
  <c r="BM190" i="1"/>
  <c r="BR190" i="1" s="1"/>
  <c r="BL190" i="1"/>
  <c r="BI190" i="1"/>
  <c r="BH190" i="1"/>
  <c r="BG190" i="1"/>
  <c r="BK190" i="1" s="1"/>
  <c r="BF190" i="1"/>
  <c r="BD190" i="1"/>
  <c r="BC190" i="1"/>
  <c r="BB190" i="1"/>
  <c r="AY190" i="1"/>
  <c r="AX190" i="1"/>
  <c r="AW190" i="1"/>
  <c r="BA190" i="1" s="1"/>
  <c r="AT190" i="1"/>
  <c r="AS190" i="1"/>
  <c r="AR190" i="1"/>
  <c r="AO190" i="1"/>
  <c r="AN190" i="1"/>
  <c r="AQ190" i="1" s="1"/>
  <c r="AM190" i="1"/>
  <c r="AL190" i="1"/>
  <c r="AJ190" i="1"/>
  <c r="AI190" i="1"/>
  <c r="AH190" i="1"/>
  <c r="AE190" i="1"/>
  <c r="AD190" i="1"/>
  <c r="AD196" i="1" s="1"/>
  <c r="AC190" i="1"/>
  <c r="Z190" i="1"/>
  <c r="Y190" i="1"/>
  <c r="X190" i="1"/>
  <c r="AB190" i="1" s="1"/>
  <c r="W190" i="1"/>
  <c r="U190" i="1"/>
  <c r="T190" i="1"/>
  <c r="S190" i="1"/>
  <c r="P190" i="1"/>
  <c r="O190" i="1"/>
  <c r="N190" i="1"/>
  <c r="R190" i="1" s="1"/>
  <c r="K190" i="1"/>
  <c r="J190" i="1"/>
  <c r="I190" i="1"/>
  <c r="M190" i="1" s="1"/>
  <c r="BT189" i="1"/>
  <c r="BN189" i="1"/>
  <c r="BM189" i="1"/>
  <c r="BL189" i="1"/>
  <c r="BI189" i="1"/>
  <c r="BH189" i="1"/>
  <c r="BK189" i="1" s="1"/>
  <c r="BG189" i="1"/>
  <c r="BD189" i="1"/>
  <c r="BC189" i="1"/>
  <c r="BF189" i="1" s="1"/>
  <c r="BB189" i="1"/>
  <c r="AY189" i="1"/>
  <c r="AX189" i="1"/>
  <c r="AW189" i="1"/>
  <c r="AT189" i="1"/>
  <c r="AS189" i="1"/>
  <c r="AR189" i="1"/>
  <c r="AQ189" i="1"/>
  <c r="AO189" i="1"/>
  <c r="AN189" i="1"/>
  <c r="AM189" i="1"/>
  <c r="AJ189" i="1"/>
  <c r="AI189" i="1"/>
  <c r="AH189" i="1"/>
  <c r="AE189" i="1"/>
  <c r="AD189" i="1"/>
  <c r="AC189" i="1"/>
  <c r="AG189" i="1" s="1"/>
  <c r="Z189" i="1"/>
  <c r="Y189" i="1"/>
  <c r="AB189" i="1" s="1"/>
  <c r="X189" i="1"/>
  <c r="U189" i="1"/>
  <c r="T189" i="1"/>
  <c r="S189" i="1"/>
  <c r="W189" i="1" s="1"/>
  <c r="P189" i="1"/>
  <c r="O189" i="1"/>
  <c r="N189" i="1"/>
  <c r="R189" i="1" s="1"/>
  <c r="K189" i="1"/>
  <c r="K196" i="1" s="1"/>
  <c r="J189" i="1"/>
  <c r="M189" i="1" s="1"/>
  <c r="I189" i="1"/>
  <c r="BT188" i="1"/>
  <c r="BN188" i="1"/>
  <c r="BM188" i="1"/>
  <c r="BL188" i="1"/>
  <c r="BP188" i="1" s="1"/>
  <c r="BI188" i="1"/>
  <c r="BK188" i="1" s="1"/>
  <c r="BH188" i="1"/>
  <c r="BG188" i="1"/>
  <c r="BF188" i="1"/>
  <c r="BD188" i="1"/>
  <c r="BC188" i="1"/>
  <c r="BB188" i="1"/>
  <c r="AY188" i="1"/>
  <c r="AX188" i="1"/>
  <c r="AW188" i="1"/>
  <c r="BA188" i="1" s="1"/>
  <c r="AT188" i="1"/>
  <c r="AV188" i="1" s="1"/>
  <c r="AS188" i="1"/>
  <c r="AR188" i="1"/>
  <c r="AO188" i="1"/>
  <c r="AN188" i="1"/>
  <c r="AQ188" i="1" s="1"/>
  <c r="AM188" i="1"/>
  <c r="AJ188" i="1"/>
  <c r="AI188" i="1"/>
  <c r="AH188" i="1"/>
  <c r="AL188" i="1" s="1"/>
  <c r="AG188" i="1"/>
  <c r="AE188" i="1"/>
  <c r="AD188" i="1"/>
  <c r="AC188" i="1"/>
  <c r="Z188" i="1"/>
  <c r="Y188" i="1"/>
  <c r="X188" i="1"/>
  <c r="AB188" i="1" s="1"/>
  <c r="U188" i="1"/>
  <c r="T188" i="1"/>
  <c r="S188" i="1"/>
  <c r="W188" i="1" s="1"/>
  <c r="R188" i="1"/>
  <c r="P188" i="1"/>
  <c r="O188" i="1"/>
  <c r="N188" i="1"/>
  <c r="K188" i="1"/>
  <c r="J188" i="1"/>
  <c r="I188" i="1"/>
  <c r="M188" i="1" s="1"/>
  <c r="BT187" i="1"/>
  <c r="BR187" i="1"/>
  <c r="BP187" i="1"/>
  <c r="BN187" i="1"/>
  <c r="BM187" i="1"/>
  <c r="BL187" i="1"/>
  <c r="BI187" i="1"/>
  <c r="BS187" i="1" s="1"/>
  <c r="BH187" i="1"/>
  <c r="BK187" i="1" s="1"/>
  <c r="BG187" i="1"/>
  <c r="BD187" i="1"/>
  <c r="BC187" i="1"/>
  <c r="BB187" i="1"/>
  <c r="BF187" i="1" s="1"/>
  <c r="BA187" i="1"/>
  <c r="AY187" i="1"/>
  <c r="AX187" i="1"/>
  <c r="AW187" i="1"/>
  <c r="AT187" i="1"/>
  <c r="AS187" i="1"/>
  <c r="AV187" i="1" s="1"/>
  <c r="AR187" i="1"/>
  <c r="AO187" i="1"/>
  <c r="AN187" i="1"/>
  <c r="AM187" i="1"/>
  <c r="AQ187" i="1" s="1"/>
  <c r="AL187" i="1"/>
  <c r="AJ187" i="1"/>
  <c r="AI187" i="1"/>
  <c r="AH187" i="1"/>
  <c r="AE187" i="1"/>
  <c r="AD187" i="1"/>
  <c r="AG187" i="1" s="1"/>
  <c r="AC187" i="1"/>
  <c r="Z187" i="1"/>
  <c r="Y187" i="1"/>
  <c r="X187" i="1"/>
  <c r="AB187" i="1" s="1"/>
  <c r="U187" i="1"/>
  <c r="T187" i="1"/>
  <c r="S187" i="1"/>
  <c r="W187" i="1" s="1"/>
  <c r="R187" i="1"/>
  <c r="P187" i="1"/>
  <c r="O187" i="1"/>
  <c r="N187" i="1"/>
  <c r="K187" i="1"/>
  <c r="J187" i="1"/>
  <c r="I187" i="1"/>
  <c r="M187" i="1" s="1"/>
  <c r="BT186" i="1"/>
  <c r="BN186" i="1"/>
  <c r="BS186" i="1" s="1"/>
  <c r="BM186" i="1"/>
  <c r="BL186" i="1"/>
  <c r="BI186" i="1"/>
  <c r="BH186" i="1"/>
  <c r="BG186" i="1"/>
  <c r="BK186" i="1" s="1"/>
  <c r="BD186" i="1"/>
  <c r="BC186" i="1"/>
  <c r="BB186" i="1"/>
  <c r="BF186" i="1" s="1"/>
  <c r="AY186" i="1"/>
  <c r="AX186" i="1"/>
  <c r="BR186" i="1" s="1"/>
  <c r="AW186" i="1"/>
  <c r="BA186" i="1" s="1"/>
  <c r="AT186" i="1"/>
  <c r="AS186" i="1"/>
  <c r="AR186" i="1"/>
  <c r="AV186" i="1" s="1"/>
  <c r="AO186" i="1"/>
  <c r="AN186" i="1"/>
  <c r="AM186" i="1"/>
  <c r="AJ186" i="1"/>
  <c r="AI186" i="1"/>
  <c r="AH186" i="1"/>
  <c r="AL186" i="1" s="1"/>
  <c r="AG186" i="1"/>
  <c r="AE186" i="1"/>
  <c r="AD186" i="1"/>
  <c r="AC186" i="1"/>
  <c r="Z186" i="1"/>
  <c r="Y186" i="1"/>
  <c r="X186" i="1"/>
  <c r="U186" i="1"/>
  <c r="T186" i="1"/>
  <c r="S186" i="1"/>
  <c r="W186" i="1" s="1"/>
  <c r="P186" i="1"/>
  <c r="O186" i="1"/>
  <c r="R186" i="1" s="1"/>
  <c r="N186" i="1"/>
  <c r="K186" i="1"/>
  <c r="J186" i="1"/>
  <c r="I186" i="1"/>
  <c r="M186" i="1" s="1"/>
  <c r="BT185" i="1"/>
  <c r="BQ185" i="1"/>
  <c r="BN185" i="1"/>
  <c r="BM185" i="1"/>
  <c r="BL185" i="1"/>
  <c r="BI185" i="1"/>
  <c r="BH185" i="1"/>
  <c r="BK185" i="1" s="1"/>
  <c r="BG185" i="1"/>
  <c r="BD185" i="1"/>
  <c r="BC185" i="1"/>
  <c r="BB185" i="1"/>
  <c r="BF185" i="1" s="1"/>
  <c r="AY185" i="1"/>
  <c r="AX185" i="1"/>
  <c r="BA185" i="1" s="1"/>
  <c r="AW185" i="1"/>
  <c r="AV185" i="1"/>
  <c r="AT185" i="1"/>
  <c r="AS185" i="1"/>
  <c r="AR185" i="1"/>
  <c r="AO185" i="1"/>
  <c r="AN185" i="1"/>
  <c r="AM185" i="1"/>
  <c r="AQ185" i="1" s="1"/>
  <c r="AJ185" i="1"/>
  <c r="AI185" i="1"/>
  <c r="AL185" i="1" s="1"/>
  <c r="AH185" i="1"/>
  <c r="AE185" i="1"/>
  <c r="AG185" i="1" s="1"/>
  <c r="AD185" i="1"/>
  <c r="AC185" i="1"/>
  <c r="Z185" i="1"/>
  <c r="Y185" i="1"/>
  <c r="X185" i="1"/>
  <c r="AB185" i="1" s="1"/>
  <c r="U185" i="1"/>
  <c r="T185" i="1"/>
  <c r="S185" i="1"/>
  <c r="P185" i="1"/>
  <c r="O185" i="1"/>
  <c r="R185" i="1" s="1"/>
  <c r="N185" i="1"/>
  <c r="K185" i="1"/>
  <c r="J185" i="1"/>
  <c r="I185" i="1"/>
  <c r="M185" i="1" s="1"/>
  <c r="BT184" i="1"/>
  <c r="BN184" i="1"/>
  <c r="BM184" i="1"/>
  <c r="BL184" i="1"/>
  <c r="BI184" i="1"/>
  <c r="BH184" i="1"/>
  <c r="BG184" i="1"/>
  <c r="BK184" i="1" s="1"/>
  <c r="BD184" i="1"/>
  <c r="BC184" i="1"/>
  <c r="BB184" i="1"/>
  <c r="BA184" i="1"/>
  <c r="AY184" i="1"/>
  <c r="AX184" i="1"/>
  <c r="AW184" i="1"/>
  <c r="AT184" i="1"/>
  <c r="BS184" i="1" s="1"/>
  <c r="AS184" i="1"/>
  <c r="AR184" i="1"/>
  <c r="AO184" i="1"/>
  <c r="AN184" i="1"/>
  <c r="AM184" i="1"/>
  <c r="AQ184" i="1" s="1"/>
  <c r="AJ184" i="1"/>
  <c r="AI184" i="1"/>
  <c r="AH184" i="1"/>
  <c r="AE184" i="1"/>
  <c r="AD184" i="1"/>
  <c r="AC184" i="1"/>
  <c r="Z184" i="1"/>
  <c r="Y184" i="1"/>
  <c r="X184" i="1"/>
  <c r="AB184" i="1" s="1"/>
  <c r="U184" i="1"/>
  <c r="T184" i="1"/>
  <c r="W184" i="1" s="1"/>
  <c r="S184" i="1"/>
  <c r="P184" i="1"/>
  <c r="O184" i="1"/>
  <c r="N184" i="1"/>
  <c r="R184" i="1" s="1"/>
  <c r="K184" i="1"/>
  <c r="J184" i="1"/>
  <c r="I184" i="1"/>
  <c r="M184" i="1" s="1"/>
  <c r="BT183" i="1"/>
  <c r="BN183" i="1"/>
  <c r="BS183" i="1" s="1"/>
  <c r="BM183" i="1"/>
  <c r="BR183" i="1" s="1"/>
  <c r="BL183" i="1"/>
  <c r="BK183" i="1"/>
  <c r="BI183" i="1"/>
  <c r="BH183" i="1"/>
  <c r="BG183" i="1"/>
  <c r="BF183" i="1"/>
  <c r="BD183" i="1"/>
  <c r="BC183" i="1"/>
  <c r="BB183" i="1"/>
  <c r="AY183" i="1"/>
  <c r="AX183" i="1"/>
  <c r="AW183" i="1"/>
  <c r="BA183" i="1" s="1"/>
  <c r="AV183" i="1"/>
  <c r="AT183" i="1"/>
  <c r="AS183" i="1"/>
  <c r="AR183" i="1"/>
  <c r="AQ183" i="1"/>
  <c r="AO183" i="1"/>
  <c r="AN183" i="1"/>
  <c r="AM183" i="1"/>
  <c r="AJ183" i="1"/>
  <c r="AI183" i="1"/>
  <c r="AH183" i="1"/>
  <c r="AL183" i="1" s="1"/>
  <c r="AG183" i="1"/>
  <c r="AE183" i="1"/>
  <c r="AD183" i="1"/>
  <c r="AC183" i="1"/>
  <c r="Z183" i="1"/>
  <c r="AB183" i="1" s="1"/>
  <c r="Y183" i="1"/>
  <c r="X183" i="1"/>
  <c r="U183" i="1"/>
  <c r="T183" i="1"/>
  <c r="S183" i="1"/>
  <c r="W183" i="1" s="1"/>
  <c r="R183" i="1"/>
  <c r="P183" i="1"/>
  <c r="O183" i="1"/>
  <c r="N183" i="1"/>
  <c r="M183" i="1"/>
  <c r="K183" i="1"/>
  <c r="J183" i="1"/>
  <c r="I183" i="1"/>
  <c r="BT182" i="1"/>
  <c r="BN182" i="1"/>
  <c r="BM182" i="1"/>
  <c r="BI182" i="1"/>
  <c r="BH182" i="1"/>
  <c r="BK182" i="1" s="1"/>
  <c r="BD182" i="1"/>
  <c r="BC182" i="1"/>
  <c r="BF182" i="1" s="1"/>
  <c r="AY182" i="1"/>
  <c r="AX182" i="1"/>
  <c r="BA182" i="1" s="1"/>
  <c r="AT182" i="1"/>
  <c r="AS182" i="1"/>
  <c r="AS196" i="1" s="1"/>
  <c r="AR182" i="1"/>
  <c r="AO182" i="1"/>
  <c r="AN182" i="1"/>
  <c r="AQ182" i="1" s="1"/>
  <c r="AM182" i="1"/>
  <c r="AJ182" i="1"/>
  <c r="AI182" i="1"/>
  <c r="AH182" i="1"/>
  <c r="AE182" i="1"/>
  <c r="AD182" i="1"/>
  <c r="AC182" i="1"/>
  <c r="AG182" i="1" s="1"/>
  <c r="AB182" i="1"/>
  <c r="Z182" i="1"/>
  <c r="Y182" i="1"/>
  <c r="X182" i="1"/>
  <c r="U182" i="1"/>
  <c r="T182" i="1"/>
  <c r="S182" i="1"/>
  <c r="W182" i="1" s="1"/>
  <c r="P182" i="1"/>
  <c r="O182" i="1"/>
  <c r="N182" i="1"/>
  <c r="K182" i="1"/>
  <c r="J182" i="1"/>
  <c r="M182" i="1" s="1"/>
  <c r="I182" i="1"/>
  <c r="BT181" i="1"/>
  <c r="BN181" i="1"/>
  <c r="BS181" i="1" s="1"/>
  <c r="BM181" i="1"/>
  <c r="BL181" i="1"/>
  <c r="BP181" i="1" s="1"/>
  <c r="BI181" i="1"/>
  <c r="BH181" i="1"/>
  <c r="BG181" i="1"/>
  <c r="BK181" i="1" s="1"/>
  <c r="BF181" i="1"/>
  <c r="BD181" i="1"/>
  <c r="BC181" i="1"/>
  <c r="BB181" i="1"/>
  <c r="BA181" i="1"/>
  <c r="AY181" i="1"/>
  <c r="AX181" i="1"/>
  <c r="AW181" i="1"/>
  <c r="AT181" i="1"/>
  <c r="AS181" i="1"/>
  <c r="AR181" i="1"/>
  <c r="AV181" i="1" s="1"/>
  <c r="AQ181" i="1"/>
  <c r="AO181" i="1"/>
  <c r="AN181" i="1"/>
  <c r="AM181" i="1"/>
  <c r="AJ181" i="1"/>
  <c r="AI181" i="1"/>
  <c r="BR181" i="1" s="1"/>
  <c r="AH181" i="1"/>
  <c r="AE181" i="1"/>
  <c r="AD181" i="1"/>
  <c r="AC181" i="1"/>
  <c r="AG181" i="1" s="1"/>
  <c r="AB181" i="1"/>
  <c r="Z181" i="1"/>
  <c r="Y181" i="1"/>
  <c r="X181" i="1"/>
  <c r="U181" i="1"/>
  <c r="T181" i="1"/>
  <c r="S181" i="1"/>
  <c r="W181" i="1" s="1"/>
  <c r="P181" i="1"/>
  <c r="O181" i="1"/>
  <c r="N181" i="1"/>
  <c r="R181" i="1" s="1"/>
  <c r="M181" i="1"/>
  <c r="K181" i="1"/>
  <c r="J181" i="1"/>
  <c r="I181" i="1"/>
  <c r="BT180" i="1"/>
  <c r="BN180" i="1"/>
  <c r="BM180" i="1"/>
  <c r="BP180" i="1" s="1"/>
  <c r="BL180" i="1"/>
  <c r="BI180" i="1"/>
  <c r="BH180" i="1"/>
  <c r="BG180" i="1"/>
  <c r="BF180" i="1"/>
  <c r="BD180" i="1"/>
  <c r="BC180" i="1"/>
  <c r="BB180" i="1"/>
  <c r="AY180" i="1"/>
  <c r="AX180" i="1"/>
  <c r="AW180" i="1"/>
  <c r="BA180" i="1" s="1"/>
  <c r="AT180" i="1"/>
  <c r="AS180" i="1"/>
  <c r="AR180" i="1"/>
  <c r="AV180" i="1" s="1"/>
  <c r="AQ180" i="1"/>
  <c r="AO180" i="1"/>
  <c r="AN180" i="1"/>
  <c r="AM180" i="1"/>
  <c r="AL180" i="1"/>
  <c r="AJ180" i="1"/>
  <c r="AI180" i="1"/>
  <c r="AH180" i="1"/>
  <c r="AE180" i="1"/>
  <c r="AD180" i="1"/>
  <c r="AC180" i="1"/>
  <c r="AG180" i="1" s="1"/>
  <c r="Z180" i="1"/>
  <c r="Y180" i="1"/>
  <c r="X180" i="1"/>
  <c r="W180" i="1"/>
  <c r="U180" i="1"/>
  <c r="T180" i="1"/>
  <c r="S180" i="1"/>
  <c r="P180" i="1"/>
  <c r="O180" i="1"/>
  <c r="N180" i="1"/>
  <c r="R180" i="1" s="1"/>
  <c r="K180" i="1"/>
  <c r="J180" i="1"/>
  <c r="I180" i="1"/>
  <c r="M180" i="1" s="1"/>
  <c r="BT179" i="1"/>
  <c r="BN179" i="1"/>
  <c r="BM179" i="1"/>
  <c r="BL179" i="1"/>
  <c r="BI179" i="1"/>
  <c r="BH179" i="1"/>
  <c r="BG179" i="1"/>
  <c r="BK179" i="1" s="1"/>
  <c r="BD179" i="1"/>
  <c r="BS179" i="1" s="1"/>
  <c r="BC179" i="1"/>
  <c r="BF179" i="1" s="1"/>
  <c r="BB179" i="1"/>
  <c r="AY179" i="1"/>
  <c r="AX179" i="1"/>
  <c r="AW179" i="1"/>
  <c r="AV179" i="1"/>
  <c r="AT179" i="1"/>
  <c r="AS179" i="1"/>
  <c r="AR179" i="1"/>
  <c r="AO179" i="1"/>
  <c r="AN179" i="1"/>
  <c r="AQ179" i="1" s="1"/>
  <c r="AM179" i="1"/>
  <c r="AJ179" i="1"/>
  <c r="AI179" i="1"/>
  <c r="AH179" i="1"/>
  <c r="AG179" i="1"/>
  <c r="AE179" i="1"/>
  <c r="AD179" i="1"/>
  <c r="AC179" i="1"/>
  <c r="Z179" i="1"/>
  <c r="Y179" i="1"/>
  <c r="AB179" i="1" s="1"/>
  <c r="X179" i="1"/>
  <c r="U179" i="1"/>
  <c r="T179" i="1"/>
  <c r="T196" i="1" s="1"/>
  <c r="S179" i="1"/>
  <c r="W179" i="1" s="1"/>
  <c r="R179" i="1"/>
  <c r="P179" i="1"/>
  <c r="O179" i="1"/>
  <c r="N179" i="1"/>
  <c r="K179" i="1"/>
  <c r="J179" i="1"/>
  <c r="M179" i="1" s="1"/>
  <c r="I179" i="1"/>
  <c r="BT178" i="1"/>
  <c r="BN178" i="1"/>
  <c r="BS178" i="1" s="1"/>
  <c r="BM178" i="1"/>
  <c r="BL178" i="1"/>
  <c r="BI178" i="1"/>
  <c r="BK178" i="1" s="1"/>
  <c r="BH178" i="1"/>
  <c r="BG178" i="1"/>
  <c r="BD178" i="1"/>
  <c r="BC178" i="1"/>
  <c r="BB178" i="1"/>
  <c r="BF178" i="1" s="1"/>
  <c r="AY178" i="1"/>
  <c r="AX178" i="1"/>
  <c r="AX196" i="1" s="1"/>
  <c r="AW178" i="1"/>
  <c r="AW196" i="1" s="1"/>
  <c r="AT178" i="1"/>
  <c r="AS178" i="1"/>
  <c r="AV178" i="1" s="1"/>
  <c r="AR178" i="1"/>
  <c r="AO178" i="1"/>
  <c r="AN178" i="1"/>
  <c r="AM178" i="1"/>
  <c r="AQ178" i="1" s="1"/>
  <c r="AJ178" i="1"/>
  <c r="AI178" i="1"/>
  <c r="AH178" i="1"/>
  <c r="AL178" i="1" s="1"/>
  <c r="AG178" i="1"/>
  <c r="AE178" i="1"/>
  <c r="AD178" i="1"/>
  <c r="AC178" i="1"/>
  <c r="Z178" i="1"/>
  <c r="Y178" i="1"/>
  <c r="X178" i="1"/>
  <c r="AB178" i="1" s="1"/>
  <c r="U178" i="1"/>
  <c r="T178" i="1"/>
  <c r="S178" i="1"/>
  <c r="P178" i="1"/>
  <c r="P196" i="1" s="1"/>
  <c r="O178" i="1"/>
  <c r="N178" i="1"/>
  <c r="K178" i="1"/>
  <c r="J178" i="1"/>
  <c r="I178" i="1"/>
  <c r="BT177" i="1"/>
  <c r="BR177" i="1"/>
  <c r="BN177" i="1"/>
  <c r="BM177" i="1"/>
  <c r="BL177" i="1"/>
  <c r="BI177" i="1"/>
  <c r="BI196" i="1" s="1"/>
  <c r="BH177" i="1"/>
  <c r="BG177" i="1"/>
  <c r="BK177" i="1" s="1"/>
  <c r="BD177" i="1"/>
  <c r="BC177" i="1"/>
  <c r="BB177" i="1"/>
  <c r="AY177" i="1"/>
  <c r="BA177" i="1" s="1"/>
  <c r="AX177" i="1"/>
  <c r="AW177" i="1"/>
  <c r="AT177" i="1"/>
  <c r="AS177" i="1"/>
  <c r="AR177" i="1"/>
  <c r="AV177" i="1" s="1"/>
  <c r="AO177" i="1"/>
  <c r="AN177" i="1"/>
  <c r="AM177" i="1"/>
  <c r="AQ177" i="1" s="1"/>
  <c r="AJ177" i="1"/>
  <c r="AI177" i="1"/>
  <c r="AH177" i="1"/>
  <c r="AE177" i="1"/>
  <c r="AD177" i="1"/>
  <c r="AC177" i="1"/>
  <c r="Z177" i="1"/>
  <c r="Y177" i="1"/>
  <c r="X177" i="1"/>
  <c r="AB177" i="1" s="1"/>
  <c r="W177" i="1"/>
  <c r="U177" i="1"/>
  <c r="T177" i="1"/>
  <c r="S177" i="1"/>
  <c r="P177" i="1"/>
  <c r="O177" i="1"/>
  <c r="N177" i="1"/>
  <c r="M177" i="1"/>
  <c r="K177" i="1"/>
  <c r="J177" i="1"/>
  <c r="I177" i="1"/>
  <c r="BT176" i="1"/>
  <c r="BO176" i="1"/>
  <c r="BJ176" i="1"/>
  <c r="BE176" i="1"/>
  <c r="AZ176" i="1"/>
  <c r="AU176" i="1"/>
  <c r="AP176" i="1"/>
  <c r="AP197" i="1" s="1"/>
  <c r="AK176" i="1"/>
  <c r="AF176" i="1"/>
  <c r="AA176" i="1"/>
  <c r="V176" i="1"/>
  <c r="Q176" i="1"/>
  <c r="L176" i="1"/>
  <c r="L197" i="1" s="1"/>
  <c r="BT175" i="1"/>
  <c r="BN175" i="1"/>
  <c r="BM175" i="1"/>
  <c r="BL175" i="1"/>
  <c r="BK175" i="1"/>
  <c r="BI175" i="1"/>
  <c r="BH175" i="1"/>
  <c r="BG175" i="1"/>
  <c r="BD175" i="1"/>
  <c r="BS175" i="1" s="1"/>
  <c r="BC175" i="1"/>
  <c r="BR175" i="1" s="1"/>
  <c r="BB175" i="1"/>
  <c r="AY175" i="1"/>
  <c r="AX175" i="1"/>
  <c r="AW175" i="1"/>
  <c r="BA175" i="1" s="1"/>
  <c r="AT175" i="1"/>
  <c r="AS175" i="1"/>
  <c r="AV175" i="1" s="1"/>
  <c r="AR175" i="1"/>
  <c r="AO175" i="1"/>
  <c r="AN175" i="1"/>
  <c r="AM175" i="1"/>
  <c r="AQ175" i="1" s="1"/>
  <c r="AJ175" i="1"/>
  <c r="AI175" i="1"/>
  <c r="AH175" i="1"/>
  <c r="AG175" i="1"/>
  <c r="AE175" i="1"/>
  <c r="AD175" i="1"/>
  <c r="AC175" i="1"/>
  <c r="Z175" i="1"/>
  <c r="Y175" i="1"/>
  <c r="X175" i="1"/>
  <c r="AB175" i="1" s="1"/>
  <c r="U175" i="1"/>
  <c r="T175" i="1"/>
  <c r="S175" i="1"/>
  <c r="W175" i="1" s="1"/>
  <c r="R175" i="1"/>
  <c r="P175" i="1"/>
  <c r="O175" i="1"/>
  <c r="N175" i="1"/>
  <c r="M175" i="1"/>
  <c r="K175" i="1"/>
  <c r="J175" i="1"/>
  <c r="I175" i="1"/>
  <c r="BT174" i="1"/>
  <c r="BN174" i="1"/>
  <c r="BS174" i="1" s="1"/>
  <c r="BM174" i="1"/>
  <c r="BL174" i="1"/>
  <c r="BK174" i="1"/>
  <c r="BI174" i="1"/>
  <c r="BH174" i="1"/>
  <c r="BG174" i="1"/>
  <c r="BD174" i="1"/>
  <c r="BC174" i="1"/>
  <c r="BB174" i="1"/>
  <c r="BF174" i="1" s="1"/>
  <c r="AY174" i="1"/>
  <c r="AX174" i="1"/>
  <c r="BR174" i="1" s="1"/>
  <c r="AW174" i="1"/>
  <c r="BA174" i="1" s="1"/>
  <c r="AT174" i="1"/>
  <c r="AS174" i="1"/>
  <c r="AV174" i="1" s="1"/>
  <c r="AR174" i="1"/>
  <c r="AO174" i="1"/>
  <c r="AN174" i="1"/>
  <c r="AM174" i="1"/>
  <c r="AQ174" i="1" s="1"/>
  <c r="AJ174" i="1"/>
  <c r="AI174" i="1"/>
  <c r="AH174" i="1"/>
  <c r="AL174" i="1" s="1"/>
  <c r="AE174" i="1"/>
  <c r="AG174" i="1" s="1"/>
  <c r="AD174" i="1"/>
  <c r="AC174" i="1"/>
  <c r="AB174" i="1"/>
  <c r="Z174" i="1"/>
  <c r="Y174" i="1"/>
  <c r="X174" i="1"/>
  <c r="U174" i="1"/>
  <c r="T174" i="1"/>
  <c r="S174" i="1"/>
  <c r="W174" i="1" s="1"/>
  <c r="P174" i="1"/>
  <c r="O174" i="1"/>
  <c r="R174" i="1" s="1"/>
  <c r="N174" i="1"/>
  <c r="M174" i="1"/>
  <c r="K174" i="1"/>
  <c r="J174" i="1"/>
  <c r="I174" i="1"/>
  <c r="BT173" i="1"/>
  <c r="BN173" i="1"/>
  <c r="BM173" i="1"/>
  <c r="BL173" i="1"/>
  <c r="BQ173" i="1" s="1"/>
  <c r="BI173" i="1"/>
  <c r="BK173" i="1" s="1"/>
  <c r="BH173" i="1"/>
  <c r="BG173" i="1"/>
  <c r="BD173" i="1"/>
  <c r="BC173" i="1"/>
  <c r="BB173" i="1"/>
  <c r="BF173" i="1" s="1"/>
  <c r="AY173" i="1"/>
  <c r="AX173" i="1"/>
  <c r="AW173" i="1"/>
  <c r="BA173" i="1" s="1"/>
  <c r="AT173" i="1"/>
  <c r="AS173" i="1"/>
  <c r="AV173" i="1" s="1"/>
  <c r="AR173" i="1"/>
  <c r="AO173" i="1"/>
  <c r="AN173" i="1"/>
  <c r="AM173" i="1"/>
  <c r="AQ173" i="1" s="1"/>
  <c r="AJ173" i="1"/>
  <c r="AI173" i="1"/>
  <c r="AH173" i="1"/>
  <c r="AL173" i="1" s="1"/>
  <c r="AE173" i="1"/>
  <c r="AD173" i="1"/>
  <c r="AG173" i="1" s="1"/>
  <c r="AC173" i="1"/>
  <c r="Z173" i="1"/>
  <c r="Y173" i="1"/>
  <c r="X173" i="1"/>
  <c r="AB173" i="1" s="1"/>
  <c r="U173" i="1"/>
  <c r="T173" i="1"/>
  <c r="S173" i="1"/>
  <c r="W173" i="1" s="1"/>
  <c r="P173" i="1"/>
  <c r="O173" i="1"/>
  <c r="N173" i="1"/>
  <c r="K173" i="1"/>
  <c r="J173" i="1"/>
  <c r="I173" i="1"/>
  <c r="BT172" i="1"/>
  <c r="BN172" i="1"/>
  <c r="BM172" i="1"/>
  <c r="BL172" i="1"/>
  <c r="BK172" i="1"/>
  <c r="BI172" i="1"/>
  <c r="BH172" i="1"/>
  <c r="BG172" i="1"/>
  <c r="BD172" i="1"/>
  <c r="BC172" i="1"/>
  <c r="BR172" i="1" s="1"/>
  <c r="BB172" i="1"/>
  <c r="BA172" i="1"/>
  <c r="AY172" i="1"/>
  <c r="AX172" i="1"/>
  <c r="AW172" i="1"/>
  <c r="AV172" i="1"/>
  <c r="AT172" i="1"/>
  <c r="AS172" i="1"/>
  <c r="AR172" i="1"/>
  <c r="AO172" i="1"/>
  <c r="AN172" i="1"/>
  <c r="AM172" i="1"/>
  <c r="AQ172" i="1" s="1"/>
  <c r="AL172" i="1"/>
  <c r="AJ172" i="1"/>
  <c r="AI172" i="1"/>
  <c r="AH172" i="1"/>
  <c r="AG172" i="1"/>
  <c r="AE172" i="1"/>
  <c r="AD172" i="1"/>
  <c r="AC172" i="1"/>
  <c r="Z172" i="1"/>
  <c r="Y172" i="1"/>
  <c r="X172" i="1"/>
  <c r="AB172" i="1" s="1"/>
  <c r="U172" i="1"/>
  <c r="W172" i="1" s="1"/>
  <c r="T172" i="1"/>
  <c r="S172" i="1"/>
  <c r="R172" i="1"/>
  <c r="P172" i="1"/>
  <c r="O172" i="1"/>
  <c r="N172" i="1"/>
  <c r="K172" i="1"/>
  <c r="J172" i="1"/>
  <c r="I172" i="1"/>
  <c r="BT171" i="1"/>
  <c r="BP171" i="1"/>
  <c r="BN171" i="1"/>
  <c r="BM171" i="1"/>
  <c r="BL171" i="1"/>
  <c r="BI171" i="1"/>
  <c r="BH171" i="1"/>
  <c r="BG171" i="1"/>
  <c r="BK171" i="1" s="1"/>
  <c r="BF171" i="1"/>
  <c r="BD171" i="1"/>
  <c r="BC171" i="1"/>
  <c r="BB171" i="1"/>
  <c r="AY171" i="1"/>
  <c r="BA171" i="1" s="1"/>
  <c r="AX171" i="1"/>
  <c r="AW171" i="1"/>
  <c r="AT171" i="1"/>
  <c r="AS171" i="1"/>
  <c r="AR171" i="1"/>
  <c r="AQ171" i="1"/>
  <c r="AO171" i="1"/>
  <c r="AN171" i="1"/>
  <c r="AM171" i="1"/>
  <c r="AJ171" i="1"/>
  <c r="AI171" i="1"/>
  <c r="AL171" i="1" s="1"/>
  <c r="AH171" i="1"/>
  <c r="AE171" i="1"/>
  <c r="AD171" i="1"/>
  <c r="AC171" i="1"/>
  <c r="AB171" i="1"/>
  <c r="Z171" i="1"/>
  <c r="Y171" i="1"/>
  <c r="X171" i="1"/>
  <c r="U171" i="1"/>
  <c r="T171" i="1"/>
  <c r="W171" i="1" s="1"/>
  <c r="S171" i="1"/>
  <c r="P171" i="1"/>
  <c r="O171" i="1"/>
  <c r="N171" i="1"/>
  <c r="R171" i="1" s="1"/>
  <c r="M171" i="1"/>
  <c r="K171" i="1"/>
  <c r="J171" i="1"/>
  <c r="I171" i="1"/>
  <c r="BT170" i="1"/>
  <c r="BN170" i="1"/>
  <c r="BS170" i="1" s="1"/>
  <c r="BM170" i="1"/>
  <c r="BR170" i="1" s="1"/>
  <c r="BL170" i="1"/>
  <c r="BI170" i="1"/>
  <c r="BH170" i="1"/>
  <c r="BG170" i="1"/>
  <c r="BD170" i="1"/>
  <c r="BC170" i="1"/>
  <c r="BF170" i="1" s="1"/>
  <c r="BB170" i="1"/>
  <c r="AY170" i="1"/>
  <c r="AX170" i="1"/>
  <c r="AW170" i="1"/>
  <c r="BA170" i="1" s="1"/>
  <c r="AT170" i="1"/>
  <c r="AS170" i="1"/>
  <c r="AR170" i="1"/>
  <c r="AO170" i="1"/>
  <c r="AN170" i="1"/>
  <c r="AM170" i="1"/>
  <c r="AL170" i="1"/>
  <c r="AJ170" i="1"/>
  <c r="AI170" i="1"/>
  <c r="AH170" i="1"/>
  <c r="AE170" i="1"/>
  <c r="AD170" i="1"/>
  <c r="AC170" i="1"/>
  <c r="AG170" i="1" s="1"/>
  <c r="Z170" i="1"/>
  <c r="Y170" i="1"/>
  <c r="X170" i="1"/>
  <c r="U170" i="1"/>
  <c r="T170" i="1"/>
  <c r="W170" i="1" s="1"/>
  <c r="S170" i="1"/>
  <c r="P170" i="1"/>
  <c r="O170" i="1"/>
  <c r="N170" i="1"/>
  <c r="R170" i="1" s="1"/>
  <c r="K170" i="1"/>
  <c r="J170" i="1"/>
  <c r="I170" i="1"/>
  <c r="M170" i="1" s="1"/>
  <c r="BT169" i="1"/>
  <c r="BN169" i="1"/>
  <c r="BM169" i="1"/>
  <c r="BL169" i="1"/>
  <c r="BI169" i="1"/>
  <c r="BH169" i="1"/>
  <c r="BG169" i="1"/>
  <c r="BK169" i="1" s="1"/>
  <c r="BF169" i="1"/>
  <c r="BD169" i="1"/>
  <c r="BC169" i="1"/>
  <c r="BB169" i="1"/>
  <c r="AY169" i="1"/>
  <c r="AX169" i="1"/>
  <c r="AW169" i="1"/>
  <c r="BA169" i="1" s="1"/>
  <c r="AT169" i="1"/>
  <c r="AS169" i="1"/>
  <c r="AR169" i="1"/>
  <c r="AV169" i="1" s="1"/>
  <c r="AQ169" i="1"/>
  <c r="AO169" i="1"/>
  <c r="AN169" i="1"/>
  <c r="AM169" i="1"/>
  <c r="AJ169" i="1"/>
  <c r="AI169" i="1"/>
  <c r="AH169" i="1"/>
  <c r="AL169" i="1" s="1"/>
  <c r="AE169" i="1"/>
  <c r="AD169" i="1"/>
  <c r="AC169" i="1"/>
  <c r="AG169" i="1" s="1"/>
  <c r="Z169" i="1"/>
  <c r="AB169" i="1" s="1"/>
  <c r="Y169" i="1"/>
  <c r="X169" i="1"/>
  <c r="U169" i="1"/>
  <c r="T169" i="1"/>
  <c r="S169" i="1"/>
  <c r="W169" i="1" s="1"/>
  <c r="P169" i="1"/>
  <c r="O169" i="1"/>
  <c r="N169" i="1"/>
  <c r="R169" i="1" s="1"/>
  <c r="F4" i="1" s="1"/>
  <c r="K169" i="1"/>
  <c r="J169" i="1"/>
  <c r="M169" i="1" s="1"/>
  <c r="I169" i="1"/>
  <c r="BT168" i="1"/>
  <c r="BN168" i="1"/>
  <c r="BM168" i="1"/>
  <c r="BR168" i="1" s="1"/>
  <c r="BL168" i="1"/>
  <c r="BI168" i="1"/>
  <c r="BH168" i="1"/>
  <c r="BG168" i="1"/>
  <c r="BK168" i="1" s="1"/>
  <c r="BD168" i="1"/>
  <c r="BC168" i="1"/>
  <c r="BB168" i="1"/>
  <c r="BF168" i="1" s="1"/>
  <c r="AY168" i="1"/>
  <c r="AX168" i="1"/>
  <c r="AW168" i="1"/>
  <c r="BA168" i="1" s="1"/>
  <c r="AT168" i="1"/>
  <c r="AS168" i="1"/>
  <c r="AR168" i="1"/>
  <c r="AQ168" i="1"/>
  <c r="AO168" i="1"/>
  <c r="AN168" i="1"/>
  <c r="AM168" i="1"/>
  <c r="AJ168" i="1"/>
  <c r="AI168" i="1"/>
  <c r="AH168" i="1"/>
  <c r="AE168" i="1"/>
  <c r="AD168" i="1"/>
  <c r="AC168" i="1"/>
  <c r="AG168" i="1" s="1"/>
  <c r="AB168" i="1"/>
  <c r="Z168" i="1"/>
  <c r="Y168" i="1"/>
  <c r="X168" i="1"/>
  <c r="U168" i="1"/>
  <c r="T168" i="1"/>
  <c r="S168" i="1"/>
  <c r="P168" i="1"/>
  <c r="O168" i="1"/>
  <c r="N168" i="1"/>
  <c r="R168" i="1" s="1"/>
  <c r="M168" i="1"/>
  <c r="K168" i="1"/>
  <c r="J168" i="1"/>
  <c r="I168" i="1"/>
  <c r="BT167" i="1"/>
  <c r="BQ167" i="1"/>
  <c r="BN167" i="1"/>
  <c r="BM167" i="1"/>
  <c r="BL167" i="1"/>
  <c r="BP167" i="1" s="1"/>
  <c r="BI167" i="1"/>
  <c r="BS167" i="1" s="1"/>
  <c r="BH167" i="1"/>
  <c r="BR167" i="1" s="1"/>
  <c r="BG167" i="1"/>
  <c r="BD167" i="1"/>
  <c r="BC167" i="1"/>
  <c r="BB167" i="1"/>
  <c r="BF167" i="1" s="1"/>
  <c r="BA167" i="1"/>
  <c r="AY167" i="1"/>
  <c r="AX167" i="1"/>
  <c r="AW167" i="1"/>
  <c r="AT167" i="1"/>
  <c r="AS167" i="1"/>
  <c r="AV167" i="1" s="1"/>
  <c r="AR167" i="1"/>
  <c r="AO167" i="1"/>
  <c r="AN167" i="1"/>
  <c r="AM167" i="1"/>
  <c r="AQ167" i="1" s="1"/>
  <c r="AL167" i="1"/>
  <c r="AJ167" i="1"/>
  <c r="AI167" i="1"/>
  <c r="AH167" i="1"/>
  <c r="AE167" i="1"/>
  <c r="AD167" i="1"/>
  <c r="AG167" i="1" s="1"/>
  <c r="AC167" i="1"/>
  <c r="Z167" i="1"/>
  <c r="Y167" i="1"/>
  <c r="X167" i="1"/>
  <c r="U167" i="1"/>
  <c r="T167" i="1"/>
  <c r="S167" i="1"/>
  <c r="P167" i="1"/>
  <c r="O167" i="1"/>
  <c r="R167" i="1" s="1"/>
  <c r="N167" i="1"/>
  <c r="K167" i="1"/>
  <c r="J167" i="1"/>
  <c r="I167" i="1"/>
  <c r="BT166" i="1"/>
  <c r="BP166" i="1"/>
  <c r="BN166" i="1"/>
  <c r="BM166" i="1"/>
  <c r="BL166" i="1"/>
  <c r="BI166" i="1"/>
  <c r="BK166" i="1" s="1"/>
  <c r="BH166" i="1"/>
  <c r="BG166" i="1"/>
  <c r="BD166" i="1"/>
  <c r="BC166" i="1"/>
  <c r="BB166" i="1"/>
  <c r="BF166" i="1" s="1"/>
  <c r="AY166" i="1"/>
  <c r="BS166" i="1" s="1"/>
  <c r="AX166" i="1"/>
  <c r="AW166" i="1"/>
  <c r="AT166" i="1"/>
  <c r="AS166" i="1"/>
  <c r="AR166" i="1"/>
  <c r="AV166" i="1" s="1"/>
  <c r="AO166" i="1"/>
  <c r="AN166" i="1"/>
  <c r="AM166" i="1"/>
  <c r="AQ166" i="1" s="1"/>
  <c r="AJ166" i="1"/>
  <c r="AI166" i="1"/>
  <c r="BR166" i="1" s="1"/>
  <c r="AH166" i="1"/>
  <c r="AL166" i="1" s="1"/>
  <c r="AE166" i="1"/>
  <c r="AD166" i="1"/>
  <c r="AC166" i="1"/>
  <c r="AG166" i="1" s="1"/>
  <c r="Z166" i="1"/>
  <c r="Y166" i="1"/>
  <c r="X166" i="1"/>
  <c r="U166" i="1"/>
  <c r="T166" i="1"/>
  <c r="S166" i="1"/>
  <c r="W166" i="1" s="1"/>
  <c r="R166" i="1"/>
  <c r="P166" i="1"/>
  <c r="O166" i="1"/>
  <c r="N166" i="1"/>
  <c r="K166" i="1"/>
  <c r="J166" i="1"/>
  <c r="I166" i="1"/>
  <c r="M166" i="1" s="1"/>
  <c r="BT165" i="1"/>
  <c r="BQ165" i="1"/>
  <c r="BP165" i="1"/>
  <c r="BN165" i="1"/>
  <c r="BM165" i="1"/>
  <c r="BL165" i="1"/>
  <c r="BK165" i="1"/>
  <c r="BI165" i="1"/>
  <c r="BH165" i="1"/>
  <c r="BG165" i="1"/>
  <c r="BD165" i="1"/>
  <c r="BC165" i="1"/>
  <c r="BB165" i="1"/>
  <c r="BA165" i="1"/>
  <c r="AY165" i="1"/>
  <c r="AX165" i="1"/>
  <c r="AW165" i="1"/>
  <c r="AT165" i="1"/>
  <c r="AV165" i="1" s="1"/>
  <c r="AS165" i="1"/>
  <c r="AR165" i="1"/>
  <c r="AO165" i="1"/>
  <c r="AN165" i="1"/>
  <c r="AM165" i="1"/>
  <c r="AQ165" i="1" s="1"/>
  <c r="AL165" i="1"/>
  <c r="AJ165" i="1"/>
  <c r="AI165" i="1"/>
  <c r="AH165" i="1"/>
  <c r="AE165" i="1"/>
  <c r="AD165" i="1"/>
  <c r="AG165" i="1" s="1"/>
  <c r="AC165" i="1"/>
  <c r="Z165" i="1"/>
  <c r="Y165" i="1"/>
  <c r="X165" i="1"/>
  <c r="AB165" i="1" s="1"/>
  <c r="W165" i="1"/>
  <c r="U165" i="1"/>
  <c r="T165" i="1"/>
  <c r="S165" i="1"/>
  <c r="P165" i="1"/>
  <c r="O165" i="1"/>
  <c r="R165" i="1" s="1"/>
  <c r="N165" i="1"/>
  <c r="K165" i="1"/>
  <c r="J165" i="1"/>
  <c r="I165" i="1"/>
  <c r="M165" i="1" s="1"/>
  <c r="BT164" i="1"/>
  <c r="BN164" i="1"/>
  <c r="BS164" i="1" s="1"/>
  <c r="BM164" i="1"/>
  <c r="BL164" i="1"/>
  <c r="BI164" i="1"/>
  <c r="BH164" i="1"/>
  <c r="BG164" i="1"/>
  <c r="BK164" i="1" s="1"/>
  <c r="BD164" i="1"/>
  <c r="BC164" i="1"/>
  <c r="BB164" i="1"/>
  <c r="BF164" i="1" s="1"/>
  <c r="AY164" i="1"/>
  <c r="AX164" i="1"/>
  <c r="AW164" i="1"/>
  <c r="BA164" i="1" s="1"/>
  <c r="AT164" i="1"/>
  <c r="AS164" i="1"/>
  <c r="AR164" i="1"/>
  <c r="AV164" i="1" s="1"/>
  <c r="AO164" i="1"/>
  <c r="AN164" i="1"/>
  <c r="AM164" i="1"/>
  <c r="AQ164" i="1" s="1"/>
  <c r="AJ164" i="1"/>
  <c r="AI164" i="1"/>
  <c r="AH164" i="1"/>
  <c r="AE164" i="1"/>
  <c r="AD164" i="1"/>
  <c r="AC164" i="1"/>
  <c r="AG164" i="1" s="1"/>
  <c r="AB164" i="1"/>
  <c r="Z164" i="1"/>
  <c r="Y164" i="1"/>
  <c r="X164" i="1"/>
  <c r="U164" i="1"/>
  <c r="T164" i="1"/>
  <c r="S164" i="1"/>
  <c r="W164" i="1" s="1"/>
  <c r="P164" i="1"/>
  <c r="O164" i="1"/>
  <c r="N164" i="1"/>
  <c r="R164" i="1" s="1"/>
  <c r="M164" i="1"/>
  <c r="K164" i="1"/>
  <c r="J164" i="1"/>
  <c r="I164" i="1"/>
  <c r="BT163" i="1"/>
  <c r="BN163" i="1"/>
  <c r="BM163" i="1"/>
  <c r="BL163" i="1"/>
  <c r="BI163" i="1"/>
  <c r="BH163" i="1"/>
  <c r="BG163" i="1"/>
  <c r="BK163" i="1" s="1"/>
  <c r="BD163" i="1"/>
  <c r="BC163" i="1"/>
  <c r="BB163" i="1"/>
  <c r="BF163" i="1" s="1"/>
  <c r="AY163" i="1"/>
  <c r="AX163" i="1"/>
  <c r="AW163" i="1"/>
  <c r="BA163" i="1" s="1"/>
  <c r="AT163" i="1"/>
  <c r="AS163" i="1"/>
  <c r="AR163" i="1"/>
  <c r="AV163" i="1" s="1"/>
  <c r="AQ163" i="1"/>
  <c r="AO163" i="1"/>
  <c r="AN163" i="1"/>
  <c r="AM163" i="1"/>
  <c r="AL163" i="1"/>
  <c r="AJ163" i="1"/>
  <c r="AI163" i="1"/>
  <c r="AH163" i="1"/>
  <c r="AE163" i="1"/>
  <c r="AD163" i="1"/>
  <c r="AC163" i="1"/>
  <c r="AG163" i="1" s="1"/>
  <c r="Z163" i="1"/>
  <c r="Y163" i="1"/>
  <c r="X163" i="1"/>
  <c r="U163" i="1"/>
  <c r="W163" i="1" s="1"/>
  <c r="T163" i="1"/>
  <c r="S163" i="1"/>
  <c r="P163" i="1"/>
  <c r="O163" i="1"/>
  <c r="N163" i="1"/>
  <c r="K163" i="1"/>
  <c r="J163" i="1"/>
  <c r="I163" i="1"/>
  <c r="M163" i="1" s="1"/>
  <c r="BT162" i="1"/>
  <c r="BN162" i="1"/>
  <c r="BM162" i="1"/>
  <c r="BL162" i="1"/>
  <c r="BI162" i="1"/>
  <c r="BH162" i="1"/>
  <c r="BK162" i="1" s="1"/>
  <c r="BG162" i="1"/>
  <c r="BD162" i="1"/>
  <c r="BF162" i="1" s="1"/>
  <c r="BC162" i="1"/>
  <c r="BB162" i="1"/>
  <c r="AY162" i="1"/>
  <c r="AX162" i="1"/>
  <c r="AW162" i="1"/>
  <c r="BA162" i="1" s="1"/>
  <c r="AT162" i="1"/>
  <c r="AS162" i="1"/>
  <c r="AR162" i="1"/>
  <c r="AV162" i="1" s="1"/>
  <c r="AO162" i="1"/>
  <c r="AN162" i="1"/>
  <c r="AQ162" i="1" s="1"/>
  <c r="AM162" i="1"/>
  <c r="AJ162" i="1"/>
  <c r="AI162" i="1"/>
  <c r="AH162" i="1"/>
  <c r="AE162" i="1"/>
  <c r="AD162" i="1"/>
  <c r="AC162" i="1"/>
  <c r="Z162" i="1"/>
  <c r="AB162" i="1" s="1"/>
  <c r="Y162" i="1"/>
  <c r="X162" i="1"/>
  <c r="U162" i="1"/>
  <c r="T162" i="1"/>
  <c r="S162" i="1"/>
  <c r="P162" i="1"/>
  <c r="O162" i="1"/>
  <c r="N162" i="1"/>
  <c r="R162" i="1" s="1"/>
  <c r="K162" i="1"/>
  <c r="J162" i="1"/>
  <c r="I162" i="1"/>
  <c r="BT161" i="1"/>
  <c r="BN161" i="1"/>
  <c r="BM161" i="1"/>
  <c r="BL161" i="1"/>
  <c r="BI161" i="1"/>
  <c r="BH161" i="1"/>
  <c r="BG161" i="1"/>
  <c r="BF161" i="1"/>
  <c r="BD161" i="1"/>
  <c r="BC161" i="1"/>
  <c r="BB161" i="1"/>
  <c r="AY161" i="1"/>
  <c r="AX161" i="1"/>
  <c r="AW161" i="1"/>
  <c r="AT161" i="1"/>
  <c r="AS161" i="1"/>
  <c r="AV161" i="1" s="1"/>
  <c r="AR161" i="1"/>
  <c r="AO161" i="1"/>
  <c r="AO176" i="1" s="1"/>
  <c r="AN161" i="1"/>
  <c r="AQ161" i="1" s="1"/>
  <c r="AM161" i="1"/>
  <c r="AJ161" i="1"/>
  <c r="AI161" i="1"/>
  <c r="AH161" i="1"/>
  <c r="AE161" i="1"/>
  <c r="AD161" i="1"/>
  <c r="AG161" i="1" s="1"/>
  <c r="AC161" i="1"/>
  <c r="Z161" i="1"/>
  <c r="Y161" i="1"/>
  <c r="X161" i="1"/>
  <c r="U161" i="1"/>
  <c r="T161" i="1"/>
  <c r="S161" i="1"/>
  <c r="R161" i="1"/>
  <c r="P161" i="1"/>
  <c r="O161" i="1"/>
  <c r="N161" i="1"/>
  <c r="K161" i="1"/>
  <c r="J161" i="1"/>
  <c r="M161" i="1" s="1"/>
  <c r="I161" i="1"/>
  <c r="BO160" i="1"/>
  <c r="BJ160" i="1"/>
  <c r="BE160" i="1"/>
  <c r="BB160" i="1"/>
  <c r="AZ160" i="1"/>
  <c r="AU160" i="1"/>
  <c r="AP160" i="1"/>
  <c r="AK160" i="1"/>
  <c r="AF160" i="1"/>
  <c r="AA160" i="1"/>
  <c r="V160" i="1"/>
  <c r="Q160" i="1"/>
  <c r="L160" i="1"/>
  <c r="BT159" i="1"/>
  <c r="BR159" i="1"/>
  <c r="BQ159" i="1"/>
  <c r="BP159" i="1"/>
  <c r="BN159" i="1"/>
  <c r="BM159" i="1"/>
  <c r="BL159" i="1"/>
  <c r="BK159" i="1"/>
  <c r="BI159" i="1"/>
  <c r="BH159" i="1"/>
  <c r="BG159" i="1"/>
  <c r="BD159" i="1"/>
  <c r="BC159" i="1"/>
  <c r="BB159" i="1"/>
  <c r="BF159" i="1" s="1"/>
  <c r="BA159" i="1"/>
  <c r="AY159" i="1"/>
  <c r="AX159" i="1"/>
  <c r="AW159" i="1"/>
  <c r="AV159" i="1"/>
  <c r="AT159" i="1"/>
  <c r="AS159" i="1"/>
  <c r="AR159" i="1"/>
  <c r="AO159" i="1"/>
  <c r="AN159" i="1"/>
  <c r="AM159" i="1"/>
  <c r="AQ159" i="1" s="1"/>
  <c r="AJ159" i="1"/>
  <c r="BS159" i="1" s="1"/>
  <c r="AI159" i="1"/>
  <c r="AH159" i="1"/>
  <c r="AG159" i="1"/>
  <c r="AE159" i="1"/>
  <c r="AD159" i="1"/>
  <c r="AC159" i="1"/>
  <c r="Z159" i="1"/>
  <c r="Y159" i="1"/>
  <c r="X159" i="1"/>
  <c r="AB159" i="1" s="1"/>
  <c r="U159" i="1"/>
  <c r="W159" i="1" s="1"/>
  <c r="T159" i="1"/>
  <c r="S159" i="1"/>
  <c r="R159" i="1"/>
  <c r="P159" i="1"/>
  <c r="O159" i="1"/>
  <c r="N159" i="1"/>
  <c r="K159" i="1"/>
  <c r="J159" i="1"/>
  <c r="I159" i="1"/>
  <c r="BT158" i="1"/>
  <c r="BP158" i="1"/>
  <c r="BN158" i="1"/>
  <c r="BM158" i="1"/>
  <c r="BL158" i="1"/>
  <c r="BI158" i="1"/>
  <c r="BH158" i="1"/>
  <c r="BG158" i="1"/>
  <c r="BK158" i="1" s="1"/>
  <c r="BD158" i="1"/>
  <c r="BC158" i="1"/>
  <c r="BB158" i="1"/>
  <c r="BF158" i="1" s="1"/>
  <c r="BA158" i="1"/>
  <c r="AY158" i="1"/>
  <c r="AX158" i="1"/>
  <c r="AW158" i="1"/>
  <c r="AT158" i="1"/>
  <c r="AS158" i="1"/>
  <c r="AR158" i="1"/>
  <c r="AV158" i="1" s="1"/>
  <c r="AO158" i="1"/>
  <c r="AN158" i="1"/>
  <c r="AM158" i="1"/>
  <c r="AQ158" i="1" s="1"/>
  <c r="AJ158" i="1"/>
  <c r="AL158" i="1" s="1"/>
  <c r="AI158" i="1"/>
  <c r="AH158" i="1"/>
  <c r="AE158" i="1"/>
  <c r="AD158" i="1"/>
  <c r="AC158" i="1"/>
  <c r="Z158" i="1"/>
  <c r="Y158" i="1"/>
  <c r="X158" i="1"/>
  <c r="AB158" i="1" s="1"/>
  <c r="U158" i="1"/>
  <c r="W158" i="1" s="1"/>
  <c r="T158" i="1"/>
  <c r="S158" i="1"/>
  <c r="P158" i="1"/>
  <c r="O158" i="1"/>
  <c r="N158" i="1"/>
  <c r="K158" i="1"/>
  <c r="J158" i="1"/>
  <c r="I158" i="1"/>
  <c r="M158" i="1" s="1"/>
  <c r="BT157" i="1"/>
  <c r="BN157" i="1"/>
  <c r="BM157" i="1"/>
  <c r="BL157" i="1"/>
  <c r="BI157" i="1"/>
  <c r="BH157" i="1"/>
  <c r="BG157" i="1"/>
  <c r="BD157" i="1"/>
  <c r="BF157" i="1" s="1"/>
  <c r="BC157" i="1"/>
  <c r="BB157" i="1"/>
  <c r="AY157" i="1"/>
  <c r="AX157" i="1"/>
  <c r="AW157" i="1"/>
  <c r="AT157" i="1"/>
  <c r="AS157" i="1"/>
  <c r="AR157" i="1"/>
  <c r="AV157" i="1" s="1"/>
  <c r="AO157" i="1"/>
  <c r="AN157" i="1"/>
  <c r="AQ157" i="1" s="1"/>
  <c r="AM157" i="1"/>
  <c r="AJ157" i="1"/>
  <c r="AI157" i="1"/>
  <c r="AH157" i="1"/>
  <c r="AE157" i="1"/>
  <c r="AD157" i="1"/>
  <c r="AC157" i="1"/>
  <c r="Z157" i="1"/>
  <c r="AB157" i="1" s="1"/>
  <c r="Y157" i="1"/>
  <c r="X157" i="1"/>
  <c r="U157" i="1"/>
  <c r="T157" i="1"/>
  <c r="S157" i="1"/>
  <c r="W157" i="1" s="1"/>
  <c r="P157" i="1"/>
  <c r="O157" i="1"/>
  <c r="N157" i="1"/>
  <c r="K157" i="1"/>
  <c r="J157" i="1"/>
  <c r="I157" i="1"/>
  <c r="M157" i="1" s="1"/>
  <c r="BT156" i="1"/>
  <c r="BN156" i="1"/>
  <c r="BM156" i="1"/>
  <c r="BL156" i="1"/>
  <c r="BI156" i="1"/>
  <c r="BH156" i="1"/>
  <c r="BG156" i="1"/>
  <c r="BD156" i="1"/>
  <c r="BF156" i="1" s="1"/>
  <c r="BC156" i="1"/>
  <c r="BB156" i="1"/>
  <c r="AY156" i="1"/>
  <c r="AX156" i="1"/>
  <c r="AW156" i="1"/>
  <c r="BA156" i="1" s="1"/>
  <c r="AT156" i="1"/>
  <c r="AS156" i="1"/>
  <c r="AR156" i="1"/>
  <c r="AV156" i="1" s="1"/>
  <c r="AQ156" i="1"/>
  <c r="AO156" i="1"/>
  <c r="AN156" i="1"/>
  <c r="AM156" i="1"/>
  <c r="AJ156" i="1"/>
  <c r="AI156" i="1"/>
  <c r="AH156" i="1"/>
  <c r="AL156" i="1" s="1"/>
  <c r="AE156" i="1"/>
  <c r="AD156" i="1"/>
  <c r="AC156" i="1"/>
  <c r="AG156" i="1" s="1"/>
  <c r="Z156" i="1"/>
  <c r="Y156" i="1"/>
  <c r="AB156" i="1" s="1"/>
  <c r="X156" i="1"/>
  <c r="U156" i="1"/>
  <c r="T156" i="1"/>
  <c r="S156" i="1"/>
  <c r="W156" i="1" s="1"/>
  <c r="P156" i="1"/>
  <c r="O156" i="1"/>
  <c r="N156" i="1"/>
  <c r="K156" i="1"/>
  <c r="J156" i="1"/>
  <c r="I156" i="1"/>
  <c r="M156" i="1" s="1"/>
  <c r="BT155" i="1"/>
  <c r="BP155" i="1"/>
  <c r="BN155" i="1"/>
  <c r="BM155" i="1"/>
  <c r="BL155" i="1"/>
  <c r="BK155" i="1"/>
  <c r="BI155" i="1"/>
  <c r="BH155" i="1"/>
  <c r="BG155" i="1"/>
  <c r="BF155" i="1"/>
  <c r="BD155" i="1"/>
  <c r="BC155" i="1"/>
  <c r="BB155" i="1"/>
  <c r="BA155" i="1"/>
  <c r="AY155" i="1"/>
  <c r="AX155" i="1"/>
  <c r="AW155" i="1"/>
  <c r="AV155" i="1"/>
  <c r="AT155" i="1"/>
  <c r="AS155" i="1"/>
  <c r="AR155" i="1"/>
  <c r="AQ155" i="1"/>
  <c r="AO155" i="1"/>
  <c r="AN155" i="1"/>
  <c r="AM155" i="1"/>
  <c r="AL155" i="1"/>
  <c r="AJ155" i="1"/>
  <c r="AI155" i="1"/>
  <c r="AH155" i="1"/>
  <c r="AG155" i="1"/>
  <c r="AE155" i="1"/>
  <c r="AD155" i="1"/>
  <c r="AC155" i="1"/>
  <c r="AB155" i="1"/>
  <c r="Z155" i="1"/>
  <c r="Y155" i="1"/>
  <c r="X155" i="1"/>
  <c r="W155" i="1"/>
  <c r="U155" i="1"/>
  <c r="T155" i="1"/>
  <c r="S155" i="1"/>
  <c r="R155" i="1"/>
  <c r="P155" i="1"/>
  <c r="O155" i="1"/>
  <c r="N155" i="1"/>
  <c r="M155" i="1"/>
  <c r="K155" i="1"/>
  <c r="J155" i="1"/>
  <c r="I155" i="1"/>
  <c r="BT154" i="1"/>
  <c r="BP154" i="1"/>
  <c r="BN154" i="1"/>
  <c r="BM154" i="1"/>
  <c r="BL154" i="1"/>
  <c r="BI154" i="1"/>
  <c r="BH154" i="1"/>
  <c r="BG154" i="1"/>
  <c r="BF154" i="1"/>
  <c r="BD154" i="1"/>
  <c r="BC154" i="1"/>
  <c r="BB154" i="1"/>
  <c r="AY154" i="1"/>
  <c r="BA154" i="1" s="1"/>
  <c r="AX154" i="1"/>
  <c r="AW154" i="1"/>
  <c r="AT154" i="1"/>
  <c r="AS154" i="1"/>
  <c r="AR154" i="1"/>
  <c r="AV154" i="1" s="1"/>
  <c r="AO154" i="1"/>
  <c r="AQ154" i="1" s="1"/>
  <c r="AN154" i="1"/>
  <c r="AM154" i="1"/>
  <c r="AJ154" i="1"/>
  <c r="AI154" i="1"/>
  <c r="AH154" i="1"/>
  <c r="AE154" i="1"/>
  <c r="AD154" i="1"/>
  <c r="AC154" i="1"/>
  <c r="AG154" i="1" s="1"/>
  <c r="Z154" i="1"/>
  <c r="Y154" i="1"/>
  <c r="X154" i="1"/>
  <c r="U154" i="1"/>
  <c r="T154" i="1"/>
  <c r="S154" i="1"/>
  <c r="W154" i="1" s="1"/>
  <c r="P154" i="1"/>
  <c r="O154" i="1"/>
  <c r="N154" i="1"/>
  <c r="R154" i="1" s="1"/>
  <c r="K154" i="1"/>
  <c r="J154" i="1"/>
  <c r="I154" i="1"/>
  <c r="M154" i="1" s="1"/>
  <c r="BT153" i="1"/>
  <c r="BN153" i="1"/>
  <c r="BM153" i="1"/>
  <c r="BL153" i="1"/>
  <c r="BP153" i="1" s="1"/>
  <c r="BI153" i="1"/>
  <c r="BK153" i="1" s="1"/>
  <c r="BH153" i="1"/>
  <c r="BG153" i="1"/>
  <c r="BF153" i="1"/>
  <c r="BD153" i="1"/>
  <c r="BC153" i="1"/>
  <c r="BB153" i="1"/>
  <c r="AY153" i="1"/>
  <c r="AX153" i="1"/>
  <c r="AW153" i="1"/>
  <c r="BA153" i="1" s="1"/>
  <c r="AT153" i="1"/>
  <c r="AS153" i="1"/>
  <c r="AV153" i="1" s="1"/>
  <c r="AR153" i="1"/>
  <c r="AQ153" i="1"/>
  <c r="AO153" i="1"/>
  <c r="AN153" i="1"/>
  <c r="AM153" i="1"/>
  <c r="AJ153" i="1"/>
  <c r="AI153" i="1"/>
  <c r="AH153" i="1"/>
  <c r="AL153" i="1" s="1"/>
  <c r="AE153" i="1"/>
  <c r="AD153" i="1"/>
  <c r="AD160" i="1" s="1"/>
  <c r="AC153" i="1"/>
  <c r="AG153" i="1" s="1"/>
  <c r="AB153" i="1"/>
  <c r="Z153" i="1"/>
  <c r="Y153" i="1"/>
  <c r="X153" i="1"/>
  <c r="U153" i="1"/>
  <c r="T153" i="1"/>
  <c r="S153" i="1"/>
  <c r="W153" i="1" s="1"/>
  <c r="P153" i="1"/>
  <c r="O153" i="1"/>
  <c r="N153" i="1"/>
  <c r="R153" i="1" s="1"/>
  <c r="M153" i="1"/>
  <c r="K153" i="1"/>
  <c r="J153" i="1"/>
  <c r="I153" i="1"/>
  <c r="BT152" i="1"/>
  <c r="BN152" i="1"/>
  <c r="BM152" i="1"/>
  <c r="BL152" i="1"/>
  <c r="BI152" i="1"/>
  <c r="BH152" i="1"/>
  <c r="BG152" i="1"/>
  <c r="BK152" i="1" s="1"/>
  <c r="BD152" i="1"/>
  <c r="BC152" i="1"/>
  <c r="BB152" i="1"/>
  <c r="BF152" i="1" s="1"/>
  <c r="AY152" i="1"/>
  <c r="AX152" i="1"/>
  <c r="AW152" i="1"/>
  <c r="BA152" i="1" s="1"/>
  <c r="AT152" i="1"/>
  <c r="AS152" i="1"/>
  <c r="AR152" i="1"/>
  <c r="AV152" i="1" s="1"/>
  <c r="AQ152" i="1"/>
  <c r="AO152" i="1"/>
  <c r="AN152" i="1"/>
  <c r="AM152" i="1"/>
  <c r="AJ152" i="1"/>
  <c r="AI152" i="1"/>
  <c r="AH152" i="1"/>
  <c r="AL152" i="1" s="1"/>
  <c r="AE152" i="1"/>
  <c r="AD152" i="1"/>
  <c r="AC152" i="1"/>
  <c r="AG152" i="1" s="1"/>
  <c r="Z152" i="1"/>
  <c r="AB152" i="1" s="1"/>
  <c r="Y152" i="1"/>
  <c r="X152" i="1"/>
  <c r="U152" i="1"/>
  <c r="T152" i="1"/>
  <c r="S152" i="1"/>
  <c r="P152" i="1"/>
  <c r="O152" i="1"/>
  <c r="N152" i="1"/>
  <c r="R152" i="1" s="1"/>
  <c r="K152" i="1"/>
  <c r="J152" i="1"/>
  <c r="I152" i="1"/>
  <c r="BT151" i="1"/>
  <c r="BR151" i="1"/>
  <c r="BN151" i="1"/>
  <c r="BM151" i="1"/>
  <c r="BL151" i="1"/>
  <c r="BI151" i="1"/>
  <c r="BH151" i="1"/>
  <c r="BK151" i="1" s="1"/>
  <c r="BG151" i="1"/>
  <c r="BD151" i="1"/>
  <c r="BC151" i="1"/>
  <c r="BF151" i="1" s="1"/>
  <c r="BB151" i="1"/>
  <c r="BA151" i="1"/>
  <c r="AY151" i="1"/>
  <c r="AX151" i="1"/>
  <c r="AW151" i="1"/>
  <c r="AT151" i="1"/>
  <c r="AS151" i="1"/>
  <c r="AV151" i="1" s="1"/>
  <c r="AR151" i="1"/>
  <c r="AO151" i="1"/>
  <c r="AN151" i="1"/>
  <c r="AQ151" i="1" s="1"/>
  <c r="AM151" i="1"/>
  <c r="AJ151" i="1"/>
  <c r="AL151" i="1" s="1"/>
  <c r="AI151" i="1"/>
  <c r="AH151" i="1"/>
  <c r="AE151" i="1"/>
  <c r="BS151" i="1" s="1"/>
  <c r="AD151" i="1"/>
  <c r="AC151" i="1"/>
  <c r="Z151" i="1"/>
  <c r="Y151" i="1"/>
  <c r="AB151" i="1" s="1"/>
  <c r="X151" i="1"/>
  <c r="U151" i="1"/>
  <c r="T151" i="1"/>
  <c r="W151" i="1" s="1"/>
  <c r="S151" i="1"/>
  <c r="P151" i="1"/>
  <c r="O151" i="1"/>
  <c r="R151" i="1" s="1"/>
  <c r="N151" i="1"/>
  <c r="K151" i="1"/>
  <c r="J151" i="1"/>
  <c r="M151" i="1" s="1"/>
  <c r="I151" i="1"/>
  <c r="BT150" i="1"/>
  <c r="BR150" i="1"/>
  <c r="BN150" i="1"/>
  <c r="BP150" i="1" s="1"/>
  <c r="BM150" i="1"/>
  <c r="BL150" i="1"/>
  <c r="BI150" i="1"/>
  <c r="BH150" i="1"/>
  <c r="BG150" i="1"/>
  <c r="BD150" i="1"/>
  <c r="BC150" i="1"/>
  <c r="BB150" i="1"/>
  <c r="BA150" i="1"/>
  <c r="AY150" i="1"/>
  <c r="AX150" i="1"/>
  <c r="AW150" i="1"/>
  <c r="AT150" i="1"/>
  <c r="AS150" i="1"/>
  <c r="AR150" i="1"/>
  <c r="AV150" i="1" s="1"/>
  <c r="AO150" i="1"/>
  <c r="AN150" i="1"/>
  <c r="AM150" i="1"/>
  <c r="AQ150" i="1" s="1"/>
  <c r="AL150" i="1"/>
  <c r="AJ150" i="1"/>
  <c r="AI150" i="1"/>
  <c r="AH150" i="1"/>
  <c r="AE150" i="1"/>
  <c r="AE160" i="1" s="1"/>
  <c r="AD150" i="1"/>
  <c r="AC150" i="1"/>
  <c r="AB150" i="1"/>
  <c r="Z150" i="1"/>
  <c r="Y150" i="1"/>
  <c r="X150" i="1"/>
  <c r="U150" i="1"/>
  <c r="W150" i="1" s="1"/>
  <c r="T150" i="1"/>
  <c r="S150" i="1"/>
  <c r="P150" i="1"/>
  <c r="O150" i="1"/>
  <c r="N150" i="1"/>
  <c r="R150" i="1" s="1"/>
  <c r="M150" i="1"/>
  <c r="K150" i="1"/>
  <c r="J150" i="1"/>
  <c r="I150" i="1"/>
  <c r="BT149" i="1"/>
  <c r="BP149" i="1"/>
  <c r="BN149" i="1"/>
  <c r="BM149" i="1"/>
  <c r="BL149" i="1"/>
  <c r="BI149" i="1"/>
  <c r="BS149" i="1" s="1"/>
  <c r="BH149" i="1"/>
  <c r="BG149" i="1"/>
  <c r="BK149" i="1" s="1"/>
  <c r="BF149" i="1"/>
  <c r="BD149" i="1"/>
  <c r="BC149" i="1"/>
  <c r="BB149" i="1"/>
  <c r="BA149" i="1"/>
  <c r="AY149" i="1"/>
  <c r="AX149" i="1"/>
  <c r="AW149" i="1"/>
  <c r="AT149" i="1"/>
  <c r="AS149" i="1"/>
  <c r="AR149" i="1"/>
  <c r="AV149" i="1" s="1"/>
  <c r="AQ149" i="1"/>
  <c r="AO149" i="1"/>
  <c r="AN149" i="1"/>
  <c r="AM149" i="1"/>
  <c r="AL149" i="1"/>
  <c r="AJ149" i="1"/>
  <c r="AI149" i="1"/>
  <c r="AH149" i="1"/>
  <c r="AE149" i="1"/>
  <c r="AD149" i="1"/>
  <c r="AC149" i="1"/>
  <c r="AG149" i="1" s="1"/>
  <c r="AB149" i="1"/>
  <c r="Z149" i="1"/>
  <c r="Y149" i="1"/>
  <c r="X149" i="1"/>
  <c r="W149" i="1"/>
  <c r="U149" i="1"/>
  <c r="T149" i="1"/>
  <c r="S149" i="1"/>
  <c r="P149" i="1"/>
  <c r="P160" i="1" s="1"/>
  <c r="O149" i="1"/>
  <c r="N149" i="1"/>
  <c r="R149" i="1" s="1"/>
  <c r="M149" i="1"/>
  <c r="K149" i="1"/>
  <c r="J149" i="1"/>
  <c r="I149" i="1"/>
  <c r="BT148" i="1"/>
  <c r="BN148" i="1"/>
  <c r="BS148" i="1" s="1"/>
  <c r="BM148" i="1"/>
  <c r="BL148" i="1"/>
  <c r="BI148" i="1"/>
  <c r="BH148" i="1"/>
  <c r="BG148" i="1"/>
  <c r="BK148" i="1" s="1"/>
  <c r="BD148" i="1"/>
  <c r="BC148" i="1"/>
  <c r="BB148" i="1"/>
  <c r="AY148" i="1"/>
  <c r="AX148" i="1"/>
  <c r="AW148" i="1"/>
  <c r="BA148" i="1" s="1"/>
  <c r="AV148" i="1"/>
  <c r="AT148" i="1"/>
  <c r="AS148" i="1"/>
  <c r="AR148" i="1"/>
  <c r="AO148" i="1"/>
  <c r="AN148" i="1"/>
  <c r="AM148" i="1"/>
  <c r="AJ148" i="1"/>
  <c r="AI148" i="1"/>
  <c r="AH148" i="1"/>
  <c r="AL148" i="1" s="1"/>
  <c r="AE148" i="1"/>
  <c r="AG148" i="1" s="1"/>
  <c r="AD148" i="1"/>
  <c r="AC148" i="1"/>
  <c r="Z148" i="1"/>
  <c r="Y148" i="1"/>
  <c r="X148" i="1"/>
  <c r="U148" i="1"/>
  <c r="T148" i="1"/>
  <c r="S148" i="1"/>
  <c r="W148" i="1" s="1"/>
  <c r="P148" i="1"/>
  <c r="O148" i="1"/>
  <c r="R148" i="1" s="1"/>
  <c r="N148" i="1"/>
  <c r="K148" i="1"/>
  <c r="J148" i="1"/>
  <c r="I148" i="1"/>
  <c r="M148" i="1" s="1"/>
  <c r="BT147" i="1"/>
  <c r="BN147" i="1"/>
  <c r="BM147" i="1"/>
  <c r="BL147" i="1"/>
  <c r="BI147" i="1"/>
  <c r="BH147" i="1"/>
  <c r="BG147" i="1"/>
  <c r="BF147" i="1"/>
  <c r="BD147" i="1"/>
  <c r="BC147" i="1"/>
  <c r="BB147" i="1"/>
  <c r="AY147" i="1"/>
  <c r="AX147" i="1"/>
  <c r="BA147" i="1" s="1"/>
  <c r="AW147" i="1"/>
  <c r="AT147" i="1"/>
  <c r="AS147" i="1"/>
  <c r="AR147" i="1"/>
  <c r="AQ147" i="1"/>
  <c r="AO147" i="1"/>
  <c r="AN147" i="1"/>
  <c r="AM147" i="1"/>
  <c r="AJ147" i="1"/>
  <c r="AI147" i="1"/>
  <c r="AH147" i="1"/>
  <c r="AE147" i="1"/>
  <c r="AD147" i="1"/>
  <c r="AC147" i="1"/>
  <c r="AG147" i="1" s="1"/>
  <c r="AB147" i="1"/>
  <c r="Z147" i="1"/>
  <c r="Y147" i="1"/>
  <c r="X147" i="1"/>
  <c r="U147" i="1"/>
  <c r="T147" i="1"/>
  <c r="W147" i="1" s="1"/>
  <c r="S147" i="1"/>
  <c r="P147" i="1"/>
  <c r="O147" i="1"/>
  <c r="N147" i="1"/>
  <c r="R147" i="1" s="1"/>
  <c r="K147" i="1"/>
  <c r="J147" i="1"/>
  <c r="M147" i="1" s="1"/>
  <c r="I147" i="1"/>
  <c r="BT146" i="1"/>
  <c r="BN146" i="1"/>
  <c r="BM146" i="1"/>
  <c r="BR146" i="1" s="1"/>
  <c r="BL146" i="1"/>
  <c r="BI146" i="1"/>
  <c r="BH146" i="1"/>
  <c r="BG146" i="1"/>
  <c r="BK146" i="1" s="1"/>
  <c r="BD146" i="1"/>
  <c r="BF146" i="1" s="1"/>
  <c r="BC146" i="1"/>
  <c r="BB146" i="1"/>
  <c r="AY146" i="1"/>
  <c r="AX146" i="1"/>
  <c r="AW146" i="1"/>
  <c r="AV146" i="1"/>
  <c r="AT146" i="1"/>
  <c r="AS146" i="1"/>
  <c r="AR146" i="1"/>
  <c r="AO146" i="1"/>
  <c r="AQ146" i="1" s="1"/>
  <c r="AN146" i="1"/>
  <c r="AM146" i="1"/>
  <c r="AJ146" i="1"/>
  <c r="AI146" i="1"/>
  <c r="AH146" i="1"/>
  <c r="AL146" i="1" s="1"/>
  <c r="AE146" i="1"/>
  <c r="AG146" i="1" s="1"/>
  <c r="AD146" i="1"/>
  <c r="AC146" i="1"/>
  <c r="Z146" i="1"/>
  <c r="AB146" i="1" s="1"/>
  <c r="Y146" i="1"/>
  <c r="X146" i="1"/>
  <c r="U146" i="1"/>
  <c r="T146" i="1"/>
  <c r="S146" i="1"/>
  <c r="W146" i="1" s="1"/>
  <c r="P146" i="1"/>
  <c r="O146" i="1"/>
  <c r="R146" i="1" s="1"/>
  <c r="N146" i="1"/>
  <c r="K146" i="1"/>
  <c r="M146" i="1" s="1"/>
  <c r="J146" i="1"/>
  <c r="I146" i="1"/>
  <c r="BT145" i="1"/>
  <c r="BN145" i="1"/>
  <c r="BM145" i="1"/>
  <c r="BL145" i="1"/>
  <c r="BP145" i="1" s="1"/>
  <c r="BK145" i="1"/>
  <c r="BI145" i="1"/>
  <c r="BH145" i="1"/>
  <c r="BG145" i="1"/>
  <c r="BD145" i="1"/>
  <c r="BC145" i="1"/>
  <c r="BB145" i="1"/>
  <c r="AY145" i="1"/>
  <c r="AX145" i="1"/>
  <c r="AW145" i="1"/>
  <c r="BA145" i="1" s="1"/>
  <c r="AV145" i="1"/>
  <c r="AT145" i="1"/>
  <c r="AS145" i="1"/>
  <c r="AR145" i="1"/>
  <c r="AO145" i="1"/>
  <c r="AN145" i="1"/>
  <c r="AM145" i="1"/>
  <c r="AJ145" i="1"/>
  <c r="AI145" i="1"/>
  <c r="AH145" i="1"/>
  <c r="AG145" i="1"/>
  <c r="AE145" i="1"/>
  <c r="AD145" i="1"/>
  <c r="AC145" i="1"/>
  <c r="Z145" i="1"/>
  <c r="Y145" i="1"/>
  <c r="X145" i="1"/>
  <c r="U145" i="1"/>
  <c r="T145" i="1"/>
  <c r="S145" i="1"/>
  <c r="R145" i="1"/>
  <c r="P145" i="1"/>
  <c r="O145" i="1"/>
  <c r="N145" i="1"/>
  <c r="K145" i="1"/>
  <c r="J145" i="1"/>
  <c r="I145" i="1"/>
  <c r="BT144" i="1"/>
  <c r="BN144" i="1"/>
  <c r="BM144" i="1"/>
  <c r="BL144" i="1"/>
  <c r="BI144" i="1"/>
  <c r="BH144" i="1"/>
  <c r="BG144" i="1"/>
  <c r="BD144" i="1"/>
  <c r="BF144" i="1" s="1"/>
  <c r="BC144" i="1"/>
  <c r="BB144" i="1"/>
  <c r="AY144" i="1"/>
  <c r="AX144" i="1"/>
  <c r="AW144" i="1"/>
  <c r="AT144" i="1"/>
  <c r="AS144" i="1"/>
  <c r="AS160" i="1" s="1"/>
  <c r="AR144" i="1"/>
  <c r="AV144" i="1" s="1"/>
  <c r="AQ144" i="1"/>
  <c r="AO144" i="1"/>
  <c r="AN144" i="1"/>
  <c r="AM144" i="1"/>
  <c r="AJ144" i="1"/>
  <c r="AI144" i="1"/>
  <c r="AH144" i="1"/>
  <c r="AL144" i="1" s="1"/>
  <c r="AE144" i="1"/>
  <c r="AD144" i="1"/>
  <c r="AC144" i="1"/>
  <c r="AG144" i="1" s="1"/>
  <c r="Z144" i="1"/>
  <c r="AB144" i="1" s="1"/>
  <c r="Y144" i="1"/>
  <c r="X144" i="1"/>
  <c r="U144" i="1"/>
  <c r="W144" i="1" s="1"/>
  <c r="T144" i="1"/>
  <c r="S144" i="1"/>
  <c r="P144" i="1"/>
  <c r="O144" i="1"/>
  <c r="N144" i="1"/>
  <c r="R144" i="1" s="1"/>
  <c r="K144" i="1"/>
  <c r="J144" i="1"/>
  <c r="I144" i="1"/>
  <c r="M144" i="1" s="1"/>
  <c r="BT143" i="1"/>
  <c r="BT160" i="1" s="1"/>
  <c r="BN143" i="1"/>
  <c r="BM143" i="1"/>
  <c r="BL143" i="1"/>
  <c r="BI143" i="1"/>
  <c r="BH143" i="1"/>
  <c r="BG143" i="1"/>
  <c r="BK143" i="1" s="1"/>
  <c r="BD143" i="1"/>
  <c r="BD160" i="1" s="1"/>
  <c r="BC143" i="1"/>
  <c r="BC160" i="1" s="1"/>
  <c r="BB143" i="1"/>
  <c r="AY143" i="1"/>
  <c r="AX143" i="1"/>
  <c r="AW143" i="1"/>
  <c r="BA143" i="1" s="1"/>
  <c r="AT143" i="1"/>
  <c r="AS143" i="1"/>
  <c r="AR143" i="1"/>
  <c r="AV143" i="1" s="1"/>
  <c r="AO143" i="1"/>
  <c r="AN143" i="1"/>
  <c r="AQ143" i="1" s="1"/>
  <c r="AM143" i="1"/>
  <c r="AJ143" i="1"/>
  <c r="AI143" i="1"/>
  <c r="AH143" i="1"/>
  <c r="AE143" i="1"/>
  <c r="AD143" i="1"/>
  <c r="AC143" i="1"/>
  <c r="Z143" i="1"/>
  <c r="Y143" i="1"/>
  <c r="X143" i="1"/>
  <c r="U143" i="1"/>
  <c r="T143" i="1"/>
  <c r="T160" i="1" s="1"/>
  <c r="S143" i="1"/>
  <c r="P143" i="1"/>
  <c r="O143" i="1"/>
  <c r="N143" i="1"/>
  <c r="K143" i="1"/>
  <c r="J143" i="1"/>
  <c r="M143" i="1" s="1"/>
  <c r="I143" i="1"/>
  <c r="BT142" i="1"/>
  <c r="BN142" i="1"/>
  <c r="BM142" i="1"/>
  <c r="BR142" i="1" s="1"/>
  <c r="BL142" i="1"/>
  <c r="BI142" i="1"/>
  <c r="BK142" i="1" s="1"/>
  <c r="BH142" i="1"/>
  <c r="BG142" i="1"/>
  <c r="BD142" i="1"/>
  <c r="BC142" i="1"/>
  <c r="BB142" i="1"/>
  <c r="BF142" i="1" s="1"/>
  <c r="AY142" i="1"/>
  <c r="AX142" i="1"/>
  <c r="AW142" i="1"/>
  <c r="BA142" i="1" s="1"/>
  <c r="AT142" i="1"/>
  <c r="AV142" i="1" s="1"/>
  <c r="AS142" i="1"/>
  <c r="AR142" i="1"/>
  <c r="AO142" i="1"/>
  <c r="AN142" i="1"/>
  <c r="AN160" i="1" s="1"/>
  <c r="AM142" i="1"/>
  <c r="AQ142" i="1" s="1"/>
  <c r="AL142" i="1"/>
  <c r="AJ142" i="1"/>
  <c r="AI142" i="1"/>
  <c r="AH142" i="1"/>
  <c r="AE142" i="1"/>
  <c r="AG142" i="1" s="1"/>
  <c r="AD142" i="1"/>
  <c r="AC142" i="1"/>
  <c r="Z142" i="1"/>
  <c r="Y142" i="1"/>
  <c r="X142" i="1"/>
  <c r="U142" i="1"/>
  <c r="T142" i="1"/>
  <c r="S142" i="1"/>
  <c r="P142" i="1"/>
  <c r="R142" i="1" s="1"/>
  <c r="O142" i="1"/>
  <c r="N142" i="1"/>
  <c r="K142" i="1"/>
  <c r="J142" i="1"/>
  <c r="I142" i="1"/>
  <c r="M142" i="1" s="1"/>
  <c r="BT141" i="1"/>
  <c r="BP141" i="1"/>
  <c r="BN141" i="1"/>
  <c r="BM141" i="1"/>
  <c r="BM160" i="1" s="1"/>
  <c r="BL141" i="1"/>
  <c r="BI141" i="1"/>
  <c r="BH141" i="1"/>
  <c r="BG141" i="1"/>
  <c r="BF141" i="1"/>
  <c r="BD141" i="1"/>
  <c r="BC141" i="1"/>
  <c r="BB141" i="1"/>
  <c r="BA141" i="1"/>
  <c r="AY141" i="1"/>
  <c r="AY160" i="1" s="1"/>
  <c r="AX141" i="1"/>
  <c r="AW141" i="1"/>
  <c r="AT141" i="1"/>
  <c r="AS141" i="1"/>
  <c r="AR141" i="1"/>
  <c r="AV141" i="1" s="1"/>
  <c r="AQ141" i="1"/>
  <c r="AO141" i="1"/>
  <c r="AN141" i="1"/>
  <c r="AM141" i="1"/>
  <c r="AL141" i="1"/>
  <c r="AJ141" i="1"/>
  <c r="AI141" i="1"/>
  <c r="AH141" i="1"/>
  <c r="AE141" i="1"/>
  <c r="AD141" i="1"/>
  <c r="AC141" i="1"/>
  <c r="AB141" i="1"/>
  <c r="Z141" i="1"/>
  <c r="Y141" i="1"/>
  <c r="X141" i="1"/>
  <c r="W141" i="1"/>
  <c r="U141" i="1"/>
  <c r="T141" i="1"/>
  <c r="S141" i="1"/>
  <c r="P141" i="1"/>
  <c r="O141" i="1"/>
  <c r="O160" i="1" s="1"/>
  <c r="N141" i="1"/>
  <c r="M141" i="1"/>
  <c r="K141" i="1"/>
  <c r="J141" i="1"/>
  <c r="I141" i="1"/>
  <c r="BO140" i="1"/>
  <c r="BJ140" i="1"/>
  <c r="BI140" i="1"/>
  <c r="BE140" i="1"/>
  <c r="AZ140" i="1"/>
  <c r="AU140" i="1"/>
  <c r="AP140" i="1"/>
  <c r="AK140" i="1"/>
  <c r="AF140" i="1"/>
  <c r="AD140" i="1"/>
  <c r="AC140" i="1"/>
  <c r="AA140" i="1"/>
  <c r="V140" i="1"/>
  <c r="Q140" i="1"/>
  <c r="L140" i="1"/>
  <c r="J140" i="1"/>
  <c r="I140" i="1"/>
  <c r="BT139" i="1"/>
  <c r="BU139" i="1" s="1"/>
  <c r="BS139" i="1"/>
  <c r="BR139" i="1"/>
  <c r="BQ139" i="1"/>
  <c r="BP139" i="1"/>
  <c r="BK139" i="1"/>
  <c r="BF139" i="1"/>
  <c r="BA139" i="1"/>
  <c r="AV139" i="1"/>
  <c r="AQ139" i="1"/>
  <c r="AL139" i="1"/>
  <c r="AG139" i="1"/>
  <c r="AB139" i="1"/>
  <c r="W139" i="1"/>
  <c r="R139" i="1"/>
  <c r="M139" i="1"/>
  <c r="BT138" i="1"/>
  <c r="BU138" i="1" s="1"/>
  <c r="BS138" i="1"/>
  <c r="BR138" i="1"/>
  <c r="BQ138" i="1"/>
  <c r="BP138" i="1"/>
  <c r="BK138" i="1"/>
  <c r="BF138" i="1"/>
  <c r="BA138" i="1"/>
  <c r="AV138" i="1"/>
  <c r="AQ138" i="1"/>
  <c r="AL138" i="1"/>
  <c r="AG138" i="1"/>
  <c r="AB138" i="1"/>
  <c r="W138" i="1"/>
  <c r="R138" i="1"/>
  <c r="M138" i="1"/>
  <c r="BT137" i="1"/>
  <c r="BS137" i="1"/>
  <c r="BR137" i="1"/>
  <c r="BQ137" i="1"/>
  <c r="BU137" i="1" s="1"/>
  <c r="BP137" i="1"/>
  <c r="BK137" i="1"/>
  <c r="BF137" i="1"/>
  <c r="BA137" i="1"/>
  <c r="AV137" i="1"/>
  <c r="AQ137" i="1"/>
  <c r="AL137" i="1"/>
  <c r="AG137" i="1"/>
  <c r="AB137" i="1"/>
  <c r="W137" i="1"/>
  <c r="R137" i="1"/>
  <c r="M137" i="1"/>
  <c r="BT136" i="1"/>
  <c r="BS136" i="1"/>
  <c r="BR136" i="1"/>
  <c r="BU136" i="1" s="1"/>
  <c r="BQ136" i="1"/>
  <c r="BP136" i="1"/>
  <c r="BK136" i="1"/>
  <c r="BF136" i="1"/>
  <c r="BA136" i="1"/>
  <c r="AV136" i="1"/>
  <c r="AQ136" i="1"/>
  <c r="AL136" i="1"/>
  <c r="AG136" i="1"/>
  <c r="AB136" i="1"/>
  <c r="W136" i="1"/>
  <c r="R136" i="1"/>
  <c r="M136" i="1"/>
  <c r="BT135" i="1"/>
  <c r="BS135" i="1"/>
  <c r="BR135" i="1"/>
  <c r="BQ135" i="1"/>
  <c r="BU135" i="1" s="1"/>
  <c r="BP135" i="1"/>
  <c r="BK135" i="1"/>
  <c r="BF135" i="1"/>
  <c r="BA135" i="1"/>
  <c r="AV135" i="1"/>
  <c r="AQ135" i="1"/>
  <c r="AL135" i="1"/>
  <c r="AG135" i="1"/>
  <c r="AB135" i="1"/>
  <c r="W135" i="1"/>
  <c r="R135" i="1"/>
  <c r="M135" i="1"/>
  <c r="BT134" i="1"/>
  <c r="BN134" i="1"/>
  <c r="BP134" i="1" s="1"/>
  <c r="BM134" i="1"/>
  <c r="BL134" i="1"/>
  <c r="BI134" i="1"/>
  <c r="BH134" i="1"/>
  <c r="BG134" i="1"/>
  <c r="BD134" i="1"/>
  <c r="BC134" i="1"/>
  <c r="BF134" i="1" s="1"/>
  <c r="BB134" i="1"/>
  <c r="AY134" i="1"/>
  <c r="BA134" i="1" s="1"/>
  <c r="AX134" i="1"/>
  <c r="AW134" i="1"/>
  <c r="AT134" i="1"/>
  <c r="AS134" i="1"/>
  <c r="AR134" i="1"/>
  <c r="AO134" i="1"/>
  <c r="AN134" i="1"/>
  <c r="AM134" i="1"/>
  <c r="AQ134" i="1" s="1"/>
  <c r="AL134" i="1"/>
  <c r="AJ134" i="1"/>
  <c r="AI134" i="1"/>
  <c r="AH134" i="1"/>
  <c r="AE134" i="1"/>
  <c r="AD134" i="1"/>
  <c r="AC134" i="1"/>
  <c r="AG134" i="1" s="1"/>
  <c r="Z134" i="1"/>
  <c r="Y134" i="1"/>
  <c r="X134" i="1"/>
  <c r="AB134" i="1" s="1"/>
  <c r="W134" i="1"/>
  <c r="U134" i="1"/>
  <c r="T134" i="1"/>
  <c r="S134" i="1"/>
  <c r="P134" i="1"/>
  <c r="O134" i="1"/>
  <c r="N134" i="1"/>
  <c r="R134" i="1" s="1"/>
  <c r="M134" i="1"/>
  <c r="K134" i="1"/>
  <c r="J134" i="1"/>
  <c r="I134" i="1"/>
  <c r="BT133" i="1"/>
  <c r="BN133" i="1"/>
  <c r="BM133" i="1"/>
  <c r="BL133" i="1"/>
  <c r="BI133" i="1"/>
  <c r="BH133" i="1"/>
  <c r="BG133" i="1"/>
  <c r="BK133" i="1" s="1"/>
  <c r="BF133" i="1"/>
  <c r="BD133" i="1"/>
  <c r="BC133" i="1"/>
  <c r="BB133" i="1"/>
  <c r="AY133" i="1"/>
  <c r="AX133" i="1"/>
  <c r="AW133" i="1"/>
  <c r="AT133" i="1"/>
  <c r="AS133" i="1"/>
  <c r="AR133" i="1"/>
  <c r="AV133" i="1" s="1"/>
  <c r="AQ133" i="1"/>
  <c r="AO133" i="1"/>
  <c r="AN133" i="1"/>
  <c r="AM133" i="1"/>
  <c r="AJ133" i="1"/>
  <c r="AI133" i="1"/>
  <c r="AH133" i="1"/>
  <c r="AE133" i="1"/>
  <c r="AD133" i="1"/>
  <c r="AC133" i="1"/>
  <c r="AB133" i="1"/>
  <c r="Z133" i="1"/>
  <c r="Y133" i="1"/>
  <c r="X133" i="1"/>
  <c r="U133" i="1"/>
  <c r="T133" i="1"/>
  <c r="S133" i="1"/>
  <c r="P133" i="1"/>
  <c r="O133" i="1"/>
  <c r="N133" i="1"/>
  <c r="R133" i="1" s="1"/>
  <c r="M133" i="1"/>
  <c r="K133" i="1"/>
  <c r="J133" i="1"/>
  <c r="I133" i="1"/>
  <c r="BT132" i="1"/>
  <c r="BS132" i="1"/>
  <c r="BN132" i="1"/>
  <c r="BM132" i="1"/>
  <c r="BL132" i="1"/>
  <c r="BP132" i="1" s="1"/>
  <c r="BI132" i="1"/>
  <c r="BH132" i="1"/>
  <c r="BR132" i="1" s="1"/>
  <c r="BG132" i="1"/>
  <c r="BD132" i="1"/>
  <c r="BC132" i="1"/>
  <c r="BB132" i="1"/>
  <c r="BF132" i="1" s="1"/>
  <c r="BA132" i="1"/>
  <c r="AY132" i="1"/>
  <c r="AX132" i="1"/>
  <c r="AW132" i="1"/>
  <c r="AT132" i="1"/>
  <c r="AS132" i="1"/>
  <c r="AR132" i="1"/>
  <c r="AV132" i="1" s="1"/>
  <c r="AO132" i="1"/>
  <c r="AN132" i="1"/>
  <c r="AM132" i="1"/>
  <c r="AQ132" i="1" s="1"/>
  <c r="AJ132" i="1"/>
  <c r="AI132" i="1"/>
  <c r="AL132" i="1" s="1"/>
  <c r="AH132" i="1"/>
  <c r="AE132" i="1"/>
  <c r="AD132" i="1"/>
  <c r="AC132" i="1"/>
  <c r="AG132" i="1" s="1"/>
  <c r="AB132" i="1"/>
  <c r="Z132" i="1"/>
  <c r="Y132" i="1"/>
  <c r="X132" i="1"/>
  <c r="W132" i="1"/>
  <c r="U132" i="1"/>
  <c r="T132" i="1"/>
  <c r="S132" i="1"/>
  <c r="P132" i="1"/>
  <c r="O132" i="1"/>
  <c r="N132" i="1"/>
  <c r="K132" i="1"/>
  <c r="M132" i="1" s="1"/>
  <c r="J132" i="1"/>
  <c r="I132" i="1"/>
  <c r="BT131" i="1"/>
  <c r="BN131" i="1"/>
  <c r="BM131" i="1"/>
  <c r="BL131" i="1"/>
  <c r="BI131" i="1"/>
  <c r="BH131" i="1"/>
  <c r="BK131" i="1" s="1"/>
  <c r="BG131" i="1"/>
  <c r="BD131" i="1"/>
  <c r="BC131" i="1"/>
  <c r="BF131" i="1" s="1"/>
  <c r="BB131" i="1"/>
  <c r="AY131" i="1"/>
  <c r="AX131" i="1"/>
  <c r="BR131" i="1" s="1"/>
  <c r="AW131" i="1"/>
  <c r="AT131" i="1"/>
  <c r="AV131" i="1" s="1"/>
  <c r="AS131" i="1"/>
  <c r="AR131" i="1"/>
  <c r="AO131" i="1"/>
  <c r="AN131" i="1"/>
  <c r="AQ131" i="1" s="1"/>
  <c r="AM131" i="1"/>
  <c r="AJ131" i="1"/>
  <c r="AI131" i="1"/>
  <c r="AH131" i="1"/>
  <c r="AL131" i="1" s="1"/>
  <c r="AG131" i="1"/>
  <c r="AE131" i="1"/>
  <c r="AD131" i="1"/>
  <c r="AC131" i="1"/>
  <c r="AB131" i="1"/>
  <c r="Z131" i="1"/>
  <c r="Y131" i="1"/>
  <c r="X131" i="1"/>
  <c r="U131" i="1"/>
  <c r="T131" i="1"/>
  <c r="S131" i="1"/>
  <c r="W131" i="1" s="1"/>
  <c r="P131" i="1"/>
  <c r="R131" i="1" s="1"/>
  <c r="O131" i="1"/>
  <c r="N131" i="1"/>
  <c r="M131" i="1"/>
  <c r="K131" i="1"/>
  <c r="J131" i="1"/>
  <c r="I131" i="1"/>
  <c r="BT130" i="1"/>
  <c r="BN130" i="1"/>
  <c r="BM130" i="1"/>
  <c r="BR130" i="1" s="1"/>
  <c r="BL130" i="1"/>
  <c r="BQ130" i="1" s="1"/>
  <c r="BK130" i="1"/>
  <c r="BI130" i="1"/>
  <c r="BH130" i="1"/>
  <c r="BG130" i="1"/>
  <c r="BD130" i="1"/>
  <c r="BC130" i="1"/>
  <c r="BB130" i="1"/>
  <c r="BF130" i="1" s="1"/>
  <c r="AY130" i="1"/>
  <c r="AX130" i="1"/>
  <c r="AW130" i="1"/>
  <c r="BA130" i="1" s="1"/>
  <c r="AV130" i="1"/>
  <c r="AT130" i="1"/>
  <c r="AS130" i="1"/>
  <c r="AR130" i="1"/>
  <c r="AO130" i="1"/>
  <c r="AN130" i="1"/>
  <c r="AM130" i="1"/>
  <c r="AQ130" i="1" s="1"/>
  <c r="AJ130" i="1"/>
  <c r="AI130" i="1"/>
  <c r="AH130" i="1"/>
  <c r="AL130" i="1" s="1"/>
  <c r="AE130" i="1"/>
  <c r="AG130" i="1" s="1"/>
  <c r="AD130" i="1"/>
  <c r="AC130" i="1"/>
  <c r="Z130" i="1"/>
  <c r="Y130" i="1"/>
  <c r="X130" i="1"/>
  <c r="AB130" i="1" s="1"/>
  <c r="U130" i="1"/>
  <c r="U140" i="1" s="1"/>
  <c r="T130" i="1"/>
  <c r="S130" i="1"/>
  <c r="W130" i="1" s="1"/>
  <c r="P130" i="1"/>
  <c r="R130" i="1" s="1"/>
  <c r="O130" i="1"/>
  <c r="N130" i="1"/>
  <c r="K130" i="1"/>
  <c r="J130" i="1"/>
  <c r="I130" i="1"/>
  <c r="M130" i="1" s="1"/>
  <c r="BT129" i="1"/>
  <c r="BS129" i="1"/>
  <c r="BR129" i="1"/>
  <c r="BP129" i="1"/>
  <c r="BN129" i="1"/>
  <c r="BM129" i="1"/>
  <c r="BL129" i="1"/>
  <c r="BI129" i="1"/>
  <c r="BH129" i="1"/>
  <c r="BG129" i="1"/>
  <c r="BK129" i="1" s="1"/>
  <c r="BD129" i="1"/>
  <c r="BC129" i="1"/>
  <c r="BB129" i="1"/>
  <c r="BA129" i="1"/>
  <c r="AY129" i="1"/>
  <c r="AX129" i="1"/>
  <c r="AW129" i="1"/>
  <c r="AT129" i="1"/>
  <c r="AS129" i="1"/>
  <c r="AR129" i="1"/>
  <c r="AV129" i="1" s="1"/>
  <c r="AO129" i="1"/>
  <c r="AN129" i="1"/>
  <c r="AM129" i="1"/>
  <c r="AL129" i="1"/>
  <c r="AJ129" i="1"/>
  <c r="AI129" i="1"/>
  <c r="AH129" i="1"/>
  <c r="AE129" i="1"/>
  <c r="AD129" i="1"/>
  <c r="AC129" i="1"/>
  <c r="AG129" i="1" s="1"/>
  <c r="Z129" i="1"/>
  <c r="Y129" i="1"/>
  <c r="X129" i="1"/>
  <c r="AB129" i="1" s="1"/>
  <c r="W129" i="1"/>
  <c r="U129" i="1"/>
  <c r="T129" i="1"/>
  <c r="S129" i="1"/>
  <c r="P129" i="1"/>
  <c r="O129" i="1"/>
  <c r="N129" i="1"/>
  <c r="R129" i="1" s="1"/>
  <c r="M129" i="1"/>
  <c r="K129" i="1"/>
  <c r="J129" i="1"/>
  <c r="I129" i="1"/>
  <c r="BT128" i="1"/>
  <c r="BP128" i="1"/>
  <c r="BN128" i="1"/>
  <c r="BM128" i="1"/>
  <c r="BL128" i="1"/>
  <c r="BI128" i="1"/>
  <c r="BH128" i="1"/>
  <c r="BG128" i="1"/>
  <c r="BK128" i="1" s="1"/>
  <c r="BD128" i="1"/>
  <c r="BC128" i="1"/>
  <c r="BB128" i="1"/>
  <c r="AY128" i="1"/>
  <c r="AX128" i="1"/>
  <c r="AW128" i="1"/>
  <c r="BA128" i="1" s="1"/>
  <c r="AT128" i="1"/>
  <c r="AS128" i="1"/>
  <c r="AR128" i="1"/>
  <c r="AV128" i="1" s="1"/>
  <c r="AO128" i="1"/>
  <c r="AN128" i="1"/>
  <c r="AN140" i="1" s="1"/>
  <c r="AM128" i="1"/>
  <c r="AJ128" i="1"/>
  <c r="AI128" i="1"/>
  <c r="AH128" i="1"/>
  <c r="AE128" i="1"/>
  <c r="AG128" i="1" s="1"/>
  <c r="AD128" i="1"/>
  <c r="AC128" i="1"/>
  <c r="Z128" i="1"/>
  <c r="Y128" i="1"/>
  <c r="Y140" i="1" s="1"/>
  <c r="X128" i="1"/>
  <c r="AB128" i="1" s="1"/>
  <c r="U128" i="1"/>
  <c r="T128" i="1"/>
  <c r="S128" i="1"/>
  <c r="W128" i="1" s="1"/>
  <c r="P128" i="1"/>
  <c r="O128" i="1"/>
  <c r="N128" i="1"/>
  <c r="R128" i="1" s="1"/>
  <c r="K128" i="1"/>
  <c r="J128" i="1"/>
  <c r="I128" i="1"/>
  <c r="M128" i="1" s="1"/>
  <c r="BT127" i="1"/>
  <c r="BQ127" i="1"/>
  <c r="BP127" i="1"/>
  <c r="BN127" i="1"/>
  <c r="BM127" i="1"/>
  <c r="BL127" i="1"/>
  <c r="BI127" i="1"/>
  <c r="BH127" i="1"/>
  <c r="BG127" i="1"/>
  <c r="BF127" i="1"/>
  <c r="BD127" i="1"/>
  <c r="BC127" i="1"/>
  <c r="BB127" i="1"/>
  <c r="AY127" i="1"/>
  <c r="AY140" i="1" s="1"/>
  <c r="AX127" i="1"/>
  <c r="AW127" i="1"/>
  <c r="AT127" i="1"/>
  <c r="AS127" i="1"/>
  <c r="AR127" i="1"/>
  <c r="AV127" i="1" s="1"/>
  <c r="AQ127" i="1"/>
  <c r="AO127" i="1"/>
  <c r="AN127" i="1"/>
  <c r="AM127" i="1"/>
  <c r="AJ127" i="1"/>
  <c r="AI127" i="1"/>
  <c r="AL127" i="1" s="1"/>
  <c r="AH127" i="1"/>
  <c r="AE127" i="1"/>
  <c r="AD127" i="1"/>
  <c r="AC127" i="1"/>
  <c r="Z127" i="1"/>
  <c r="Z140" i="1" s="1"/>
  <c r="Y127" i="1"/>
  <c r="X127" i="1"/>
  <c r="U127" i="1"/>
  <c r="T127" i="1"/>
  <c r="W127" i="1" s="1"/>
  <c r="S127" i="1"/>
  <c r="P127" i="1"/>
  <c r="O127" i="1"/>
  <c r="N127" i="1"/>
  <c r="K127" i="1"/>
  <c r="J127" i="1"/>
  <c r="I127" i="1"/>
  <c r="M127" i="1" s="1"/>
  <c r="BT126" i="1"/>
  <c r="BN126" i="1"/>
  <c r="BM126" i="1"/>
  <c r="BL126" i="1"/>
  <c r="BK126" i="1"/>
  <c r="BI126" i="1"/>
  <c r="BH126" i="1"/>
  <c r="BG126" i="1"/>
  <c r="BF126" i="1"/>
  <c r="BD126" i="1"/>
  <c r="BC126" i="1"/>
  <c r="BB126" i="1"/>
  <c r="AY126" i="1"/>
  <c r="AX126" i="1"/>
  <c r="AX140" i="1" s="1"/>
  <c r="AW126" i="1"/>
  <c r="BA126" i="1" s="1"/>
  <c r="AV126" i="1"/>
  <c r="AT126" i="1"/>
  <c r="AS126" i="1"/>
  <c r="AR126" i="1"/>
  <c r="AQ126" i="1"/>
  <c r="AO126" i="1"/>
  <c r="AN126" i="1"/>
  <c r="AM126" i="1"/>
  <c r="AJ126" i="1"/>
  <c r="AI126" i="1"/>
  <c r="AH126" i="1"/>
  <c r="AE126" i="1"/>
  <c r="AE140" i="1" s="1"/>
  <c r="AD126" i="1"/>
  <c r="AC126" i="1"/>
  <c r="AB126" i="1"/>
  <c r="Z126" i="1"/>
  <c r="Y126" i="1"/>
  <c r="X126" i="1"/>
  <c r="U126" i="1"/>
  <c r="T126" i="1"/>
  <c r="S126" i="1"/>
  <c r="P126" i="1"/>
  <c r="O126" i="1"/>
  <c r="O140" i="1" s="1"/>
  <c r="N126" i="1"/>
  <c r="M126" i="1"/>
  <c r="K126" i="1"/>
  <c r="J126" i="1"/>
  <c r="I126" i="1"/>
  <c r="BO125" i="1"/>
  <c r="BN125" i="1"/>
  <c r="BM125" i="1"/>
  <c r="BE125" i="1"/>
  <c r="BD125" i="1"/>
  <c r="AZ125" i="1"/>
  <c r="AP125" i="1"/>
  <c r="AO125" i="1"/>
  <c r="AI125" i="1"/>
  <c r="AE125" i="1"/>
  <c r="AC125" i="1"/>
  <c r="V125" i="1"/>
  <c r="T125" i="1"/>
  <c r="K125" i="1"/>
  <c r="J125" i="1"/>
  <c r="BO124" i="1"/>
  <c r="BN124" i="1"/>
  <c r="BJ124" i="1"/>
  <c r="BJ125" i="1" s="1"/>
  <c r="BI124" i="1"/>
  <c r="BI125" i="1" s="1"/>
  <c r="BH124" i="1"/>
  <c r="BH125" i="1" s="1"/>
  <c r="BE124" i="1"/>
  <c r="BD124" i="1"/>
  <c r="AZ124" i="1"/>
  <c r="AY124" i="1"/>
  <c r="AW124" i="1"/>
  <c r="AW125" i="1" s="1"/>
  <c r="AU124" i="1"/>
  <c r="AU125" i="1" s="1"/>
  <c r="AT124" i="1"/>
  <c r="AT125" i="1" s="1"/>
  <c r="AP124" i="1"/>
  <c r="AO124" i="1"/>
  <c r="AN124" i="1"/>
  <c r="AN125" i="1" s="1"/>
  <c r="AK124" i="1"/>
  <c r="AJ124" i="1"/>
  <c r="AF124" i="1"/>
  <c r="AE124" i="1"/>
  <c r="AD124" i="1"/>
  <c r="AC124" i="1"/>
  <c r="AA124" i="1"/>
  <c r="AA125" i="1" s="1"/>
  <c r="Z124" i="1"/>
  <c r="Y124" i="1"/>
  <c r="X124" i="1"/>
  <c r="V124" i="1"/>
  <c r="U124" i="1"/>
  <c r="U125" i="1" s="1"/>
  <c r="T124" i="1"/>
  <c r="S124" i="1"/>
  <c r="Q124" i="1"/>
  <c r="P124" i="1"/>
  <c r="P125" i="1" s="1"/>
  <c r="O124" i="1"/>
  <c r="O125" i="1" s="1"/>
  <c r="N124" i="1"/>
  <c r="N125" i="1" s="1"/>
  <c r="L124" i="1"/>
  <c r="K124" i="1"/>
  <c r="J124" i="1"/>
  <c r="I124" i="1"/>
  <c r="BT123" i="1"/>
  <c r="BS123" i="1"/>
  <c r="BR123" i="1"/>
  <c r="BQ123" i="1"/>
  <c r="BU123" i="1" s="1"/>
  <c r="BP123" i="1"/>
  <c r="BK123" i="1"/>
  <c r="BF123" i="1"/>
  <c r="BA123" i="1"/>
  <c r="AV123" i="1"/>
  <c r="AQ123" i="1"/>
  <c r="AL123" i="1"/>
  <c r="AG123" i="1"/>
  <c r="AB123" i="1"/>
  <c r="W123" i="1"/>
  <c r="R123" i="1"/>
  <c r="M123" i="1"/>
  <c r="BT122" i="1"/>
  <c r="BS122" i="1"/>
  <c r="BR122" i="1"/>
  <c r="BU122" i="1" s="1"/>
  <c r="BQ122" i="1"/>
  <c r="BP122" i="1"/>
  <c r="BK122" i="1"/>
  <c r="BF122" i="1"/>
  <c r="BA122" i="1"/>
  <c r="AV122" i="1"/>
  <c r="AQ122" i="1"/>
  <c r="AL122" i="1"/>
  <c r="AG122" i="1"/>
  <c r="AB122" i="1"/>
  <c r="W122" i="1"/>
  <c r="R122" i="1"/>
  <c r="M122" i="1"/>
  <c r="BT121" i="1"/>
  <c r="BU121" i="1" s="1"/>
  <c r="BS121" i="1"/>
  <c r="BR121" i="1"/>
  <c r="BQ121" i="1"/>
  <c r="BP121" i="1"/>
  <c r="BK121" i="1"/>
  <c r="BF121" i="1"/>
  <c r="BA121" i="1"/>
  <c r="AV121" i="1"/>
  <c r="AQ121" i="1"/>
  <c r="AL121" i="1"/>
  <c r="AG121" i="1"/>
  <c r="AB121" i="1"/>
  <c r="W121" i="1"/>
  <c r="R121" i="1"/>
  <c r="M121" i="1"/>
  <c r="BT120" i="1"/>
  <c r="BS120" i="1"/>
  <c r="BR120" i="1"/>
  <c r="BQ120" i="1"/>
  <c r="BU120" i="1" s="1"/>
  <c r="BP120" i="1"/>
  <c r="BK120" i="1"/>
  <c r="BF120" i="1"/>
  <c r="BA120" i="1"/>
  <c r="AV120" i="1"/>
  <c r="AQ120" i="1"/>
  <c r="AL120" i="1"/>
  <c r="AG120" i="1"/>
  <c r="AB120" i="1"/>
  <c r="W120" i="1"/>
  <c r="R120" i="1"/>
  <c r="M120" i="1"/>
  <c r="BT119" i="1"/>
  <c r="BU119" i="1" s="1"/>
  <c r="BS119" i="1"/>
  <c r="BR119" i="1"/>
  <c r="BQ119" i="1"/>
  <c r="BP119" i="1"/>
  <c r="BK119" i="1"/>
  <c r="BF119" i="1"/>
  <c r="BA119" i="1"/>
  <c r="AV119" i="1"/>
  <c r="AQ119" i="1"/>
  <c r="AL119" i="1"/>
  <c r="AG119" i="1"/>
  <c r="AB119" i="1"/>
  <c r="W119" i="1"/>
  <c r="R119" i="1"/>
  <c r="M119" i="1"/>
  <c r="BT118" i="1"/>
  <c r="BS118" i="1"/>
  <c r="BR118" i="1"/>
  <c r="BQ118" i="1"/>
  <c r="BP118" i="1"/>
  <c r="BK118" i="1"/>
  <c r="BF118" i="1"/>
  <c r="BA118" i="1"/>
  <c r="AV118" i="1"/>
  <c r="AQ118" i="1"/>
  <c r="AL118" i="1"/>
  <c r="AG118" i="1"/>
  <c r="AB118" i="1"/>
  <c r="W118" i="1"/>
  <c r="R118" i="1"/>
  <c r="M118" i="1"/>
  <c r="BT117" i="1"/>
  <c r="BS117" i="1"/>
  <c r="BR117" i="1"/>
  <c r="BQ117" i="1"/>
  <c r="BU117" i="1" s="1"/>
  <c r="BP117" i="1"/>
  <c r="BK117" i="1"/>
  <c r="BF117" i="1"/>
  <c r="BA117" i="1"/>
  <c r="AV117" i="1"/>
  <c r="AQ117" i="1"/>
  <c r="AL117" i="1"/>
  <c r="AG117" i="1"/>
  <c r="AB117" i="1"/>
  <c r="W117" i="1"/>
  <c r="R117" i="1"/>
  <c r="M117" i="1"/>
  <c r="BT116" i="1"/>
  <c r="BS116" i="1"/>
  <c r="BQ116" i="1"/>
  <c r="BM116" i="1"/>
  <c r="BP116" i="1" s="1"/>
  <c r="BH116" i="1"/>
  <c r="BC116" i="1"/>
  <c r="BF116" i="1" s="1"/>
  <c r="AX116" i="1"/>
  <c r="BA116" i="1" s="1"/>
  <c r="AV116" i="1"/>
  <c r="AS116" i="1"/>
  <c r="AQ116" i="1"/>
  <c r="AN116" i="1"/>
  <c r="AL116" i="1"/>
  <c r="AG116" i="1"/>
  <c r="AB116" i="1"/>
  <c r="W116" i="1"/>
  <c r="R116" i="1"/>
  <c r="M116" i="1"/>
  <c r="BT115" i="1"/>
  <c r="BS115" i="1"/>
  <c r="BQ115" i="1"/>
  <c r="BP115" i="1"/>
  <c r="BM115" i="1"/>
  <c r="BH115" i="1"/>
  <c r="BK115" i="1" s="1"/>
  <c r="BC115" i="1"/>
  <c r="BF115" i="1" s="1"/>
  <c r="BA115" i="1"/>
  <c r="AX115" i="1"/>
  <c r="AV115" i="1"/>
  <c r="AS115" i="1"/>
  <c r="AN115" i="1"/>
  <c r="AQ115" i="1" s="1"/>
  <c r="AL115" i="1"/>
  <c r="AG115" i="1"/>
  <c r="AB115" i="1"/>
  <c r="W115" i="1"/>
  <c r="R115" i="1"/>
  <c r="M115" i="1"/>
  <c r="BT114" i="1"/>
  <c r="BS114" i="1"/>
  <c r="BR114" i="1"/>
  <c r="BQ114" i="1"/>
  <c r="BP114" i="1"/>
  <c r="BK114" i="1"/>
  <c r="BF114" i="1"/>
  <c r="BA114" i="1"/>
  <c r="AV114" i="1"/>
  <c r="AQ114" i="1"/>
  <c r="AL114" i="1"/>
  <c r="AG114" i="1"/>
  <c r="AB114" i="1"/>
  <c r="AB124" i="1" s="1"/>
  <c r="W114" i="1"/>
  <c r="R114" i="1"/>
  <c r="M114" i="1"/>
  <c r="BU113" i="1"/>
  <c r="BT113" i="1"/>
  <c r="BS113" i="1"/>
  <c r="BR113" i="1"/>
  <c r="BQ113" i="1"/>
  <c r="BP113" i="1"/>
  <c r="BK113" i="1"/>
  <c r="BF113" i="1"/>
  <c r="BA113" i="1"/>
  <c r="AV113" i="1"/>
  <c r="AQ113" i="1"/>
  <c r="AL113" i="1"/>
  <c r="AG113" i="1"/>
  <c r="AB113" i="1"/>
  <c r="W113" i="1"/>
  <c r="R113" i="1"/>
  <c r="M113" i="1"/>
  <c r="BT112" i="1"/>
  <c r="BS112" i="1"/>
  <c r="BR112" i="1"/>
  <c r="BQ112" i="1"/>
  <c r="BU112" i="1" s="1"/>
  <c r="BP112" i="1"/>
  <c r="BK112" i="1"/>
  <c r="BF112" i="1"/>
  <c r="BA112" i="1"/>
  <c r="AV112" i="1"/>
  <c r="AQ112" i="1"/>
  <c r="AL112" i="1"/>
  <c r="AG112" i="1"/>
  <c r="AB112" i="1"/>
  <c r="W112" i="1"/>
  <c r="R112" i="1"/>
  <c r="M112" i="1"/>
  <c r="M124" i="1" s="1"/>
  <c r="BT111" i="1"/>
  <c r="BS111" i="1"/>
  <c r="BR111" i="1"/>
  <c r="BQ111" i="1"/>
  <c r="BP111" i="1"/>
  <c r="BK111" i="1"/>
  <c r="BF111" i="1"/>
  <c r="BA111" i="1"/>
  <c r="AV111" i="1"/>
  <c r="AQ111" i="1"/>
  <c r="AL111" i="1"/>
  <c r="AG111" i="1"/>
  <c r="AB111" i="1"/>
  <c r="W111" i="1"/>
  <c r="R111" i="1"/>
  <c r="M111" i="1"/>
  <c r="BT110" i="1"/>
  <c r="BS110" i="1"/>
  <c r="BP110" i="1"/>
  <c r="BM110" i="1"/>
  <c r="BL110" i="1"/>
  <c r="BH110" i="1"/>
  <c r="BG110" i="1"/>
  <c r="BC110" i="1"/>
  <c r="BF110" i="1" s="1"/>
  <c r="BB110" i="1"/>
  <c r="BB124" i="1" s="1"/>
  <c r="BB125" i="1" s="1"/>
  <c r="AX110" i="1"/>
  <c r="AW110" i="1"/>
  <c r="BA110" i="1" s="1"/>
  <c r="AS110" i="1"/>
  <c r="AV110" i="1" s="1"/>
  <c r="AR110" i="1"/>
  <c r="AN110" i="1"/>
  <c r="AM110" i="1"/>
  <c r="AI110" i="1"/>
  <c r="AI124" i="1" s="1"/>
  <c r="AH110" i="1"/>
  <c r="AG110" i="1"/>
  <c r="AB110" i="1"/>
  <c r="W110" i="1"/>
  <c r="R110" i="1"/>
  <c r="M110" i="1"/>
  <c r="BT109" i="1"/>
  <c r="BS109" i="1"/>
  <c r="BM109" i="1"/>
  <c r="BM124" i="1" s="1"/>
  <c r="BL109" i="1"/>
  <c r="BK109" i="1"/>
  <c r="BH109" i="1"/>
  <c r="BG109" i="1"/>
  <c r="BF109" i="1"/>
  <c r="BC109" i="1"/>
  <c r="BB109" i="1"/>
  <c r="AX109" i="1"/>
  <c r="AW109" i="1"/>
  <c r="BA109" i="1" s="1"/>
  <c r="AS109" i="1"/>
  <c r="AR109" i="1"/>
  <c r="AQ109" i="1"/>
  <c r="AN109" i="1"/>
  <c r="AM109" i="1"/>
  <c r="AL109" i="1"/>
  <c r="AI109" i="1"/>
  <c r="AH109" i="1"/>
  <c r="AG109" i="1"/>
  <c r="AB109" i="1"/>
  <c r="W109" i="1"/>
  <c r="R109" i="1"/>
  <c r="M109" i="1"/>
  <c r="BT108" i="1"/>
  <c r="BU108" i="1" s="1"/>
  <c r="BS108" i="1"/>
  <c r="BR108" i="1"/>
  <c r="BQ108" i="1"/>
  <c r="BP108" i="1"/>
  <c r="BK108" i="1"/>
  <c r="BF108" i="1"/>
  <c r="BA108" i="1"/>
  <c r="AV108" i="1"/>
  <c r="AQ108" i="1"/>
  <c r="AL108" i="1"/>
  <c r="AG108" i="1"/>
  <c r="AG124" i="1" s="1"/>
  <c r="AB108" i="1"/>
  <c r="W108" i="1"/>
  <c r="R108" i="1"/>
  <c r="M108" i="1"/>
  <c r="BT107" i="1"/>
  <c r="BS107" i="1"/>
  <c r="BR107" i="1"/>
  <c r="BQ107" i="1"/>
  <c r="BP107" i="1"/>
  <c r="BK107" i="1"/>
  <c r="BF107" i="1"/>
  <c r="BA107" i="1"/>
  <c r="AV107" i="1"/>
  <c r="AQ107" i="1"/>
  <c r="AL107" i="1"/>
  <c r="AG107" i="1"/>
  <c r="AB107" i="1"/>
  <c r="W107" i="1"/>
  <c r="R107" i="1"/>
  <c r="M107" i="1"/>
  <c r="BT106" i="1"/>
  <c r="BS106" i="1"/>
  <c r="BR106" i="1"/>
  <c r="BQ106" i="1"/>
  <c r="BP106" i="1"/>
  <c r="BK106" i="1"/>
  <c r="BF106" i="1"/>
  <c r="BA106" i="1"/>
  <c r="AV106" i="1"/>
  <c r="AQ106" i="1"/>
  <c r="AL106" i="1"/>
  <c r="AG106" i="1"/>
  <c r="AB106" i="1"/>
  <c r="W106" i="1"/>
  <c r="R106" i="1"/>
  <c r="M106" i="1"/>
  <c r="BO105" i="1"/>
  <c r="BN105" i="1"/>
  <c r="BM105" i="1"/>
  <c r="BL105" i="1"/>
  <c r="BJ105" i="1"/>
  <c r="BI105" i="1"/>
  <c r="BH105" i="1"/>
  <c r="BG105" i="1"/>
  <c r="BE105" i="1"/>
  <c r="BD105" i="1"/>
  <c r="BC105" i="1"/>
  <c r="BB105" i="1"/>
  <c r="AZ105" i="1"/>
  <c r="AY105" i="1"/>
  <c r="AX105" i="1"/>
  <c r="AW105" i="1"/>
  <c r="AU105" i="1"/>
  <c r="AT105" i="1"/>
  <c r="AS105" i="1"/>
  <c r="AR105" i="1"/>
  <c r="AP105" i="1"/>
  <c r="AO105" i="1"/>
  <c r="AN105" i="1"/>
  <c r="AM105" i="1"/>
  <c r="AK105" i="1"/>
  <c r="AJ105" i="1"/>
  <c r="AJ125" i="1" s="1"/>
  <c r="AI105" i="1"/>
  <c r="AH105" i="1"/>
  <c r="AF105" i="1"/>
  <c r="AF125" i="1" s="1"/>
  <c r="AE105" i="1"/>
  <c r="AD105" i="1"/>
  <c r="AD125" i="1" s="1"/>
  <c r="AC105" i="1"/>
  <c r="AA105" i="1"/>
  <c r="Z105" i="1"/>
  <c r="Y105" i="1"/>
  <c r="Y125" i="1" s="1"/>
  <c r="X105" i="1"/>
  <c r="X125" i="1" s="1"/>
  <c r="V105" i="1"/>
  <c r="U105" i="1"/>
  <c r="T105" i="1"/>
  <c r="S105" i="1"/>
  <c r="S125" i="1" s="1"/>
  <c r="Q105" i="1"/>
  <c r="Q125" i="1" s="1"/>
  <c r="P105" i="1"/>
  <c r="O105" i="1"/>
  <c r="N105" i="1"/>
  <c r="L105" i="1"/>
  <c r="L125" i="1" s="1"/>
  <c r="K105" i="1"/>
  <c r="J105" i="1"/>
  <c r="BT104" i="1"/>
  <c r="BS104" i="1"/>
  <c r="BR104" i="1"/>
  <c r="BQ104" i="1"/>
  <c r="BU104" i="1" s="1"/>
  <c r="BP104" i="1"/>
  <c r="BK104" i="1"/>
  <c r="BF104" i="1"/>
  <c r="BA104" i="1"/>
  <c r="AV104" i="1"/>
  <c r="AQ104" i="1"/>
  <c r="AL104" i="1"/>
  <c r="AG104" i="1"/>
  <c r="AB104" i="1"/>
  <c r="W104" i="1"/>
  <c r="R104" i="1"/>
  <c r="M104" i="1"/>
  <c r="BU103" i="1"/>
  <c r="BT103" i="1"/>
  <c r="BS103" i="1"/>
  <c r="BR103" i="1"/>
  <c r="BQ103" i="1"/>
  <c r="BP103" i="1"/>
  <c r="BK103" i="1"/>
  <c r="BF103" i="1"/>
  <c r="BA103" i="1"/>
  <c r="AV103" i="1"/>
  <c r="AQ103" i="1"/>
  <c r="AL103" i="1"/>
  <c r="AG103" i="1"/>
  <c r="AB103" i="1"/>
  <c r="W103" i="1"/>
  <c r="R103" i="1"/>
  <c r="M103" i="1"/>
  <c r="BT102" i="1"/>
  <c r="BS102" i="1"/>
  <c r="BR102" i="1"/>
  <c r="BP102" i="1"/>
  <c r="BK102" i="1"/>
  <c r="BF102" i="1"/>
  <c r="BA102" i="1"/>
  <c r="AV102" i="1"/>
  <c r="AQ102" i="1"/>
  <c r="AL102" i="1"/>
  <c r="AG102" i="1"/>
  <c r="AB102" i="1"/>
  <c r="W102" i="1"/>
  <c r="R102" i="1"/>
  <c r="I102" i="1"/>
  <c r="BT101" i="1"/>
  <c r="BS101" i="1"/>
  <c r="BR101" i="1"/>
  <c r="BQ101" i="1"/>
  <c r="BU101" i="1" s="1"/>
  <c r="BP101" i="1"/>
  <c r="BK101" i="1"/>
  <c r="BF101" i="1"/>
  <c r="BA101" i="1"/>
  <c r="AV101" i="1"/>
  <c r="AQ101" i="1"/>
  <c r="AL101" i="1"/>
  <c r="AG101" i="1"/>
  <c r="AB101" i="1"/>
  <c r="W101" i="1"/>
  <c r="R101" i="1"/>
  <c r="M101" i="1"/>
  <c r="I101" i="1"/>
  <c r="BT100" i="1"/>
  <c r="BS100" i="1"/>
  <c r="BR100" i="1"/>
  <c r="BQ100" i="1"/>
  <c r="BP100" i="1"/>
  <c r="BK100" i="1"/>
  <c r="BF100" i="1"/>
  <c r="BA100" i="1"/>
  <c r="AV100" i="1"/>
  <c r="AQ100" i="1"/>
  <c r="AL100" i="1"/>
  <c r="AG100" i="1"/>
  <c r="AB100" i="1"/>
  <c r="W100" i="1"/>
  <c r="R100" i="1"/>
  <c r="M100" i="1"/>
  <c r="BT99" i="1"/>
  <c r="BS99" i="1"/>
  <c r="BR99" i="1"/>
  <c r="BQ99" i="1"/>
  <c r="BP99" i="1"/>
  <c r="BK99" i="1"/>
  <c r="BF99" i="1"/>
  <c r="BA99" i="1"/>
  <c r="AV99" i="1"/>
  <c r="AQ99" i="1"/>
  <c r="AL99" i="1"/>
  <c r="AG99" i="1"/>
  <c r="AB99" i="1"/>
  <c r="W99" i="1"/>
  <c r="R99" i="1"/>
  <c r="M99" i="1"/>
  <c r="BU98" i="1"/>
  <c r="BT98" i="1"/>
  <c r="BS98" i="1"/>
  <c r="BR98" i="1"/>
  <c r="BQ98" i="1"/>
  <c r="BP98" i="1"/>
  <c r="BK98" i="1"/>
  <c r="BF98" i="1"/>
  <c r="BA98" i="1"/>
  <c r="AV98" i="1"/>
  <c r="AQ98" i="1"/>
  <c r="AL98" i="1"/>
  <c r="AG98" i="1"/>
  <c r="AB98" i="1"/>
  <c r="W98" i="1"/>
  <c r="R98" i="1"/>
  <c r="M98" i="1"/>
  <c r="BT97" i="1"/>
  <c r="BS97" i="1"/>
  <c r="BR97" i="1"/>
  <c r="BQ97" i="1"/>
  <c r="BU97" i="1" s="1"/>
  <c r="BP97" i="1"/>
  <c r="BK97" i="1"/>
  <c r="BF97" i="1"/>
  <c r="BA97" i="1"/>
  <c r="AV97" i="1"/>
  <c r="AQ97" i="1"/>
  <c r="AL97" i="1"/>
  <c r="AG97" i="1"/>
  <c r="AB97" i="1"/>
  <c r="W97" i="1"/>
  <c r="R97" i="1"/>
  <c r="M97" i="1"/>
  <c r="BT96" i="1"/>
  <c r="BU96" i="1" s="1"/>
  <c r="BS96" i="1"/>
  <c r="BR96" i="1"/>
  <c r="BQ96" i="1"/>
  <c r="BP96" i="1"/>
  <c r="BP105" i="1" s="1"/>
  <c r="BK96" i="1"/>
  <c r="BF96" i="1"/>
  <c r="BA96" i="1"/>
  <c r="AV96" i="1"/>
  <c r="AQ96" i="1"/>
  <c r="AL96" i="1"/>
  <c r="AG96" i="1"/>
  <c r="AB96" i="1"/>
  <c r="W96" i="1"/>
  <c r="R96" i="1"/>
  <c r="M96" i="1"/>
  <c r="BU95" i="1"/>
  <c r="BT95" i="1"/>
  <c r="BS95" i="1"/>
  <c r="BR95" i="1"/>
  <c r="BQ95" i="1"/>
  <c r="BP95" i="1"/>
  <c r="BK95" i="1"/>
  <c r="BF95" i="1"/>
  <c r="BA95" i="1"/>
  <c r="AV95" i="1"/>
  <c r="AQ95" i="1"/>
  <c r="AL95" i="1"/>
  <c r="AG95" i="1"/>
  <c r="AB95" i="1"/>
  <c r="W95" i="1"/>
  <c r="R95" i="1"/>
  <c r="M95" i="1"/>
  <c r="BT94" i="1"/>
  <c r="BU94" i="1" s="1"/>
  <c r="BS94" i="1"/>
  <c r="BR94" i="1"/>
  <c r="BQ94" i="1"/>
  <c r="BP94" i="1"/>
  <c r="BK94" i="1"/>
  <c r="BF94" i="1"/>
  <c r="BA94" i="1"/>
  <c r="AV94" i="1"/>
  <c r="AQ94" i="1"/>
  <c r="AL94" i="1"/>
  <c r="AG94" i="1"/>
  <c r="AB94" i="1"/>
  <c r="W94" i="1"/>
  <c r="R94" i="1"/>
  <c r="M94" i="1"/>
  <c r="BT93" i="1"/>
  <c r="BS93" i="1"/>
  <c r="BR93" i="1"/>
  <c r="BQ93" i="1"/>
  <c r="BP93" i="1"/>
  <c r="BK93" i="1"/>
  <c r="BF93" i="1"/>
  <c r="BA93" i="1"/>
  <c r="AV93" i="1"/>
  <c r="AQ93" i="1"/>
  <c r="AL93" i="1"/>
  <c r="AG93" i="1"/>
  <c r="AB93" i="1"/>
  <c r="W93" i="1"/>
  <c r="R93" i="1"/>
  <c r="M93" i="1"/>
  <c r="BT92" i="1"/>
  <c r="BS92" i="1"/>
  <c r="BR92" i="1"/>
  <c r="BQ92" i="1"/>
  <c r="BU92" i="1" s="1"/>
  <c r="BP92" i="1"/>
  <c r="BK92" i="1"/>
  <c r="BF92" i="1"/>
  <c r="BA92" i="1"/>
  <c r="AV92" i="1"/>
  <c r="AQ92" i="1"/>
  <c r="AL92" i="1"/>
  <c r="AL105" i="1" s="1"/>
  <c r="AG92" i="1"/>
  <c r="AB92" i="1"/>
  <c r="W92" i="1"/>
  <c r="R92" i="1"/>
  <c r="M92" i="1"/>
  <c r="BU91" i="1"/>
  <c r="BT91" i="1"/>
  <c r="BS91" i="1"/>
  <c r="BR91" i="1"/>
  <c r="BQ91" i="1"/>
  <c r="BP91" i="1"/>
  <c r="BK91" i="1"/>
  <c r="BF91" i="1"/>
  <c r="BA91" i="1"/>
  <c r="AV91" i="1"/>
  <c r="AQ91" i="1"/>
  <c r="AL91" i="1"/>
  <c r="AG91" i="1"/>
  <c r="AB91" i="1"/>
  <c r="W91" i="1"/>
  <c r="R91" i="1"/>
  <c r="M91" i="1"/>
  <c r="BT90" i="1"/>
  <c r="BU90" i="1" s="1"/>
  <c r="BS90" i="1"/>
  <c r="BR90" i="1"/>
  <c r="BQ90" i="1"/>
  <c r="BP90" i="1"/>
  <c r="BK90" i="1"/>
  <c r="BF90" i="1"/>
  <c r="BA90" i="1"/>
  <c r="AV90" i="1"/>
  <c r="AQ90" i="1"/>
  <c r="AL90" i="1"/>
  <c r="AG90" i="1"/>
  <c r="AB90" i="1"/>
  <c r="W90" i="1"/>
  <c r="R90" i="1"/>
  <c r="M90" i="1"/>
  <c r="BU89" i="1"/>
  <c r="BT89" i="1"/>
  <c r="BS89" i="1"/>
  <c r="BR89" i="1"/>
  <c r="BQ89" i="1"/>
  <c r="BP89" i="1"/>
  <c r="BK89" i="1"/>
  <c r="BF89" i="1"/>
  <c r="BA89" i="1"/>
  <c r="AV89" i="1"/>
  <c r="AQ89" i="1"/>
  <c r="AL89" i="1"/>
  <c r="AG89" i="1"/>
  <c r="AB89" i="1"/>
  <c r="W89" i="1"/>
  <c r="R89" i="1"/>
  <c r="M89" i="1"/>
  <c r="BT88" i="1"/>
  <c r="BS88" i="1"/>
  <c r="BR88" i="1"/>
  <c r="BQ88" i="1"/>
  <c r="BP88" i="1"/>
  <c r="BK88" i="1"/>
  <c r="BF88" i="1"/>
  <c r="BA88" i="1"/>
  <c r="AV88" i="1"/>
  <c r="AQ88" i="1"/>
  <c r="AQ105" i="1" s="1"/>
  <c r="AL88" i="1"/>
  <c r="AG88" i="1"/>
  <c r="AB88" i="1"/>
  <c r="W88" i="1"/>
  <c r="R88" i="1"/>
  <c r="M88" i="1"/>
  <c r="BM87" i="1"/>
  <c r="BL87" i="1"/>
  <c r="BJ87" i="1"/>
  <c r="BI87" i="1"/>
  <c r="BH87" i="1"/>
  <c r="AZ87" i="1"/>
  <c r="AW87" i="1"/>
  <c r="AU87" i="1"/>
  <c r="AT87" i="1"/>
  <c r="AN87" i="1"/>
  <c r="AM87" i="1"/>
  <c r="AK87" i="1"/>
  <c r="AJ87" i="1"/>
  <c r="AI87" i="1"/>
  <c r="X87" i="1"/>
  <c r="L87" i="1"/>
  <c r="K87" i="1"/>
  <c r="J87" i="1"/>
  <c r="BO86" i="1"/>
  <c r="BO87" i="1" s="1"/>
  <c r="BN86" i="1"/>
  <c r="BM86" i="1"/>
  <c r="BL86" i="1"/>
  <c r="BJ86" i="1"/>
  <c r="BI86" i="1"/>
  <c r="BH86" i="1"/>
  <c r="BG86" i="1"/>
  <c r="BE86" i="1"/>
  <c r="BD86" i="1"/>
  <c r="BC86" i="1"/>
  <c r="BB86" i="1"/>
  <c r="AZ86" i="1"/>
  <c r="AY86" i="1"/>
  <c r="AY87" i="1" s="1"/>
  <c r="AX86" i="1"/>
  <c r="AX87" i="1" s="1"/>
  <c r="AW86" i="1"/>
  <c r="AU86" i="1"/>
  <c r="AT86" i="1"/>
  <c r="AS86" i="1"/>
  <c r="AR86" i="1"/>
  <c r="AP86" i="1"/>
  <c r="AO86" i="1"/>
  <c r="AN86" i="1"/>
  <c r="AM86" i="1"/>
  <c r="AL86" i="1"/>
  <c r="AK86" i="1"/>
  <c r="AJ86" i="1"/>
  <c r="AI86" i="1"/>
  <c r="AH86" i="1"/>
  <c r="AF86" i="1"/>
  <c r="AE86" i="1"/>
  <c r="AD86" i="1"/>
  <c r="AC86" i="1"/>
  <c r="AA86" i="1"/>
  <c r="AA87" i="1" s="1"/>
  <c r="Z86" i="1"/>
  <c r="Z87" i="1" s="1"/>
  <c r="Y86" i="1"/>
  <c r="Y87" i="1" s="1"/>
  <c r="X86" i="1"/>
  <c r="V86" i="1"/>
  <c r="U86" i="1"/>
  <c r="T86" i="1"/>
  <c r="S86" i="1"/>
  <c r="Q86" i="1"/>
  <c r="P86" i="1"/>
  <c r="O86" i="1"/>
  <c r="N86" i="1"/>
  <c r="L86" i="1"/>
  <c r="K86" i="1"/>
  <c r="J86" i="1"/>
  <c r="I86" i="1"/>
  <c r="BT85" i="1"/>
  <c r="BS85" i="1"/>
  <c r="BR85" i="1"/>
  <c r="BU85" i="1" s="1"/>
  <c r="BQ85" i="1"/>
  <c r="BP85" i="1"/>
  <c r="BK85" i="1"/>
  <c r="BF85" i="1"/>
  <c r="BA85" i="1"/>
  <c r="AV85" i="1"/>
  <c r="AQ85" i="1"/>
  <c r="AL85" i="1"/>
  <c r="AG85" i="1"/>
  <c r="AB85" i="1"/>
  <c r="W85" i="1"/>
  <c r="R85" i="1"/>
  <c r="M85" i="1"/>
  <c r="BT84" i="1"/>
  <c r="BS84" i="1"/>
  <c r="BR84" i="1"/>
  <c r="BQ84" i="1"/>
  <c r="BP84" i="1"/>
  <c r="BK84" i="1"/>
  <c r="BF84" i="1"/>
  <c r="BA84" i="1"/>
  <c r="AV84" i="1"/>
  <c r="AQ84" i="1"/>
  <c r="AL84" i="1"/>
  <c r="AG84" i="1"/>
  <c r="AB84" i="1"/>
  <c r="W84" i="1"/>
  <c r="R84" i="1"/>
  <c r="M84" i="1"/>
  <c r="BT83" i="1"/>
  <c r="BS83" i="1"/>
  <c r="BR83" i="1"/>
  <c r="BQ83" i="1"/>
  <c r="BP83" i="1"/>
  <c r="BK83" i="1"/>
  <c r="BF83" i="1"/>
  <c r="BA83" i="1"/>
  <c r="AV83" i="1"/>
  <c r="AQ83" i="1"/>
  <c r="AL83" i="1"/>
  <c r="AG83" i="1"/>
  <c r="AB83" i="1"/>
  <c r="W83" i="1"/>
  <c r="R83" i="1"/>
  <c r="M83" i="1"/>
  <c r="BT82" i="1"/>
  <c r="BS82" i="1"/>
  <c r="BR82" i="1"/>
  <c r="BQ82" i="1"/>
  <c r="BU82" i="1" s="1"/>
  <c r="BP82" i="1"/>
  <c r="BK82" i="1"/>
  <c r="BF82" i="1"/>
  <c r="BA82" i="1"/>
  <c r="AV82" i="1"/>
  <c r="AQ82" i="1"/>
  <c r="AL82" i="1"/>
  <c r="AG82" i="1"/>
  <c r="AB82" i="1"/>
  <c r="W82" i="1"/>
  <c r="R82" i="1"/>
  <c r="M82" i="1"/>
  <c r="BT81" i="1"/>
  <c r="BS81" i="1"/>
  <c r="BR81" i="1"/>
  <c r="BQ81" i="1"/>
  <c r="BP81" i="1"/>
  <c r="BK81" i="1"/>
  <c r="BF81" i="1"/>
  <c r="BA81" i="1"/>
  <c r="AV81" i="1"/>
  <c r="AQ81" i="1"/>
  <c r="AL81" i="1"/>
  <c r="AG81" i="1"/>
  <c r="AB81" i="1"/>
  <c r="W81" i="1"/>
  <c r="R81" i="1"/>
  <c r="M81" i="1"/>
  <c r="BT80" i="1"/>
  <c r="BS80" i="1"/>
  <c r="BR80" i="1"/>
  <c r="BQ80" i="1"/>
  <c r="BP80" i="1"/>
  <c r="BK80" i="1"/>
  <c r="BF80" i="1"/>
  <c r="BA80" i="1"/>
  <c r="AV80" i="1"/>
  <c r="AQ80" i="1"/>
  <c r="AL80" i="1"/>
  <c r="AG80" i="1"/>
  <c r="AB80" i="1"/>
  <c r="W80" i="1"/>
  <c r="R80" i="1"/>
  <c r="M80" i="1"/>
  <c r="BT79" i="1"/>
  <c r="BS79" i="1"/>
  <c r="BR79" i="1"/>
  <c r="BQ79" i="1"/>
  <c r="BU79" i="1" s="1"/>
  <c r="BP79" i="1"/>
  <c r="BK79" i="1"/>
  <c r="BF79" i="1"/>
  <c r="BA79" i="1"/>
  <c r="AV79" i="1"/>
  <c r="AQ79" i="1"/>
  <c r="AL79" i="1"/>
  <c r="AG79" i="1"/>
  <c r="AB79" i="1"/>
  <c r="W79" i="1"/>
  <c r="R79" i="1"/>
  <c r="M79" i="1"/>
  <c r="BT78" i="1"/>
  <c r="BS78" i="1"/>
  <c r="BR78" i="1"/>
  <c r="BQ78" i="1"/>
  <c r="BQ86" i="1" s="1"/>
  <c r="BP78" i="1"/>
  <c r="BP86" i="1" s="1"/>
  <c r="BK78" i="1"/>
  <c r="BF78" i="1"/>
  <c r="BA78" i="1"/>
  <c r="AV78" i="1"/>
  <c r="AQ78" i="1"/>
  <c r="AL78" i="1"/>
  <c r="AG78" i="1"/>
  <c r="AB78" i="1"/>
  <c r="W78" i="1"/>
  <c r="R78" i="1"/>
  <c r="M78" i="1"/>
  <c r="M86" i="1" s="1"/>
  <c r="BU77" i="1"/>
  <c r="BT77" i="1"/>
  <c r="BS77" i="1"/>
  <c r="BR77" i="1"/>
  <c r="BQ77" i="1"/>
  <c r="BP77" i="1"/>
  <c r="BK77" i="1"/>
  <c r="BF77" i="1"/>
  <c r="BA77" i="1"/>
  <c r="AV77" i="1"/>
  <c r="AQ77" i="1"/>
  <c r="AL77" i="1"/>
  <c r="AG77" i="1"/>
  <c r="AB77" i="1"/>
  <c r="W77" i="1"/>
  <c r="R77" i="1"/>
  <c r="M77" i="1"/>
  <c r="BT76" i="1"/>
  <c r="BS76" i="1"/>
  <c r="BR76" i="1"/>
  <c r="BQ76" i="1"/>
  <c r="BP76" i="1"/>
  <c r="BK76" i="1"/>
  <c r="BF76" i="1"/>
  <c r="BA76" i="1"/>
  <c r="AV76" i="1"/>
  <c r="AQ76" i="1"/>
  <c r="AL76" i="1"/>
  <c r="AG76" i="1"/>
  <c r="AB76" i="1"/>
  <c r="W76" i="1"/>
  <c r="R76" i="1"/>
  <c r="M76" i="1"/>
  <c r="BT75" i="1"/>
  <c r="BS75" i="1"/>
  <c r="BR75" i="1"/>
  <c r="BU75" i="1" s="1"/>
  <c r="BQ75" i="1"/>
  <c r="BP75" i="1"/>
  <c r="BK75" i="1"/>
  <c r="BF75" i="1"/>
  <c r="BA75" i="1"/>
  <c r="AV75" i="1"/>
  <c r="AQ75" i="1"/>
  <c r="AL75" i="1"/>
  <c r="AG75" i="1"/>
  <c r="AB75" i="1"/>
  <c r="W75" i="1"/>
  <c r="R75" i="1"/>
  <c r="M75" i="1"/>
  <c r="BT74" i="1"/>
  <c r="BS74" i="1"/>
  <c r="BR74" i="1"/>
  <c r="BQ74" i="1"/>
  <c r="BU74" i="1" s="1"/>
  <c r="BP74" i="1"/>
  <c r="BK74" i="1"/>
  <c r="BF74" i="1"/>
  <c r="BA74" i="1"/>
  <c r="AV74" i="1"/>
  <c r="AQ74" i="1"/>
  <c r="AL74" i="1"/>
  <c r="AG74" i="1"/>
  <c r="AB74" i="1"/>
  <c r="W74" i="1"/>
  <c r="R74" i="1"/>
  <c r="M74" i="1"/>
  <c r="BT73" i="1"/>
  <c r="BU73" i="1" s="1"/>
  <c r="BS73" i="1"/>
  <c r="BR73" i="1"/>
  <c r="BQ73" i="1"/>
  <c r="BP73" i="1"/>
  <c r="BK73" i="1"/>
  <c r="BF73" i="1"/>
  <c r="BA73" i="1"/>
  <c r="AV73" i="1"/>
  <c r="AQ73" i="1"/>
  <c r="AL73" i="1"/>
  <c r="AG73" i="1"/>
  <c r="AB73" i="1"/>
  <c r="W73" i="1"/>
  <c r="R73" i="1"/>
  <c r="M73" i="1"/>
  <c r="BU72" i="1"/>
  <c r="BT72" i="1"/>
  <c r="BS72" i="1"/>
  <c r="BR72" i="1"/>
  <c r="BQ72" i="1"/>
  <c r="BP72" i="1"/>
  <c r="BK72" i="1"/>
  <c r="BF72" i="1"/>
  <c r="BA72" i="1"/>
  <c r="AV72" i="1"/>
  <c r="AQ72" i="1"/>
  <c r="AL72" i="1"/>
  <c r="AG72" i="1"/>
  <c r="AB72" i="1"/>
  <c r="W72" i="1"/>
  <c r="R72" i="1"/>
  <c r="M72" i="1"/>
  <c r="BT71" i="1"/>
  <c r="BS71" i="1"/>
  <c r="BR71" i="1"/>
  <c r="BU71" i="1" s="1"/>
  <c r="BQ71" i="1"/>
  <c r="BP71" i="1"/>
  <c r="BK71" i="1"/>
  <c r="BF71" i="1"/>
  <c r="BA71" i="1"/>
  <c r="AV71" i="1"/>
  <c r="AQ71" i="1"/>
  <c r="AL71" i="1"/>
  <c r="AG71" i="1"/>
  <c r="AB71" i="1"/>
  <c r="W71" i="1"/>
  <c r="R71" i="1"/>
  <c r="M71" i="1"/>
  <c r="BT70" i="1"/>
  <c r="BS70" i="1"/>
  <c r="BR70" i="1"/>
  <c r="BQ70" i="1"/>
  <c r="BP70" i="1"/>
  <c r="BK70" i="1"/>
  <c r="BF70" i="1"/>
  <c r="BA70" i="1"/>
  <c r="AV70" i="1"/>
  <c r="AQ70" i="1"/>
  <c r="AL70" i="1"/>
  <c r="AG70" i="1"/>
  <c r="AB70" i="1"/>
  <c r="W70" i="1"/>
  <c r="R70" i="1"/>
  <c r="M70" i="1"/>
  <c r="BT69" i="1"/>
  <c r="BS69" i="1"/>
  <c r="BR69" i="1"/>
  <c r="BQ69" i="1"/>
  <c r="BU69" i="1" s="1"/>
  <c r="BP69" i="1"/>
  <c r="BK69" i="1"/>
  <c r="BF69" i="1"/>
  <c r="BA69" i="1"/>
  <c r="AV69" i="1"/>
  <c r="AQ69" i="1"/>
  <c r="AL69" i="1"/>
  <c r="AG69" i="1"/>
  <c r="AB69" i="1"/>
  <c r="W69" i="1"/>
  <c r="R69" i="1"/>
  <c r="M69" i="1"/>
  <c r="BT68" i="1"/>
  <c r="BU68" i="1" s="1"/>
  <c r="BS68" i="1"/>
  <c r="BR68" i="1"/>
  <c r="BQ68" i="1"/>
  <c r="BP68" i="1"/>
  <c r="BK68" i="1"/>
  <c r="BF68" i="1"/>
  <c r="BA68" i="1"/>
  <c r="AV68" i="1"/>
  <c r="AQ68" i="1"/>
  <c r="AL68" i="1"/>
  <c r="AG68" i="1"/>
  <c r="AB68" i="1"/>
  <c r="W68" i="1"/>
  <c r="R68" i="1"/>
  <c r="M68" i="1"/>
  <c r="BU67" i="1"/>
  <c r="BT67" i="1"/>
  <c r="BS67" i="1"/>
  <c r="BR67" i="1"/>
  <c r="BQ67" i="1"/>
  <c r="BP67" i="1"/>
  <c r="BK67" i="1"/>
  <c r="BF67" i="1"/>
  <c r="BA67" i="1"/>
  <c r="AV67" i="1"/>
  <c r="AQ67" i="1"/>
  <c r="AL67" i="1"/>
  <c r="AG67" i="1"/>
  <c r="AB67" i="1"/>
  <c r="W67" i="1"/>
  <c r="R67" i="1"/>
  <c r="M67" i="1"/>
  <c r="BT66" i="1"/>
  <c r="BS66" i="1"/>
  <c r="BR66" i="1"/>
  <c r="BU66" i="1" s="1"/>
  <c r="BQ66" i="1"/>
  <c r="BP66" i="1"/>
  <c r="BK66" i="1"/>
  <c r="BF66" i="1"/>
  <c r="BA66" i="1"/>
  <c r="AV66" i="1"/>
  <c r="AQ66" i="1"/>
  <c r="AL66" i="1"/>
  <c r="AG66" i="1"/>
  <c r="AB66" i="1"/>
  <c r="W66" i="1"/>
  <c r="R66" i="1"/>
  <c r="R86" i="1" s="1"/>
  <c r="M66" i="1"/>
  <c r="BT65" i="1"/>
  <c r="BS65" i="1"/>
  <c r="BR65" i="1"/>
  <c r="BQ65" i="1"/>
  <c r="BP65" i="1"/>
  <c r="BK65" i="1"/>
  <c r="BF65" i="1"/>
  <c r="BA65" i="1"/>
  <c r="AV65" i="1"/>
  <c r="AQ65" i="1"/>
  <c r="AQ86" i="1" s="1"/>
  <c r="AL65" i="1"/>
  <c r="AG65" i="1"/>
  <c r="AB65" i="1"/>
  <c r="W65" i="1"/>
  <c r="R65" i="1"/>
  <c r="M65" i="1"/>
  <c r="BO64" i="1"/>
  <c r="BN64" i="1"/>
  <c r="BM64" i="1"/>
  <c r="BL64" i="1"/>
  <c r="BJ64" i="1"/>
  <c r="BI64" i="1"/>
  <c r="BH64" i="1"/>
  <c r="BG64" i="1"/>
  <c r="BE64" i="1"/>
  <c r="BD64" i="1"/>
  <c r="BC64" i="1"/>
  <c r="BB64" i="1"/>
  <c r="AZ64" i="1"/>
  <c r="AY64" i="1"/>
  <c r="AX64" i="1"/>
  <c r="AW64" i="1"/>
  <c r="AU64" i="1"/>
  <c r="AT64" i="1"/>
  <c r="AS64" i="1"/>
  <c r="AR64" i="1"/>
  <c r="AP64" i="1"/>
  <c r="AO64" i="1"/>
  <c r="AO87" i="1" s="1"/>
  <c r="AN64" i="1"/>
  <c r="AM64" i="1"/>
  <c r="AK64" i="1"/>
  <c r="AJ64" i="1"/>
  <c r="AI64" i="1"/>
  <c r="AH64" i="1"/>
  <c r="AF64" i="1"/>
  <c r="AE64" i="1"/>
  <c r="AD64" i="1"/>
  <c r="AC64" i="1"/>
  <c r="AA64" i="1"/>
  <c r="Z64" i="1"/>
  <c r="Y64" i="1"/>
  <c r="X64" i="1"/>
  <c r="V64" i="1"/>
  <c r="V87" i="1" s="1"/>
  <c r="U64" i="1"/>
  <c r="U87" i="1" s="1"/>
  <c r="T64" i="1"/>
  <c r="S64" i="1"/>
  <c r="Q64" i="1"/>
  <c r="P64" i="1"/>
  <c r="O64" i="1"/>
  <c r="O87" i="1" s="1"/>
  <c r="N64" i="1"/>
  <c r="L64" i="1"/>
  <c r="K64" i="1"/>
  <c r="J64" i="1"/>
  <c r="I64" i="1"/>
  <c r="BU63" i="1"/>
  <c r="BT63" i="1"/>
  <c r="BS63" i="1"/>
  <c r="BR63" i="1"/>
  <c r="BQ63" i="1"/>
  <c r="BP63" i="1"/>
  <c r="BK63" i="1"/>
  <c r="BF63" i="1"/>
  <c r="BA63" i="1"/>
  <c r="AV63" i="1"/>
  <c r="AQ63" i="1"/>
  <c r="AL63" i="1"/>
  <c r="AG63" i="1"/>
  <c r="AB63" i="1"/>
  <c r="W63" i="1"/>
  <c r="R63" i="1"/>
  <c r="M63" i="1"/>
  <c r="BU62" i="1"/>
  <c r="BT62" i="1"/>
  <c r="BS62" i="1"/>
  <c r="BR62" i="1"/>
  <c r="BQ62" i="1"/>
  <c r="BP62" i="1"/>
  <c r="BK62" i="1"/>
  <c r="BF62" i="1"/>
  <c r="BA62" i="1"/>
  <c r="AV62" i="1"/>
  <c r="AQ62" i="1"/>
  <c r="AL62" i="1"/>
  <c r="AG62" i="1"/>
  <c r="AB62" i="1"/>
  <c r="W62" i="1"/>
  <c r="R62" i="1"/>
  <c r="M62" i="1"/>
  <c r="BT61" i="1"/>
  <c r="BS61" i="1"/>
  <c r="BR61" i="1"/>
  <c r="BQ61" i="1"/>
  <c r="BP61" i="1"/>
  <c r="BK61" i="1"/>
  <c r="BF61" i="1"/>
  <c r="BA61" i="1"/>
  <c r="AV61" i="1"/>
  <c r="AQ61" i="1"/>
  <c r="AL61" i="1"/>
  <c r="AG61" i="1"/>
  <c r="AB61" i="1"/>
  <c r="W61" i="1"/>
  <c r="R61" i="1"/>
  <c r="M61" i="1"/>
  <c r="BT60" i="1"/>
  <c r="BU60" i="1" s="1"/>
  <c r="BS60" i="1"/>
  <c r="BR60" i="1"/>
  <c r="BQ60" i="1"/>
  <c r="BP60" i="1"/>
  <c r="BK60" i="1"/>
  <c r="BF60" i="1"/>
  <c r="BA60" i="1"/>
  <c r="AV60" i="1"/>
  <c r="AQ60" i="1"/>
  <c r="AL60" i="1"/>
  <c r="AG60" i="1"/>
  <c r="AB60" i="1"/>
  <c r="W60" i="1"/>
  <c r="R60" i="1"/>
  <c r="M60" i="1"/>
  <c r="BT59" i="1"/>
  <c r="BS59" i="1"/>
  <c r="BR59" i="1"/>
  <c r="BQ59" i="1"/>
  <c r="BU59" i="1" s="1"/>
  <c r="BP59" i="1"/>
  <c r="BK59" i="1"/>
  <c r="BF59" i="1"/>
  <c r="BA59" i="1"/>
  <c r="AV59" i="1"/>
  <c r="AQ59" i="1"/>
  <c r="AL59" i="1"/>
  <c r="AG59" i="1"/>
  <c r="AB59" i="1"/>
  <c r="W59" i="1"/>
  <c r="R59" i="1"/>
  <c r="M59" i="1"/>
  <c r="BT58" i="1"/>
  <c r="BU58" i="1" s="1"/>
  <c r="BS58" i="1"/>
  <c r="BR58" i="1"/>
  <c r="BQ58" i="1"/>
  <c r="BP58" i="1"/>
  <c r="BK58" i="1"/>
  <c r="BF58" i="1"/>
  <c r="BA58" i="1"/>
  <c r="AV58" i="1"/>
  <c r="AQ58" i="1"/>
  <c r="AL58" i="1"/>
  <c r="AG58" i="1"/>
  <c r="AB58" i="1"/>
  <c r="W58" i="1"/>
  <c r="R58" i="1"/>
  <c r="M58" i="1"/>
  <c r="BT57" i="1"/>
  <c r="BS57" i="1"/>
  <c r="BR57" i="1"/>
  <c r="BQ57" i="1"/>
  <c r="BP57" i="1"/>
  <c r="BK57" i="1"/>
  <c r="BF57" i="1"/>
  <c r="BA57" i="1"/>
  <c r="AV57" i="1"/>
  <c r="AQ57" i="1"/>
  <c r="AL57" i="1"/>
  <c r="AG57" i="1"/>
  <c r="AB57" i="1"/>
  <c r="W57" i="1"/>
  <c r="R57" i="1"/>
  <c r="M57" i="1"/>
  <c r="BT56" i="1"/>
  <c r="BS56" i="1"/>
  <c r="BR56" i="1"/>
  <c r="BQ56" i="1"/>
  <c r="BU56" i="1" s="1"/>
  <c r="BP56" i="1"/>
  <c r="BK56" i="1"/>
  <c r="BF56" i="1"/>
  <c r="BA56" i="1"/>
  <c r="AV56" i="1"/>
  <c r="AQ56" i="1"/>
  <c r="AL56" i="1"/>
  <c r="AG56" i="1"/>
  <c r="AB56" i="1"/>
  <c r="W56" i="1"/>
  <c r="R56" i="1"/>
  <c r="M56" i="1"/>
  <c r="BU55" i="1"/>
  <c r="BT55" i="1"/>
  <c r="BS55" i="1"/>
  <c r="BR55" i="1"/>
  <c r="BQ55" i="1"/>
  <c r="BP55" i="1"/>
  <c r="BK55" i="1"/>
  <c r="BF55" i="1"/>
  <c r="BA55" i="1"/>
  <c r="AV55" i="1"/>
  <c r="AQ55" i="1"/>
  <c r="AL55" i="1"/>
  <c r="AG55" i="1"/>
  <c r="AB55" i="1"/>
  <c r="W55" i="1"/>
  <c r="R55" i="1"/>
  <c r="M55" i="1"/>
  <c r="BT54" i="1"/>
  <c r="BS54" i="1"/>
  <c r="BR54" i="1"/>
  <c r="BQ54" i="1"/>
  <c r="BP54" i="1"/>
  <c r="BK54" i="1"/>
  <c r="BF54" i="1"/>
  <c r="BA54" i="1"/>
  <c r="AV54" i="1"/>
  <c r="AQ54" i="1"/>
  <c r="AL54" i="1"/>
  <c r="AG54" i="1"/>
  <c r="AB54" i="1"/>
  <c r="W54" i="1"/>
  <c r="R54" i="1"/>
  <c r="M54" i="1"/>
  <c r="BT53" i="1"/>
  <c r="BS53" i="1"/>
  <c r="BS64" i="1" s="1"/>
  <c r="BR53" i="1"/>
  <c r="BU53" i="1" s="1"/>
  <c r="BQ53" i="1"/>
  <c r="BP53" i="1"/>
  <c r="BK53" i="1"/>
  <c r="BF53" i="1"/>
  <c r="BA53" i="1"/>
  <c r="AV53" i="1"/>
  <c r="AQ53" i="1"/>
  <c r="AL53" i="1"/>
  <c r="AG53" i="1"/>
  <c r="AB53" i="1"/>
  <c r="W53" i="1"/>
  <c r="R53" i="1"/>
  <c r="M53" i="1"/>
  <c r="BT52" i="1"/>
  <c r="BS52" i="1"/>
  <c r="BR52" i="1"/>
  <c r="BQ52" i="1"/>
  <c r="BP52" i="1"/>
  <c r="BK52" i="1"/>
  <c r="BF52" i="1"/>
  <c r="BA52" i="1"/>
  <c r="AV52" i="1"/>
  <c r="AQ52" i="1"/>
  <c r="AL52" i="1"/>
  <c r="AG52" i="1"/>
  <c r="AB52" i="1"/>
  <c r="W52" i="1"/>
  <c r="R52" i="1"/>
  <c r="M52" i="1"/>
  <c r="BT51" i="1"/>
  <c r="BS51" i="1"/>
  <c r="BR51" i="1"/>
  <c r="BQ51" i="1"/>
  <c r="BP51" i="1"/>
  <c r="BK51" i="1"/>
  <c r="BF51" i="1"/>
  <c r="BA51" i="1"/>
  <c r="AV51" i="1"/>
  <c r="AQ51" i="1"/>
  <c r="AL51" i="1"/>
  <c r="AG51" i="1"/>
  <c r="AB51" i="1"/>
  <c r="W51" i="1"/>
  <c r="R51" i="1"/>
  <c r="M51" i="1"/>
  <c r="BT50" i="1"/>
  <c r="BS50" i="1"/>
  <c r="BR50" i="1"/>
  <c r="BQ50" i="1"/>
  <c r="BU50" i="1" s="1"/>
  <c r="BP50" i="1"/>
  <c r="BK50" i="1"/>
  <c r="BF50" i="1"/>
  <c r="BA50" i="1"/>
  <c r="AV50" i="1"/>
  <c r="AQ50" i="1"/>
  <c r="AL50" i="1"/>
  <c r="AG50" i="1"/>
  <c r="AB50" i="1"/>
  <c r="W50" i="1"/>
  <c r="R50" i="1"/>
  <c r="M50" i="1"/>
  <c r="BT49" i="1"/>
  <c r="BS49" i="1"/>
  <c r="BR49" i="1"/>
  <c r="BQ49" i="1"/>
  <c r="BP49" i="1"/>
  <c r="BK49" i="1"/>
  <c r="BF49" i="1"/>
  <c r="BA49" i="1"/>
  <c r="AV49" i="1"/>
  <c r="AQ49" i="1"/>
  <c r="AL49" i="1"/>
  <c r="AG49" i="1"/>
  <c r="AB49" i="1"/>
  <c r="W49" i="1"/>
  <c r="R49" i="1"/>
  <c r="M49" i="1"/>
  <c r="BT48" i="1"/>
  <c r="BS48" i="1"/>
  <c r="BU48" i="1" s="1"/>
  <c r="BR48" i="1"/>
  <c r="BQ48" i="1"/>
  <c r="BP48" i="1"/>
  <c r="BK48" i="1"/>
  <c r="BF48" i="1"/>
  <c r="BA48" i="1"/>
  <c r="AV48" i="1"/>
  <c r="AQ48" i="1"/>
  <c r="AL48" i="1"/>
  <c r="AG48" i="1"/>
  <c r="AB48" i="1"/>
  <c r="W48" i="1"/>
  <c r="R48" i="1"/>
  <c r="M48" i="1"/>
  <c r="BT47" i="1"/>
  <c r="BU47" i="1" s="1"/>
  <c r="BS47" i="1"/>
  <c r="BR47" i="1"/>
  <c r="BQ47" i="1"/>
  <c r="BP47" i="1"/>
  <c r="BK47" i="1"/>
  <c r="BF47" i="1"/>
  <c r="BA47" i="1"/>
  <c r="AV47" i="1"/>
  <c r="AQ47" i="1"/>
  <c r="AL47" i="1"/>
  <c r="AG47" i="1"/>
  <c r="AB47" i="1"/>
  <c r="W47" i="1"/>
  <c r="R47" i="1"/>
  <c r="M47" i="1"/>
  <c r="BT46" i="1"/>
  <c r="BU46" i="1" s="1"/>
  <c r="BS46" i="1"/>
  <c r="BR46" i="1"/>
  <c r="BQ46" i="1"/>
  <c r="BP46" i="1"/>
  <c r="BK46" i="1"/>
  <c r="BF46" i="1"/>
  <c r="BA46" i="1"/>
  <c r="AV46" i="1"/>
  <c r="AQ46" i="1"/>
  <c r="AL46" i="1"/>
  <c r="AG46" i="1"/>
  <c r="AB46" i="1"/>
  <c r="W46" i="1"/>
  <c r="R46" i="1"/>
  <c r="M46" i="1"/>
  <c r="BT45" i="1"/>
  <c r="BS45" i="1"/>
  <c r="BR45" i="1"/>
  <c r="BQ45" i="1"/>
  <c r="BU45" i="1" s="1"/>
  <c r="BP45" i="1"/>
  <c r="BK45" i="1"/>
  <c r="BF45" i="1"/>
  <c r="BA45" i="1"/>
  <c r="AV45" i="1"/>
  <c r="AQ45" i="1"/>
  <c r="AL45" i="1"/>
  <c r="AG45" i="1"/>
  <c r="AB45" i="1"/>
  <c r="W45" i="1"/>
  <c r="R45" i="1"/>
  <c r="M45" i="1"/>
  <c r="BT44" i="1"/>
  <c r="BS44" i="1"/>
  <c r="BR44" i="1"/>
  <c r="BQ44" i="1"/>
  <c r="BP44" i="1"/>
  <c r="BK44" i="1"/>
  <c r="BF44" i="1"/>
  <c r="BA44" i="1"/>
  <c r="AV44" i="1"/>
  <c r="AQ44" i="1"/>
  <c r="AL44" i="1"/>
  <c r="AG44" i="1"/>
  <c r="AB44" i="1"/>
  <c r="W44" i="1"/>
  <c r="R44" i="1"/>
  <c r="M44" i="1"/>
  <c r="BU43" i="1"/>
  <c r="BT43" i="1"/>
  <c r="BS43" i="1"/>
  <c r="BR43" i="1"/>
  <c r="BQ43" i="1"/>
  <c r="BP43" i="1"/>
  <c r="BK43" i="1"/>
  <c r="BF43" i="1"/>
  <c r="BA43" i="1"/>
  <c r="AV43" i="1"/>
  <c r="AQ43" i="1"/>
  <c r="AL43" i="1"/>
  <c r="AG43" i="1"/>
  <c r="AB43" i="1"/>
  <c r="W43" i="1"/>
  <c r="R43" i="1"/>
  <c r="M43" i="1"/>
  <c r="BT42" i="1"/>
  <c r="BU42" i="1" s="1"/>
  <c r="BS42" i="1"/>
  <c r="BR42" i="1"/>
  <c r="BQ42" i="1"/>
  <c r="BP42" i="1"/>
  <c r="BK42" i="1"/>
  <c r="BF42" i="1"/>
  <c r="BA42" i="1"/>
  <c r="AV42" i="1"/>
  <c r="AQ42" i="1"/>
  <c r="AL42" i="1"/>
  <c r="AG42" i="1"/>
  <c r="AB42" i="1"/>
  <c r="W42" i="1"/>
  <c r="R42" i="1"/>
  <c r="M42" i="1"/>
  <c r="BU41" i="1"/>
  <c r="BT41" i="1"/>
  <c r="BS41" i="1"/>
  <c r="BR41" i="1"/>
  <c r="BQ41" i="1"/>
  <c r="BP41" i="1"/>
  <c r="BK41" i="1"/>
  <c r="BF41" i="1"/>
  <c r="BA41" i="1"/>
  <c r="AV41" i="1"/>
  <c r="AQ41" i="1"/>
  <c r="AL41" i="1"/>
  <c r="AG41" i="1"/>
  <c r="AB41" i="1"/>
  <c r="W41" i="1"/>
  <c r="R41" i="1"/>
  <c r="M41" i="1"/>
  <c r="BT40" i="1"/>
  <c r="BS40" i="1"/>
  <c r="BR40" i="1"/>
  <c r="BQ40" i="1"/>
  <c r="BU40" i="1" s="1"/>
  <c r="BP40" i="1"/>
  <c r="BK40" i="1"/>
  <c r="BF40" i="1"/>
  <c r="BA40" i="1"/>
  <c r="AV40" i="1"/>
  <c r="AQ40" i="1"/>
  <c r="AL40" i="1"/>
  <c r="AG40" i="1"/>
  <c r="AB40" i="1"/>
  <c r="W40" i="1"/>
  <c r="R40" i="1"/>
  <c r="M40" i="1"/>
  <c r="BT39" i="1"/>
  <c r="BS39" i="1"/>
  <c r="BR39" i="1"/>
  <c r="BR64" i="1" s="1"/>
  <c r="BQ39" i="1"/>
  <c r="BP39" i="1"/>
  <c r="BK39" i="1"/>
  <c r="BF39" i="1"/>
  <c r="BA39" i="1"/>
  <c r="AV39" i="1"/>
  <c r="AQ39" i="1"/>
  <c r="AL39" i="1"/>
  <c r="AG39" i="1"/>
  <c r="AB39" i="1"/>
  <c r="W39" i="1"/>
  <c r="R39" i="1"/>
  <c r="R64" i="1" s="1"/>
  <c r="M39" i="1"/>
  <c r="BU38" i="1"/>
  <c r="BT38" i="1"/>
  <c r="BS38" i="1"/>
  <c r="BR38" i="1"/>
  <c r="BQ38" i="1"/>
  <c r="BP38" i="1"/>
  <c r="BK38" i="1"/>
  <c r="BF38" i="1"/>
  <c r="BA38" i="1"/>
  <c r="AV38" i="1"/>
  <c r="AQ38" i="1"/>
  <c r="AQ64" i="1" s="1"/>
  <c r="AL38" i="1"/>
  <c r="AG38" i="1"/>
  <c r="AG64" i="1" s="1"/>
  <c r="AB38" i="1"/>
  <c r="W38" i="1"/>
  <c r="R38" i="1"/>
  <c r="M38" i="1"/>
  <c r="BT37" i="1"/>
  <c r="BU37" i="1" s="1"/>
  <c r="BS37" i="1"/>
  <c r="BR37" i="1"/>
  <c r="BQ37" i="1"/>
  <c r="BP37" i="1"/>
  <c r="BK37" i="1"/>
  <c r="BF37" i="1"/>
  <c r="BF64" i="1" s="1"/>
  <c r="BA37" i="1"/>
  <c r="AV37" i="1"/>
  <c r="AQ37" i="1"/>
  <c r="AL37" i="1"/>
  <c r="AG37" i="1"/>
  <c r="AB37" i="1"/>
  <c r="W37" i="1"/>
  <c r="R37" i="1"/>
  <c r="M37" i="1"/>
  <c r="BO36" i="1"/>
  <c r="BN36" i="1"/>
  <c r="BM36" i="1"/>
  <c r="BL36" i="1"/>
  <c r="BJ36" i="1"/>
  <c r="BI36" i="1"/>
  <c r="BH36" i="1"/>
  <c r="BG36" i="1"/>
  <c r="BE36" i="1"/>
  <c r="BD36" i="1"/>
  <c r="BC36" i="1"/>
  <c r="BB36" i="1"/>
  <c r="AZ36" i="1"/>
  <c r="AY36" i="1"/>
  <c r="AX36" i="1"/>
  <c r="AW36" i="1"/>
  <c r="AU36" i="1"/>
  <c r="AT36" i="1"/>
  <c r="AS36" i="1"/>
  <c r="AR36" i="1"/>
  <c r="AP36" i="1"/>
  <c r="AO36" i="1"/>
  <c r="AN36" i="1"/>
  <c r="AM36" i="1"/>
  <c r="AK36" i="1"/>
  <c r="AJ36" i="1"/>
  <c r="AI36" i="1"/>
  <c r="AH36" i="1"/>
  <c r="AF36" i="1"/>
  <c r="AE36" i="1"/>
  <c r="AD36" i="1"/>
  <c r="AC36" i="1"/>
  <c r="AA36" i="1"/>
  <c r="Z36" i="1"/>
  <c r="Y36" i="1"/>
  <c r="X36" i="1"/>
  <c r="V36" i="1"/>
  <c r="U36" i="1"/>
  <c r="T36" i="1"/>
  <c r="T87" i="1" s="1"/>
  <c r="S36" i="1"/>
  <c r="Q36" i="1"/>
  <c r="Q87" i="1" s="1"/>
  <c r="P36" i="1"/>
  <c r="P87" i="1" s="1"/>
  <c r="O36" i="1"/>
  <c r="L36" i="1"/>
  <c r="K36" i="1"/>
  <c r="J36" i="1"/>
  <c r="BT35" i="1"/>
  <c r="BS35" i="1"/>
  <c r="BR35" i="1"/>
  <c r="BQ35" i="1"/>
  <c r="BU35" i="1" s="1"/>
  <c r="BP35" i="1"/>
  <c r="BK35" i="1"/>
  <c r="BF35" i="1"/>
  <c r="BA35" i="1"/>
  <c r="AV35" i="1"/>
  <c r="AQ35" i="1"/>
  <c r="AL35" i="1"/>
  <c r="AG35" i="1"/>
  <c r="AB35" i="1"/>
  <c r="W35" i="1"/>
  <c r="R35" i="1"/>
  <c r="M35" i="1"/>
  <c r="BU34" i="1"/>
  <c r="BT34" i="1"/>
  <c r="BS34" i="1"/>
  <c r="BR34" i="1"/>
  <c r="BQ34" i="1"/>
  <c r="BP34" i="1"/>
  <c r="BK34" i="1"/>
  <c r="BF34" i="1"/>
  <c r="BA34" i="1"/>
  <c r="AV34" i="1"/>
  <c r="AQ34" i="1"/>
  <c r="AL34" i="1"/>
  <c r="AG34" i="1"/>
  <c r="AB34" i="1"/>
  <c r="W34" i="1"/>
  <c r="R34" i="1"/>
  <c r="M34" i="1"/>
  <c r="BT33" i="1"/>
  <c r="BS33" i="1"/>
  <c r="BR33" i="1"/>
  <c r="BQ33" i="1"/>
  <c r="BU33" i="1" s="1"/>
  <c r="BP33" i="1"/>
  <c r="BK33" i="1"/>
  <c r="BF33" i="1"/>
  <c r="BA33" i="1"/>
  <c r="AV33" i="1"/>
  <c r="AQ33" i="1"/>
  <c r="AL33" i="1"/>
  <c r="AG33" i="1"/>
  <c r="AB33" i="1"/>
  <c r="W33" i="1"/>
  <c r="R33" i="1"/>
  <c r="M33" i="1"/>
  <c r="BT32" i="1"/>
  <c r="BS32" i="1"/>
  <c r="BR32" i="1"/>
  <c r="BU32" i="1" s="1"/>
  <c r="BQ32" i="1"/>
  <c r="BP32" i="1"/>
  <c r="BK32" i="1"/>
  <c r="BF32" i="1"/>
  <c r="BA32" i="1"/>
  <c r="AV32" i="1"/>
  <c r="AQ32" i="1"/>
  <c r="AL32" i="1"/>
  <c r="AG32" i="1"/>
  <c r="AB32" i="1"/>
  <c r="W32" i="1"/>
  <c r="R32" i="1"/>
  <c r="M32" i="1"/>
  <c r="BT31" i="1"/>
  <c r="BU31" i="1" s="1"/>
  <c r="BS31" i="1"/>
  <c r="BR31" i="1"/>
  <c r="BQ31" i="1"/>
  <c r="BP31" i="1"/>
  <c r="BK31" i="1"/>
  <c r="BF31" i="1"/>
  <c r="BA31" i="1"/>
  <c r="AV31" i="1"/>
  <c r="AQ31" i="1"/>
  <c r="AL31" i="1"/>
  <c r="AG31" i="1"/>
  <c r="AB31" i="1"/>
  <c r="W31" i="1"/>
  <c r="R31" i="1"/>
  <c r="M31" i="1"/>
  <c r="BT30" i="1"/>
  <c r="BS30" i="1"/>
  <c r="BR30" i="1"/>
  <c r="BQ30" i="1"/>
  <c r="BU30" i="1" s="1"/>
  <c r="BP30" i="1"/>
  <c r="BK30" i="1"/>
  <c r="BF30" i="1"/>
  <c r="BA30" i="1"/>
  <c r="AV30" i="1"/>
  <c r="AQ30" i="1"/>
  <c r="AL30" i="1"/>
  <c r="AG30" i="1"/>
  <c r="AB30" i="1"/>
  <c r="W30" i="1"/>
  <c r="R30" i="1"/>
  <c r="M30" i="1"/>
  <c r="BU29" i="1"/>
  <c r="BT29" i="1"/>
  <c r="BS29" i="1"/>
  <c r="BR29" i="1"/>
  <c r="BQ29" i="1"/>
  <c r="BP29" i="1"/>
  <c r="BK29" i="1"/>
  <c r="BF29" i="1"/>
  <c r="BA29" i="1"/>
  <c r="AV29" i="1"/>
  <c r="AQ29" i="1"/>
  <c r="AL29" i="1"/>
  <c r="AG29" i="1"/>
  <c r="AB29" i="1"/>
  <c r="W29" i="1"/>
  <c r="R29" i="1"/>
  <c r="M29" i="1"/>
  <c r="BT28" i="1"/>
  <c r="BS28" i="1"/>
  <c r="BR28" i="1"/>
  <c r="BQ28" i="1"/>
  <c r="BU28" i="1" s="1"/>
  <c r="BP28" i="1"/>
  <c r="BK28" i="1"/>
  <c r="BF28" i="1"/>
  <c r="BA28" i="1"/>
  <c r="AV28" i="1"/>
  <c r="AQ28" i="1"/>
  <c r="AL28" i="1"/>
  <c r="AG28" i="1"/>
  <c r="AB28" i="1"/>
  <c r="W28" i="1"/>
  <c r="R28" i="1"/>
  <c r="M28" i="1"/>
  <c r="BT27" i="1"/>
  <c r="BS27" i="1"/>
  <c r="BR27" i="1"/>
  <c r="BQ27" i="1"/>
  <c r="BP27" i="1"/>
  <c r="BK27" i="1"/>
  <c r="BF27" i="1"/>
  <c r="BA27" i="1"/>
  <c r="AV27" i="1"/>
  <c r="AQ27" i="1"/>
  <c r="AL27" i="1"/>
  <c r="AG27" i="1"/>
  <c r="AB27" i="1"/>
  <c r="W27" i="1"/>
  <c r="R27" i="1"/>
  <c r="M27" i="1"/>
  <c r="BU26" i="1"/>
  <c r="BT26" i="1"/>
  <c r="BS26" i="1"/>
  <c r="BR26" i="1"/>
  <c r="BQ26" i="1"/>
  <c r="BP26" i="1"/>
  <c r="BK26" i="1"/>
  <c r="BF26" i="1"/>
  <c r="BA26" i="1"/>
  <c r="AV26" i="1"/>
  <c r="AQ26" i="1"/>
  <c r="AL26" i="1"/>
  <c r="AG26" i="1"/>
  <c r="AB26" i="1"/>
  <c r="W26" i="1"/>
  <c r="R26" i="1"/>
  <c r="M26" i="1"/>
  <c r="BT25" i="1"/>
  <c r="BS25" i="1"/>
  <c r="BR25" i="1"/>
  <c r="BQ25" i="1"/>
  <c r="BU25" i="1" s="1"/>
  <c r="BP25" i="1"/>
  <c r="BK25" i="1"/>
  <c r="BF25" i="1"/>
  <c r="BA25" i="1"/>
  <c r="AV25" i="1"/>
  <c r="AQ25" i="1"/>
  <c r="AL25" i="1"/>
  <c r="AG25" i="1"/>
  <c r="AB25" i="1"/>
  <c r="W25" i="1"/>
  <c r="R25" i="1"/>
  <c r="M25" i="1"/>
  <c r="BU24" i="1"/>
  <c r="BT24" i="1"/>
  <c r="BS24" i="1"/>
  <c r="BR24" i="1"/>
  <c r="BQ24" i="1"/>
  <c r="BP24" i="1"/>
  <c r="BK24" i="1"/>
  <c r="BF24" i="1"/>
  <c r="BA24" i="1"/>
  <c r="AV24" i="1"/>
  <c r="AQ24" i="1"/>
  <c r="AL24" i="1"/>
  <c r="AG24" i="1"/>
  <c r="AB24" i="1"/>
  <c r="W24" i="1"/>
  <c r="R24" i="1"/>
  <c r="M24" i="1"/>
  <c r="BT23" i="1"/>
  <c r="BS23" i="1"/>
  <c r="BR23" i="1"/>
  <c r="BQ23" i="1"/>
  <c r="BU23" i="1" s="1"/>
  <c r="BP23" i="1"/>
  <c r="BK23" i="1"/>
  <c r="BF23" i="1"/>
  <c r="BA23" i="1"/>
  <c r="AV23" i="1"/>
  <c r="AQ23" i="1"/>
  <c r="AL23" i="1"/>
  <c r="AG23" i="1"/>
  <c r="AB23" i="1"/>
  <c r="W23" i="1"/>
  <c r="R23" i="1"/>
  <c r="M23" i="1"/>
  <c r="BT22" i="1"/>
  <c r="BS22" i="1"/>
  <c r="BR22" i="1"/>
  <c r="BU22" i="1" s="1"/>
  <c r="BQ22" i="1"/>
  <c r="BP22" i="1"/>
  <c r="BK22" i="1"/>
  <c r="BF22" i="1"/>
  <c r="BA22" i="1"/>
  <c r="AV22" i="1"/>
  <c r="AQ22" i="1"/>
  <c r="AL22" i="1"/>
  <c r="AG22" i="1"/>
  <c r="AB22" i="1"/>
  <c r="W22" i="1"/>
  <c r="R22" i="1"/>
  <c r="M22" i="1"/>
  <c r="BT21" i="1"/>
  <c r="BS21" i="1"/>
  <c r="BR21" i="1"/>
  <c r="BQ21" i="1"/>
  <c r="BU21" i="1" s="1"/>
  <c r="BP21" i="1"/>
  <c r="BK21" i="1"/>
  <c r="BF21" i="1"/>
  <c r="BA21" i="1"/>
  <c r="AV21" i="1"/>
  <c r="AQ21" i="1"/>
  <c r="AL21" i="1"/>
  <c r="AG21" i="1"/>
  <c r="AB21" i="1"/>
  <c r="W21" i="1"/>
  <c r="R21" i="1"/>
  <c r="M21" i="1"/>
  <c r="BT20" i="1"/>
  <c r="BS20" i="1"/>
  <c r="BR20" i="1"/>
  <c r="BQ20" i="1"/>
  <c r="BU20" i="1" s="1"/>
  <c r="BP20" i="1"/>
  <c r="BK20" i="1"/>
  <c r="BF20" i="1"/>
  <c r="BA20" i="1"/>
  <c r="AV20" i="1"/>
  <c r="AQ20" i="1"/>
  <c r="AL20" i="1"/>
  <c r="AG20" i="1"/>
  <c r="AB20" i="1"/>
  <c r="W20" i="1"/>
  <c r="R20" i="1"/>
  <c r="M20" i="1"/>
  <c r="BT19" i="1"/>
  <c r="BU19" i="1" s="1"/>
  <c r="BS19" i="1"/>
  <c r="BR19" i="1"/>
  <c r="BQ19" i="1"/>
  <c r="BP19" i="1"/>
  <c r="BK19" i="1"/>
  <c r="BF19" i="1"/>
  <c r="BA19" i="1"/>
  <c r="AV19" i="1"/>
  <c r="AQ19" i="1"/>
  <c r="AL19" i="1"/>
  <c r="AG19" i="1"/>
  <c r="AB19" i="1"/>
  <c r="W19" i="1"/>
  <c r="R19" i="1"/>
  <c r="M19" i="1"/>
  <c r="BT18" i="1"/>
  <c r="BS18" i="1"/>
  <c r="BR18" i="1"/>
  <c r="BQ18" i="1"/>
  <c r="BP18" i="1"/>
  <c r="BK18" i="1"/>
  <c r="BF18" i="1"/>
  <c r="BA18" i="1"/>
  <c r="AV18" i="1"/>
  <c r="AQ18" i="1"/>
  <c r="AL18" i="1"/>
  <c r="AG18" i="1"/>
  <c r="AB18" i="1"/>
  <c r="W18" i="1"/>
  <c r="R18" i="1"/>
  <c r="M18" i="1"/>
  <c r="BT17" i="1"/>
  <c r="BS17" i="1"/>
  <c r="BR17" i="1"/>
  <c r="BU17" i="1" s="1"/>
  <c r="BQ17" i="1"/>
  <c r="BP17" i="1"/>
  <c r="BK17" i="1"/>
  <c r="BF17" i="1"/>
  <c r="BA17" i="1"/>
  <c r="AV17" i="1"/>
  <c r="AQ17" i="1"/>
  <c r="AL17" i="1"/>
  <c r="AG17" i="1"/>
  <c r="AB17" i="1"/>
  <c r="W17" i="1"/>
  <c r="R17" i="1"/>
  <c r="R36" i="1" s="1"/>
  <c r="M17" i="1"/>
  <c r="BT16" i="1"/>
  <c r="BS16" i="1"/>
  <c r="BR16" i="1"/>
  <c r="BQ16" i="1"/>
  <c r="BP16" i="1"/>
  <c r="BK16" i="1"/>
  <c r="BF16" i="1"/>
  <c r="BA16" i="1"/>
  <c r="AV16" i="1"/>
  <c r="AQ16" i="1"/>
  <c r="AL16" i="1"/>
  <c r="AG16" i="1"/>
  <c r="AB16" i="1"/>
  <c r="W16" i="1"/>
  <c r="R16" i="1"/>
  <c r="M16" i="1"/>
  <c r="BU15" i="1"/>
  <c r="BT15" i="1"/>
  <c r="BS15" i="1"/>
  <c r="BR15" i="1"/>
  <c r="BQ15" i="1"/>
  <c r="BP15" i="1"/>
  <c r="BK15" i="1"/>
  <c r="BF15" i="1"/>
  <c r="BA15" i="1"/>
  <c r="AV15" i="1"/>
  <c r="AQ15" i="1"/>
  <c r="AL15" i="1"/>
  <c r="AG15" i="1"/>
  <c r="AB15" i="1"/>
  <c r="W15" i="1"/>
  <c r="R15" i="1"/>
  <c r="M15" i="1"/>
  <c r="BU14" i="1"/>
  <c r="BT14" i="1"/>
  <c r="BS14" i="1"/>
  <c r="BR14" i="1"/>
  <c r="BQ14" i="1"/>
  <c r="BP14" i="1"/>
  <c r="BK14" i="1"/>
  <c r="BF14" i="1"/>
  <c r="BA14" i="1"/>
  <c r="AV14" i="1"/>
  <c r="AQ14" i="1"/>
  <c r="AL14" i="1"/>
  <c r="AG14" i="1"/>
  <c r="AB14" i="1"/>
  <c r="W14" i="1"/>
  <c r="R14" i="1"/>
  <c r="M14" i="1"/>
  <c r="BT13" i="1"/>
  <c r="BS13" i="1"/>
  <c r="BR13" i="1"/>
  <c r="BQ13" i="1"/>
  <c r="BP13" i="1"/>
  <c r="BK13" i="1"/>
  <c r="BF13" i="1"/>
  <c r="BA13" i="1"/>
  <c r="AV13" i="1"/>
  <c r="AQ13" i="1"/>
  <c r="AQ36" i="1" s="1"/>
  <c r="AL13" i="1"/>
  <c r="AG13" i="1"/>
  <c r="AB13" i="1"/>
  <c r="W13" i="1"/>
  <c r="R13" i="1"/>
  <c r="M13" i="1"/>
  <c r="BT12" i="1"/>
  <c r="BU12" i="1" s="1"/>
  <c r="BS12" i="1"/>
  <c r="BR12" i="1"/>
  <c r="BQ12" i="1"/>
  <c r="BP12" i="1"/>
  <c r="BP36" i="1" s="1"/>
  <c r="BK12" i="1"/>
  <c r="BF12" i="1"/>
  <c r="BA12" i="1"/>
  <c r="AV12" i="1"/>
  <c r="AQ12" i="1"/>
  <c r="AL12" i="1"/>
  <c r="AG12" i="1"/>
  <c r="AB12" i="1"/>
  <c r="W12" i="1"/>
  <c r="R12" i="1"/>
  <c r="M12" i="1"/>
  <c r="BU11" i="1"/>
  <c r="BT11" i="1"/>
  <c r="BS11" i="1"/>
  <c r="BR11" i="1"/>
  <c r="BQ11" i="1"/>
  <c r="BP11" i="1"/>
  <c r="BK11" i="1"/>
  <c r="BF11" i="1"/>
  <c r="BA11" i="1"/>
  <c r="AV11" i="1"/>
  <c r="AQ11" i="1"/>
  <c r="AL11" i="1"/>
  <c r="AG11" i="1"/>
  <c r="AB11" i="1"/>
  <c r="W11" i="1"/>
  <c r="N11" i="1"/>
  <c r="R11" i="1" s="1"/>
  <c r="M11" i="1"/>
  <c r="BU10" i="1"/>
  <c r="BT10" i="1"/>
  <c r="BS10" i="1"/>
  <c r="BR10" i="1"/>
  <c r="BQ10" i="1"/>
  <c r="BP10" i="1"/>
  <c r="BK10" i="1"/>
  <c r="BF10" i="1"/>
  <c r="BA10" i="1"/>
  <c r="AV10" i="1"/>
  <c r="AQ10" i="1"/>
  <c r="AL10" i="1"/>
  <c r="AG10" i="1"/>
  <c r="AB10" i="1"/>
  <c r="W10" i="1"/>
  <c r="R10" i="1"/>
  <c r="M10" i="1"/>
  <c r="BT9" i="1"/>
  <c r="BS9" i="1"/>
  <c r="BR9" i="1"/>
  <c r="BP9" i="1"/>
  <c r="BK9" i="1"/>
  <c r="BF9" i="1"/>
  <c r="BA9" i="1"/>
  <c r="AV9" i="1"/>
  <c r="AQ9" i="1"/>
  <c r="AL9" i="1"/>
  <c r="AG9" i="1"/>
  <c r="AB9" i="1"/>
  <c r="W9" i="1"/>
  <c r="R9" i="1"/>
  <c r="N9" i="1"/>
  <c r="BQ9" i="1" s="1"/>
  <c r="BU9" i="1" s="1"/>
  <c r="I9" i="1"/>
  <c r="BT8" i="1"/>
  <c r="BS8" i="1"/>
  <c r="BS36" i="1" s="1"/>
  <c r="BR8" i="1"/>
  <c r="BQ8" i="1"/>
  <c r="BP8" i="1"/>
  <c r="BK8" i="1"/>
  <c r="BF8" i="1"/>
  <c r="BA8" i="1"/>
  <c r="AV8" i="1"/>
  <c r="AQ8" i="1"/>
  <c r="AL8" i="1"/>
  <c r="AG8" i="1"/>
  <c r="AB8" i="1"/>
  <c r="AB36" i="1" s="1"/>
  <c r="W8" i="1"/>
  <c r="W36" i="1" s="1"/>
  <c r="R8" i="1"/>
  <c r="M8" i="1"/>
  <c r="AG7" i="1"/>
  <c r="AF7" i="1"/>
  <c r="R7" i="1"/>
  <c r="Q7" i="1"/>
  <c r="M7" i="1"/>
  <c r="L7" i="1"/>
  <c r="K7" i="1"/>
  <c r="J7" i="1"/>
  <c r="I7" i="1"/>
  <c r="AF3" i="1"/>
  <c r="AK3" i="1" s="1"/>
  <c r="AE3" i="1"/>
  <c r="AJ3" i="1" s="1"/>
  <c r="AB3" i="1"/>
  <c r="AG3" i="1" s="1"/>
  <c r="AL3" i="1" s="1"/>
  <c r="AA3" i="1"/>
  <c r="AA7" i="1" s="1"/>
  <c r="Z3" i="1"/>
  <c r="Z7" i="1" s="1"/>
  <c r="R3" i="1"/>
  <c r="W3" i="1" s="1"/>
  <c r="W7" i="1" s="1"/>
  <c r="Q3" i="1"/>
  <c r="V3" i="1" s="1"/>
  <c r="V7" i="1" s="1"/>
  <c r="P3" i="1"/>
  <c r="U3" i="1" s="1"/>
  <c r="U7" i="1" s="1"/>
  <c r="O3" i="1"/>
  <c r="T3" i="1" s="1"/>
  <c r="T7" i="1" s="1"/>
  <c r="N3" i="1"/>
  <c r="E3" i="1"/>
  <c r="BU2" i="1"/>
  <c r="BT2" i="1"/>
  <c r="BQ2" i="1"/>
  <c r="BP2" i="1"/>
  <c r="BN2" i="1"/>
  <c r="BK2" i="1"/>
  <c r="BM2" i="1" s="1"/>
  <c r="BJ2" i="1"/>
  <c r="BI2" i="1"/>
  <c r="BH2" i="1"/>
  <c r="BG2" i="1"/>
  <c r="BF2" i="1"/>
  <c r="BA2" i="1"/>
  <c r="AY2" i="1"/>
  <c r="AV2" i="1"/>
  <c r="AX2" i="1" s="1"/>
  <c r="AS2" i="1"/>
  <c r="AR2" i="1"/>
  <c r="AU2" i="1" s="1"/>
  <c r="AQ2" i="1"/>
  <c r="AT2" i="1" s="1"/>
  <c r="AL2" i="1"/>
  <c r="AO2" i="1" s="1"/>
  <c r="AG2" i="1"/>
  <c r="AJ2" i="1" s="1"/>
  <c r="AF2" i="1"/>
  <c r="AE2" i="1"/>
  <c r="AD2" i="1"/>
  <c r="AC2" i="1"/>
  <c r="AB2" i="1"/>
  <c r="Z2" i="1"/>
  <c r="Y2" i="1"/>
  <c r="X2" i="1"/>
  <c r="AA2" i="1" s="1"/>
  <c r="W2" i="1"/>
  <c r="U2" i="1"/>
  <c r="T2" i="1"/>
  <c r="S2" i="1"/>
  <c r="V2" i="1" s="1"/>
  <c r="R2" i="1"/>
  <c r="M2" i="1"/>
  <c r="L2" i="1"/>
  <c r="K2" i="1"/>
  <c r="I2" i="1"/>
  <c r="J2" i="1" s="1"/>
  <c r="AO256" i="1" l="1"/>
  <c r="AL87" i="1"/>
  <c r="BP87" i="1"/>
  <c r="M87" i="1"/>
  <c r="BU240" i="1"/>
  <c r="AV140" i="1"/>
  <c r="U160" i="1"/>
  <c r="W142" i="1"/>
  <c r="W160" i="1" s="1"/>
  <c r="BQ166" i="1"/>
  <c r="BU166" i="1" s="1"/>
  <c r="BS230" i="1"/>
  <c r="AO3" i="1"/>
  <c r="AJ7" i="1"/>
  <c r="BP64" i="1"/>
  <c r="AH140" i="1"/>
  <c r="AL126" i="1"/>
  <c r="BF143" i="1"/>
  <c r="BF160" i="1" s="1"/>
  <c r="AG208" i="1"/>
  <c r="AC228" i="1"/>
  <c r="AQ231" i="1"/>
  <c r="BK267" i="1"/>
  <c r="AG86" i="1"/>
  <c r="AG87" i="1" s="1"/>
  <c r="BR163" i="1"/>
  <c r="BK167" i="1"/>
  <c r="BA178" i="1"/>
  <c r="AC241" i="1"/>
  <c r="AG233" i="1"/>
  <c r="E4" i="1" s="1"/>
  <c r="BK36" i="1"/>
  <c r="R178" i="1"/>
  <c r="BK225" i="1"/>
  <c r="BQ225" i="1"/>
  <c r="BF230" i="1"/>
  <c r="BC241" i="1"/>
  <c r="BE272" i="1"/>
  <c r="BR147" i="1"/>
  <c r="BP147" i="1"/>
  <c r="BK204" i="1"/>
  <c r="BR204" i="1"/>
  <c r="BS215" i="1"/>
  <c r="BQ129" i="1"/>
  <c r="BU129" i="1" s="1"/>
  <c r="AM196" i="1"/>
  <c r="AX228" i="1"/>
  <c r="BU106" i="1"/>
  <c r="BA124" i="1"/>
  <c r="BA125" i="1" s="1"/>
  <c r="AR124" i="1"/>
  <c r="AR125" i="1" s="1"/>
  <c r="AV109" i="1"/>
  <c r="AV124" i="1" s="1"/>
  <c r="AV125" i="1" s="1"/>
  <c r="BA127" i="1"/>
  <c r="BA140" i="1" s="1"/>
  <c r="BB140" i="1"/>
  <c r="BF129" i="1"/>
  <c r="BQ131" i="1"/>
  <c r="BP131" i="1"/>
  <c r="BS145" i="1"/>
  <c r="BR148" i="1"/>
  <c r="BS150" i="1"/>
  <c r="M152" i="1"/>
  <c r="BS152" i="1"/>
  <c r="AL157" i="1"/>
  <c r="AL160" i="1" s="1"/>
  <c r="BQ158" i="1"/>
  <c r="BU158" i="1" s="1"/>
  <c r="AT160" i="1"/>
  <c r="Y176" i="1"/>
  <c r="AB161" i="1"/>
  <c r="BR165" i="1"/>
  <c r="BS169" i="1"/>
  <c r="AX176" i="1"/>
  <c r="AX197" i="1" s="1"/>
  <c r="AX272" i="1" s="1"/>
  <c r="M172" i="1"/>
  <c r="R173" i="1"/>
  <c r="AG177" i="1"/>
  <c r="BQ177" i="1"/>
  <c r="AC196" i="1"/>
  <c r="AC197" i="1" s="1"/>
  <c r="BR179" i="1"/>
  <c r="BS180" i="1"/>
  <c r="AB193" i="1"/>
  <c r="R198" i="1"/>
  <c r="AL198" i="1"/>
  <c r="AH228" i="1"/>
  <c r="T228" i="1"/>
  <c r="W200" i="1"/>
  <c r="BR200" i="1"/>
  <c r="AG211" i="1"/>
  <c r="BR218" i="1"/>
  <c r="BU39" i="1"/>
  <c r="BU64" i="1" s="1"/>
  <c r="BQ64" i="1"/>
  <c r="BQ126" i="1"/>
  <c r="BP126" i="1"/>
  <c r="BL140" i="1"/>
  <c r="BT36" i="1"/>
  <c r="BU114" i="1"/>
  <c r="AG126" i="1"/>
  <c r="Z176" i="1"/>
  <c r="BA166" i="1"/>
  <c r="AV64" i="1"/>
  <c r="BQ87" i="1"/>
  <c r="BQ157" i="1"/>
  <c r="BP157" i="1"/>
  <c r="AB163" i="1"/>
  <c r="AK7" i="1"/>
  <c r="AP3" i="1"/>
  <c r="S140" i="1"/>
  <c r="W126" i="1"/>
  <c r="W140" i="1" s="1"/>
  <c r="G4" i="1"/>
  <c r="AE176" i="1"/>
  <c r="BF86" i="1"/>
  <c r="AC87" i="1"/>
  <c r="BP186" i="1"/>
  <c r="BS217" i="1"/>
  <c r="BR173" i="1"/>
  <c r="AB196" i="1"/>
  <c r="BR224" i="1"/>
  <c r="AV241" i="1"/>
  <c r="AB64" i="1"/>
  <c r="BU84" i="1"/>
  <c r="BQ152" i="1"/>
  <c r="BU152" i="1" s="1"/>
  <c r="BP152" i="1"/>
  <c r="U176" i="1"/>
  <c r="BR246" i="1"/>
  <c r="BR152" i="1"/>
  <c r="BK161" i="1"/>
  <c r="BR161" i="1"/>
  <c r="BR176" i="1" s="1"/>
  <c r="BH176" i="1"/>
  <c r="BP177" i="1"/>
  <c r="BS177" i="1"/>
  <c r="BG87" i="1"/>
  <c r="W86" i="1"/>
  <c r="BS86" i="1"/>
  <c r="BS87" i="1" s="1"/>
  <c r="R124" i="1"/>
  <c r="BU111" i="1"/>
  <c r="AR140" i="1"/>
  <c r="BH140" i="1"/>
  <c r="AW140" i="1"/>
  <c r="BS143" i="1"/>
  <c r="BR169" i="1"/>
  <c r="BR180" i="1"/>
  <c r="BK200" i="1"/>
  <c r="BQ200" i="1"/>
  <c r="BU200" i="1" s="1"/>
  <c r="BF210" i="1"/>
  <c r="BS227" i="1"/>
  <c r="BS131" i="1"/>
  <c r="Z160" i="1"/>
  <c r="BQ194" i="1"/>
  <c r="BK194" i="1"/>
  <c r="BR226" i="1"/>
  <c r="BU226" i="1" s="1"/>
  <c r="X255" i="1"/>
  <c r="X256" i="1" s="1"/>
  <c r="AB242" i="1"/>
  <c r="BU252" i="1"/>
  <c r="P256" i="1"/>
  <c r="BA267" i="1"/>
  <c r="BK64" i="1"/>
  <c r="AQ87" i="1"/>
  <c r="N176" i="1"/>
  <c r="BK231" i="1"/>
  <c r="BK241" i="1" s="1"/>
  <c r="BQ231" i="1"/>
  <c r="W64" i="1"/>
  <c r="BK110" i="1"/>
  <c r="BQ110" i="1"/>
  <c r="BU110" i="1" s="1"/>
  <c r="R126" i="1"/>
  <c r="BS142" i="1"/>
  <c r="BQ178" i="1"/>
  <c r="BN196" i="1"/>
  <c r="BU270" i="1"/>
  <c r="BU271" i="1" s="1"/>
  <c r="BQ271" i="1"/>
  <c r="BD87" i="1"/>
  <c r="AH124" i="1"/>
  <c r="AH125" i="1" s="1"/>
  <c r="AL110" i="1"/>
  <c r="AL124" i="1" s="1"/>
  <c r="AL125" i="1" s="1"/>
  <c r="AI140" i="1"/>
  <c r="BR178" i="1"/>
  <c r="BR196" i="1" s="1"/>
  <c r="BR217" i="1"/>
  <c r="R230" i="1"/>
  <c r="BA250" i="1"/>
  <c r="AW255" i="1"/>
  <c r="N7" i="1"/>
  <c r="S3" i="1"/>
  <c r="R105" i="1"/>
  <c r="BQ142" i="1"/>
  <c r="BU142" i="1" s="1"/>
  <c r="BP142" i="1"/>
  <c r="BN256" i="1"/>
  <c r="BK105" i="1"/>
  <c r="BS134" i="1"/>
  <c r="T176" i="1"/>
  <c r="T197" i="1" s="1"/>
  <c r="BS163" i="1"/>
  <c r="BK216" i="1"/>
  <c r="BQ216" i="1"/>
  <c r="BL241" i="1"/>
  <c r="BQ229" i="1"/>
  <c r="BP229" i="1"/>
  <c r="BL124" i="1"/>
  <c r="BL125" i="1" s="1"/>
  <c r="BQ109" i="1"/>
  <c r="BP109" i="1"/>
  <c r="BP124" i="1" s="1"/>
  <c r="BP125" i="1" s="1"/>
  <c r="BQ145" i="1"/>
  <c r="BU145" i="1" s="1"/>
  <c r="BR154" i="1"/>
  <c r="AB154" i="1"/>
  <c r="AL159" i="1"/>
  <c r="AJ228" i="1"/>
  <c r="AL200" i="1"/>
  <c r="BS200" i="1"/>
  <c r="BU70" i="1"/>
  <c r="AO160" i="1"/>
  <c r="BP173" i="1"/>
  <c r="BS182" i="1"/>
  <c r="AL240" i="1"/>
  <c r="AQ244" i="1"/>
  <c r="AB7" i="1"/>
  <c r="BQ36" i="1"/>
  <c r="BU27" i="1"/>
  <c r="BU44" i="1"/>
  <c r="AV105" i="1"/>
  <c r="M140" i="1"/>
  <c r="AS140" i="1"/>
  <c r="BS128" i="1"/>
  <c r="AG133" i="1"/>
  <c r="BK144" i="1"/>
  <c r="BQ144" i="1"/>
  <c r="BU144" i="1" s="1"/>
  <c r="AL145" i="1"/>
  <c r="AH160" i="1"/>
  <c r="AG150" i="1"/>
  <c r="BK156" i="1"/>
  <c r="AL179" i="1"/>
  <c r="AB180" i="1"/>
  <c r="X196" i="1"/>
  <c r="BK180" i="1"/>
  <c r="BK196" i="1" s="1"/>
  <c r="BQ180" i="1"/>
  <c r="AL181" i="1"/>
  <c r="BQ182" i="1"/>
  <c r="BU182" i="1" s="1"/>
  <c r="BR188" i="1"/>
  <c r="M193" i="1"/>
  <c r="BC228" i="1"/>
  <c r="R209" i="1"/>
  <c r="W210" i="1"/>
  <c r="BK220" i="1"/>
  <c r="BQ220" i="1"/>
  <c r="BU220" i="1" s="1"/>
  <c r="BR235" i="1"/>
  <c r="T255" i="1"/>
  <c r="BH255" i="1"/>
  <c r="AQ253" i="1"/>
  <c r="BQ253" i="1"/>
  <c r="BU253" i="1" s="1"/>
  <c r="AR255" i="1"/>
  <c r="R87" i="1"/>
  <c r="W145" i="1"/>
  <c r="S160" i="1"/>
  <c r="AA272" i="1"/>
  <c r="P140" i="1"/>
  <c r="BR126" i="1"/>
  <c r="BM140" i="1"/>
  <c r="BP178" i="1"/>
  <c r="BM196" i="1"/>
  <c r="BQ205" i="1"/>
  <c r="AG230" i="1"/>
  <c r="AG241" i="1" s="1"/>
  <c r="BC2" i="1"/>
  <c r="BD2" i="1"/>
  <c r="BC87" i="1"/>
  <c r="BS130" i="1"/>
  <c r="BU130" i="1" s="1"/>
  <c r="AD176" i="1"/>
  <c r="AD197" i="1" s="1"/>
  <c r="BQ163" i="1"/>
  <c r="BP163" i="1"/>
  <c r="BQ174" i="1"/>
  <c r="BU174" i="1" s="1"/>
  <c r="BP217" i="1"/>
  <c r="BQ217" i="1"/>
  <c r="P241" i="1"/>
  <c r="BB2" i="1"/>
  <c r="BE2" i="1" s="1"/>
  <c r="BU88" i="1"/>
  <c r="BQ105" i="1"/>
  <c r="BP130" i="1"/>
  <c r="BQ215" i="1"/>
  <c r="BU215" i="1" s="1"/>
  <c r="BP215" i="1"/>
  <c r="BS220" i="1"/>
  <c r="BP220" i="1"/>
  <c r="AI2" i="1"/>
  <c r="AH2" i="1"/>
  <c r="AK2" i="1" s="1"/>
  <c r="N87" i="1"/>
  <c r="BK154" i="1"/>
  <c r="BQ154" i="1"/>
  <c r="BI197" i="1"/>
  <c r="BI272" i="1" s="1"/>
  <c r="BR203" i="1"/>
  <c r="BM228" i="1"/>
  <c r="BK86" i="1"/>
  <c r="BU159" i="1"/>
  <c r="AN176" i="1"/>
  <c r="BF172" i="1"/>
  <c r="BF176" i="1" s="1"/>
  <c r="BQ172" i="1"/>
  <c r="AF197" i="1"/>
  <c r="AF272" i="1" s="1"/>
  <c r="BQ183" i="1"/>
  <c r="BU183" i="1" s="1"/>
  <c r="BP183" i="1"/>
  <c r="BQ186" i="1"/>
  <c r="BU186" i="1" s="1"/>
  <c r="BU78" i="1"/>
  <c r="BS147" i="1"/>
  <c r="BQ153" i="1"/>
  <c r="BQ164" i="1"/>
  <c r="BP164" i="1"/>
  <c r="BS173" i="1"/>
  <c r="BU173" i="1" s="1"/>
  <c r="BF212" i="1"/>
  <c r="BQ212" i="1"/>
  <c r="BU212" i="1" s="1"/>
  <c r="BQ246" i="1"/>
  <c r="BU246" i="1" s="1"/>
  <c r="BP246" i="1"/>
  <c r="BR145" i="1"/>
  <c r="BQ148" i="1"/>
  <c r="BP148" i="1"/>
  <c r="BQ181" i="1"/>
  <c r="BU181" i="1" s="1"/>
  <c r="BL196" i="1"/>
  <c r="P228" i="1"/>
  <c r="Y228" i="1"/>
  <c r="AW228" i="1"/>
  <c r="BP243" i="1"/>
  <c r="BS243" i="1"/>
  <c r="AL7" i="1"/>
  <c r="AQ3" i="1"/>
  <c r="AE7" i="1"/>
  <c r="BR36" i="1"/>
  <c r="BU8" i="1"/>
  <c r="BA36" i="1"/>
  <c r="AL36" i="1"/>
  <c r="BU61" i="1"/>
  <c r="BA105" i="1"/>
  <c r="AG105" i="1"/>
  <c r="AG125" i="1" s="1"/>
  <c r="BT124" i="1"/>
  <c r="BR116" i="1"/>
  <c r="BU116" i="1" s="1"/>
  <c r="BK116" i="1"/>
  <c r="I125" i="1"/>
  <c r="BG124" i="1"/>
  <c r="BG125" i="1" s="1"/>
  <c r="N140" i="1"/>
  <c r="AT140" i="1"/>
  <c r="BA131" i="1"/>
  <c r="N160" i="1"/>
  <c r="R143" i="1"/>
  <c r="BR144" i="1"/>
  <c r="AW176" i="1"/>
  <c r="AW197" i="1" s="1"/>
  <c r="BR182" i="1"/>
  <c r="BQ187" i="1"/>
  <c r="BU187" i="1" s="1"/>
  <c r="BS188" i="1"/>
  <c r="O196" i="1"/>
  <c r="BQ209" i="1"/>
  <c r="BU209" i="1" s="1"/>
  <c r="BS210" i="1"/>
  <c r="BN241" i="1"/>
  <c r="BS242" i="1"/>
  <c r="BI255" i="1"/>
  <c r="BI256" i="1" s="1"/>
  <c r="Z267" i="1"/>
  <c r="AM267" i="1"/>
  <c r="AZ267" i="1"/>
  <c r="L272" i="1"/>
  <c r="S196" i="1"/>
  <c r="W178" i="1"/>
  <c r="BQ201" i="1"/>
  <c r="BP201" i="1"/>
  <c r="AP87" i="1"/>
  <c r="BS124" i="1"/>
  <c r="T140" i="1"/>
  <c r="AM140" i="1"/>
  <c r="BG160" i="1"/>
  <c r="BQ141" i="1"/>
  <c r="N196" i="1"/>
  <c r="R177" i="1"/>
  <c r="AX241" i="1"/>
  <c r="AE87" i="1"/>
  <c r="BE87" i="1"/>
  <c r="BR86" i="1"/>
  <c r="BR87" i="1" s="1"/>
  <c r="W105" i="1"/>
  <c r="BS105" i="1"/>
  <c r="AB127" i="1"/>
  <c r="AB140" i="1" s="1"/>
  <c r="BH160" i="1"/>
  <c r="BR141" i="1"/>
  <c r="BS157" i="1"/>
  <c r="I176" i="1"/>
  <c r="AS176" i="1"/>
  <c r="AC176" i="1"/>
  <c r="BR185" i="1"/>
  <c r="BR192" i="1"/>
  <c r="BR193" i="1"/>
  <c r="BU193" i="1" s="1"/>
  <c r="BG196" i="1"/>
  <c r="BQ202" i="1"/>
  <c r="BP202" i="1"/>
  <c r="BQ211" i="1"/>
  <c r="M212" i="1"/>
  <c r="BS214" i="1"/>
  <c r="W219" i="1"/>
  <c r="BQ219" i="1"/>
  <c r="BF221" i="1"/>
  <c r="S241" i="1"/>
  <c r="W229" i="1"/>
  <c r="AY241" i="1"/>
  <c r="BP234" i="1"/>
  <c r="AI255" i="1"/>
  <c r="BS245" i="1"/>
  <c r="BG255" i="1"/>
  <c r="BS190" i="1"/>
  <c r="BS194" i="1"/>
  <c r="BQ214" i="1"/>
  <c r="BP214" i="1"/>
  <c r="BL228" i="1"/>
  <c r="BR229" i="1"/>
  <c r="BM241" i="1"/>
  <c r="BS253" i="1"/>
  <c r="O7" i="1"/>
  <c r="AV36" i="1"/>
  <c r="AD87" i="1"/>
  <c r="BF124" i="1"/>
  <c r="BC140" i="1"/>
  <c r="AC160" i="1"/>
  <c r="BQ146" i="1"/>
  <c r="BU146" i="1" s="1"/>
  <c r="BP146" i="1"/>
  <c r="AH241" i="1"/>
  <c r="AL229" i="1"/>
  <c r="BR245" i="1"/>
  <c r="BU245" i="1" s="1"/>
  <c r="BQ248" i="1"/>
  <c r="BU248" i="1" s="1"/>
  <c r="AN2" i="1"/>
  <c r="BF36" i="1"/>
  <c r="AV86" i="1"/>
  <c r="AF87" i="1"/>
  <c r="AR87" i="1"/>
  <c r="AB105" i="1"/>
  <c r="AB125" i="1" s="1"/>
  <c r="BT105" i="1"/>
  <c r="BU99" i="1"/>
  <c r="AQ110" i="1"/>
  <c r="BR110" i="1"/>
  <c r="BR124" i="1" s="1"/>
  <c r="BR125" i="1" s="1"/>
  <c r="AK125" i="1"/>
  <c r="BD140" i="1"/>
  <c r="AG127" i="1"/>
  <c r="AL128" i="1"/>
  <c r="W133" i="1"/>
  <c r="BK134" i="1"/>
  <c r="BQ134" i="1"/>
  <c r="BI160" i="1"/>
  <c r="BS141" i="1"/>
  <c r="AB143" i="1"/>
  <c r="BA146" i="1"/>
  <c r="BK147" i="1"/>
  <c r="BQ147" i="1"/>
  <c r="BF150" i="1"/>
  <c r="BS154" i="1"/>
  <c r="AG157" i="1"/>
  <c r="BA157" i="1"/>
  <c r="M159" i="1"/>
  <c r="BP162" i="1"/>
  <c r="BQ162" i="1"/>
  <c r="BL176" i="1"/>
  <c r="BF165" i="1"/>
  <c r="BQ169" i="1"/>
  <c r="BU169" i="1" s="1"/>
  <c r="BP169" i="1"/>
  <c r="BQ175" i="1"/>
  <c r="BU175" i="1" s="1"/>
  <c r="BB196" i="1"/>
  <c r="BF177" i="1"/>
  <c r="BF196" i="1" s="1"/>
  <c r="AL184" i="1"/>
  <c r="BF184" i="1"/>
  <c r="BQ184" i="1"/>
  <c r="BS185" i="1"/>
  <c r="BS189" i="1"/>
  <c r="BA191" i="1"/>
  <c r="K228" i="1"/>
  <c r="AT228" i="1"/>
  <c r="BQ198" i="1"/>
  <c r="BP198" i="1"/>
  <c r="BD228" i="1"/>
  <c r="BS199" i="1"/>
  <c r="BS228" i="1" s="1"/>
  <c r="AY228" i="1"/>
  <c r="BK203" i="1"/>
  <c r="BQ203" i="1"/>
  <c r="BQ204" i="1"/>
  <c r="W206" i="1"/>
  <c r="AQ206" i="1"/>
  <c r="BR211" i="1"/>
  <c r="BS218" i="1"/>
  <c r="BQ227" i="1"/>
  <c r="BU227" i="1" s="1"/>
  <c r="T241" i="1"/>
  <c r="AL236" i="1"/>
  <c r="BR238" i="1"/>
  <c r="BU238" i="1" s="1"/>
  <c r="AV249" i="1"/>
  <c r="AV255" i="1" s="1"/>
  <c r="BR249" i="1"/>
  <c r="BR105" i="1"/>
  <c r="W124" i="1"/>
  <c r="AS124" i="1"/>
  <c r="AS125" i="1" s="1"/>
  <c r="BS162" i="1"/>
  <c r="AY196" i="1"/>
  <c r="AY197" i="1" s="1"/>
  <c r="BS249" i="1"/>
  <c r="AM2" i="1"/>
  <c r="AP2" i="1" s="1"/>
  <c r="BA86" i="1"/>
  <c r="BA87" i="1" s="1"/>
  <c r="S87" i="1"/>
  <c r="AS87" i="1"/>
  <c r="BU107" i="1"/>
  <c r="AX124" i="1"/>
  <c r="AX125" i="1" s="1"/>
  <c r="BR109" i="1"/>
  <c r="BR127" i="1"/>
  <c r="BU127" i="1" s="1"/>
  <c r="AQ129" i="1"/>
  <c r="BQ132" i="1"/>
  <c r="BU132" i="1" s="1"/>
  <c r="BR134" i="1"/>
  <c r="R141" i="1"/>
  <c r="R160" i="1" s="1"/>
  <c r="AG141" i="1"/>
  <c r="BK141" i="1"/>
  <c r="AL154" i="1"/>
  <c r="AJ176" i="1"/>
  <c r="BC176" i="1"/>
  <c r="AG162" i="1"/>
  <c r="BR162" i="1"/>
  <c r="BU167" i="1"/>
  <c r="BP174" i="1"/>
  <c r="BI176" i="1"/>
  <c r="AJ196" i="1"/>
  <c r="AJ197" i="1" s="1"/>
  <c r="AL177" i="1"/>
  <c r="BP185" i="1"/>
  <c r="AV189" i="1"/>
  <c r="AR196" i="1"/>
  <c r="AV192" i="1"/>
  <c r="BK193" i="1"/>
  <c r="N228" i="1"/>
  <c r="AD228" i="1"/>
  <c r="BR198" i="1"/>
  <c r="AN228" i="1"/>
  <c r="AN256" i="1" s="1"/>
  <c r="BS202" i="1"/>
  <c r="AV211" i="1"/>
  <c r="BS211" i="1"/>
  <c r="BA218" i="1"/>
  <c r="BQ218" i="1"/>
  <c r="BR232" i="1"/>
  <c r="BP232" i="1"/>
  <c r="BD255" i="1"/>
  <c r="J255" i="1"/>
  <c r="AE255" i="1"/>
  <c r="AE256" i="1" s="1"/>
  <c r="BF248" i="1"/>
  <c r="AH255" i="1"/>
  <c r="BS205" i="1"/>
  <c r="AW241" i="1"/>
  <c r="BA229" i="1"/>
  <c r="BA241" i="1" s="1"/>
  <c r="BT64" i="1"/>
  <c r="AR160" i="1"/>
  <c r="BR157" i="1"/>
  <c r="AR176" i="1"/>
  <c r="BR164" i="1"/>
  <c r="BR214" i="1"/>
  <c r="W237" i="1"/>
  <c r="P7" i="1"/>
  <c r="BU18" i="1"/>
  <c r="BA64" i="1"/>
  <c r="Y3" i="1"/>
  <c r="BU13" i="1"/>
  <c r="BU49" i="1"/>
  <c r="BU80" i="1"/>
  <c r="BU83" i="1"/>
  <c r="AH87" i="1"/>
  <c r="I105" i="1"/>
  <c r="BQ102" i="1"/>
  <c r="BU102" i="1" s="1"/>
  <c r="M102" i="1"/>
  <c r="M105" i="1" s="1"/>
  <c r="M125" i="1" s="1"/>
  <c r="AQ124" i="1"/>
  <c r="AQ125" i="1" s="1"/>
  <c r="Z125" i="1"/>
  <c r="AM124" i="1"/>
  <c r="AM125" i="1" s="1"/>
  <c r="BG140" i="1"/>
  <c r="R127" i="1"/>
  <c r="BS127" i="1"/>
  <c r="AV134" i="1"/>
  <c r="BN140" i="1"/>
  <c r="BL160" i="1"/>
  <c r="BR143" i="1"/>
  <c r="M145" i="1"/>
  <c r="M160" i="1" s="1"/>
  <c r="AV147" i="1"/>
  <c r="AV160" i="1" s="1"/>
  <c r="BR153" i="1"/>
  <c r="R157" i="1"/>
  <c r="W161" i="1"/>
  <c r="S176" i="1"/>
  <c r="BD176" i="1"/>
  <c r="BS161" i="1"/>
  <c r="M162" i="1"/>
  <c r="M176" i="1" s="1"/>
  <c r="AL164" i="1"/>
  <c r="AL175" i="1"/>
  <c r="BF175" i="1"/>
  <c r="BQ188" i="1"/>
  <c r="BQ192" i="1"/>
  <c r="BU192" i="1" s="1"/>
  <c r="BP192" i="1"/>
  <c r="O228" i="1"/>
  <c r="AE228" i="1"/>
  <c r="BA198" i="1"/>
  <c r="BN228" i="1"/>
  <c r="AO228" i="1"/>
  <c r="BG228" i="1"/>
  <c r="BK199" i="1"/>
  <c r="BK228" i="1" s="1"/>
  <c r="BT228" i="1"/>
  <c r="BR205" i="1"/>
  <c r="AG209" i="1"/>
  <c r="BK211" i="1"/>
  <c r="AL218" i="1"/>
  <c r="BD241" i="1"/>
  <c r="BS232" i="1"/>
  <c r="BQ233" i="1"/>
  <c r="BK233" i="1"/>
  <c r="AL234" i="1"/>
  <c r="BP235" i="1"/>
  <c r="BQ235" i="1"/>
  <c r="AM255" i="1"/>
  <c r="AM256" i="1" s="1"/>
  <c r="AQ242" i="1"/>
  <c r="BF242" i="1"/>
  <c r="AB248" i="1"/>
  <c r="BM256" i="1"/>
  <c r="BM267" i="1"/>
  <c r="BO197" i="1"/>
  <c r="BO272" i="1" s="1"/>
  <c r="BT86" i="1"/>
  <c r="BC124" i="1"/>
  <c r="BC125" i="1" s="1"/>
  <c r="AJ140" i="1"/>
  <c r="BQ133" i="1"/>
  <c r="BP133" i="1"/>
  <c r="AM160" i="1"/>
  <c r="BS168" i="1"/>
  <c r="BS172" i="1"/>
  <c r="BC196" i="1"/>
  <c r="BC197" i="1" s="1"/>
  <c r="BC272" i="1" s="1"/>
  <c r="BS192" i="1"/>
  <c r="BS201" i="1"/>
  <c r="BR206" i="1"/>
  <c r="BR210" i="1"/>
  <c r="AB232" i="1"/>
  <c r="BQ232" i="1"/>
  <c r="BU232" i="1" s="1"/>
  <c r="BS254" i="1"/>
  <c r="BU261" i="1"/>
  <c r="BU262" i="1" s="1"/>
  <c r="BU267" i="1" s="1"/>
  <c r="BU265" i="1"/>
  <c r="BU266" i="1" s="1"/>
  <c r="BQ266" i="1"/>
  <c r="BQ267" i="1" s="1"/>
  <c r="AP272" i="1"/>
  <c r="BR184" i="1"/>
  <c r="BK206" i="1"/>
  <c r="BQ206" i="1"/>
  <c r="AJ241" i="1"/>
  <c r="I255" i="1"/>
  <c r="M242" i="1"/>
  <c r="M255" i="1" s="1"/>
  <c r="P2" i="1"/>
  <c r="N2" i="1"/>
  <c r="Q2" i="1" s="1"/>
  <c r="O2" i="1"/>
  <c r="AL64" i="1"/>
  <c r="BU51" i="1"/>
  <c r="AW2" i="1"/>
  <c r="AZ2" i="1" s="1"/>
  <c r="BL2" i="1"/>
  <c r="BO2" i="1" s="1"/>
  <c r="AG36" i="1"/>
  <c r="N36" i="1"/>
  <c r="BU54" i="1"/>
  <c r="BU65" i="1"/>
  <c r="BU81" i="1"/>
  <c r="AY125" i="1"/>
  <c r="AO140" i="1"/>
  <c r="BQ128" i="1"/>
  <c r="BU128" i="1" s="1"/>
  <c r="R132" i="1"/>
  <c r="BA133" i="1"/>
  <c r="BR133" i="1"/>
  <c r="AB142" i="1"/>
  <c r="AB160" i="1" s="1"/>
  <c r="AG143" i="1"/>
  <c r="BS146" i="1"/>
  <c r="AL147" i="1"/>
  <c r="R156" i="1"/>
  <c r="BQ156" i="1"/>
  <c r="BP156" i="1"/>
  <c r="AH176" i="1"/>
  <c r="AL161" i="1"/>
  <c r="AY176" i="1"/>
  <c r="X176" i="1"/>
  <c r="W167" i="1"/>
  <c r="AV168" i="1"/>
  <c r="AV176" i="1" s="1"/>
  <c r="AB170" i="1"/>
  <c r="BR171" i="1"/>
  <c r="BP172" i="1"/>
  <c r="BM176" i="1"/>
  <c r="U196" i="1"/>
  <c r="BP184" i="1"/>
  <c r="W185" i="1"/>
  <c r="AV190" i="1"/>
  <c r="AU197" i="1"/>
  <c r="BF205" i="1"/>
  <c r="AV206" i="1"/>
  <c r="AV228" i="1" s="1"/>
  <c r="BK209" i="1"/>
  <c r="M210" i="1"/>
  <c r="AV210" i="1"/>
  <c r="AB220" i="1"/>
  <c r="AV220" i="1"/>
  <c r="BQ223" i="1"/>
  <c r="BP223" i="1"/>
  <c r="AQ238" i="1"/>
  <c r="K255" i="1"/>
  <c r="K256" i="1" s="1"/>
  <c r="AD255" i="1"/>
  <c r="BS244" i="1"/>
  <c r="BK247" i="1"/>
  <c r="BQ250" i="1"/>
  <c r="BU250" i="1" s="1"/>
  <c r="BP250" i="1"/>
  <c r="BS251" i="1"/>
  <c r="BE256" i="1"/>
  <c r="AK267" i="1"/>
  <c r="J267" i="1"/>
  <c r="BU185" i="1"/>
  <c r="BR201" i="1"/>
  <c r="BQ207" i="1"/>
  <c r="BU207" i="1" s="1"/>
  <c r="BP207" i="1"/>
  <c r="BK210" i="1"/>
  <c r="BQ210" i="1"/>
  <c r="BU210" i="1" s="1"/>
  <c r="BR220" i="1"/>
  <c r="BQ221" i="1"/>
  <c r="BU221" i="1" s="1"/>
  <c r="BP221" i="1"/>
  <c r="BS229" i="1"/>
  <c r="BP231" i="1"/>
  <c r="BS231" i="1"/>
  <c r="AT255" i="1"/>
  <c r="AT256" i="1" s="1"/>
  <c r="AB86" i="1"/>
  <c r="AB87" i="1" s="1"/>
  <c r="BS126" i="1"/>
  <c r="BS144" i="1"/>
  <c r="I36" i="1"/>
  <c r="I87" i="1" s="1"/>
  <c r="M9" i="1"/>
  <c r="M36" i="1" s="1"/>
  <c r="BU76" i="1"/>
  <c r="BU93" i="1"/>
  <c r="BK127" i="1"/>
  <c r="BK140" i="1" s="1"/>
  <c r="BR128" i="1"/>
  <c r="AL133" i="1"/>
  <c r="K160" i="1"/>
  <c r="BQ143" i="1"/>
  <c r="BU143" i="1" s="1"/>
  <c r="BP143" i="1"/>
  <c r="AB145" i="1"/>
  <c r="AB148" i="1"/>
  <c r="BK150" i="1"/>
  <c r="BQ150" i="1"/>
  <c r="AG151" i="1"/>
  <c r="BQ151" i="1"/>
  <c r="BU151" i="1" s="1"/>
  <c r="BP151" i="1"/>
  <c r="BR156" i="1"/>
  <c r="BS158" i="1"/>
  <c r="AI176" i="1"/>
  <c r="BB176" i="1"/>
  <c r="BG176" i="1"/>
  <c r="R163" i="1"/>
  <c r="R176" i="1" s="1"/>
  <c r="BP168" i="1"/>
  <c r="BQ168" i="1"/>
  <c r="BU168" i="1" s="1"/>
  <c r="BQ170" i="1"/>
  <c r="BU170" i="1" s="1"/>
  <c r="BP170" i="1"/>
  <c r="BS171" i="1"/>
  <c r="BA179" i="1"/>
  <c r="AE196" i="1"/>
  <c r="AE197" i="1" s="1"/>
  <c r="AG190" i="1"/>
  <c r="BQ190" i="1"/>
  <c r="BU190" i="1" s="1"/>
  <c r="BP190" i="1"/>
  <c r="J228" i="1"/>
  <c r="Z228" i="1"/>
  <c r="AS228" i="1"/>
  <c r="BS204" i="1"/>
  <c r="W205" i="1"/>
  <c r="AV209" i="1"/>
  <c r="BP218" i="1"/>
  <c r="AL219" i="1"/>
  <c r="BR223" i="1"/>
  <c r="AQ224" i="1"/>
  <c r="BS233" i="1"/>
  <c r="BP233" i="1"/>
  <c r="BR236" i="1"/>
  <c r="BU236" i="1" s="1"/>
  <c r="BT255" i="1"/>
  <c r="BT256" i="1" s="1"/>
  <c r="BR243" i="1"/>
  <c r="BA244" i="1"/>
  <c r="BK245" i="1"/>
  <c r="BK255" i="1" s="1"/>
  <c r="BK256" i="1" s="1"/>
  <c r="AB247" i="1"/>
  <c r="BR247" i="1"/>
  <c r="BR250" i="1"/>
  <c r="AG254" i="1"/>
  <c r="BP254" i="1"/>
  <c r="BQ254" i="1"/>
  <c r="AL267" i="1"/>
  <c r="AY267" i="1"/>
  <c r="BL267" i="1"/>
  <c r="BF105" i="1"/>
  <c r="BS133" i="1"/>
  <c r="BS156" i="1"/>
  <c r="Q197" i="1"/>
  <c r="BR208" i="1"/>
  <c r="BQ213" i="1"/>
  <c r="BP213" i="1"/>
  <c r="BR222" i="1"/>
  <c r="BA255" i="1"/>
  <c r="AJ255" i="1"/>
  <c r="BQ247" i="1"/>
  <c r="AC255" i="1"/>
  <c r="BS2" i="1"/>
  <c r="BR2" i="1"/>
  <c r="BU52" i="1"/>
  <c r="BU57" i="1"/>
  <c r="BU100" i="1"/>
  <c r="BT140" i="1"/>
  <c r="BF128" i="1"/>
  <c r="BF140" i="1" s="1"/>
  <c r="I160" i="1"/>
  <c r="X160" i="1"/>
  <c r="AI160" i="1"/>
  <c r="AL143" i="1"/>
  <c r="BF145" i="1"/>
  <c r="BF148" i="1"/>
  <c r="BR149" i="1"/>
  <c r="W152" i="1"/>
  <c r="BR155" i="1"/>
  <c r="BK157" i="1"/>
  <c r="AG158" i="1"/>
  <c r="AL168" i="1"/>
  <c r="AQ170" i="1"/>
  <c r="AQ176" i="1" s="1"/>
  <c r="AV171" i="1"/>
  <c r="BP175" i="1"/>
  <c r="J196" i="1"/>
  <c r="Z196" i="1"/>
  <c r="BQ179" i="1"/>
  <c r="BP179" i="1"/>
  <c r="R182" i="1"/>
  <c r="BQ191" i="1"/>
  <c r="BU191" i="1" s="1"/>
  <c r="AZ197" i="1"/>
  <c r="BH228" i="1"/>
  <c r="R199" i="1"/>
  <c r="BP199" i="1"/>
  <c r="BQ199" i="1"/>
  <c r="BU199" i="1" s="1"/>
  <c r="R202" i="1"/>
  <c r="AQ204" i="1"/>
  <c r="M205" i="1"/>
  <c r="AL208" i="1"/>
  <c r="BA213" i="1"/>
  <c r="BR213" i="1"/>
  <c r="R216" i="1"/>
  <c r="BS216" i="1"/>
  <c r="W217" i="1"/>
  <c r="BR219" i="1"/>
  <c r="AL222" i="1"/>
  <c r="BS222" i="1"/>
  <c r="R224" i="1"/>
  <c r="BP224" i="1"/>
  <c r="K241" i="1"/>
  <c r="J241" i="1"/>
  <c r="M230" i="1"/>
  <c r="M241" i="1" s="1"/>
  <c r="AT241" i="1"/>
  <c r="BQ230" i="1"/>
  <c r="BP230" i="1"/>
  <c r="BQ234" i="1"/>
  <c r="N255" i="1"/>
  <c r="N256" i="1" s="1"/>
  <c r="R242" i="1"/>
  <c r="U255" i="1"/>
  <c r="U256" i="1" s="1"/>
  <c r="AL243" i="1"/>
  <c r="BK246" i="1"/>
  <c r="R247" i="1"/>
  <c r="W249" i="1"/>
  <c r="AB250" i="1"/>
  <c r="AT267" i="1"/>
  <c r="BR260" i="1"/>
  <c r="BR267" i="1" s="1"/>
  <c r="J176" i="1"/>
  <c r="AN196" i="1"/>
  <c r="BD196" i="1"/>
  <c r="BD197" i="1" s="1"/>
  <c r="BT196" i="1"/>
  <c r="BT197" i="1" s="1"/>
  <c r="AQ198" i="1"/>
  <c r="AM228" i="1"/>
  <c r="BR202" i="1"/>
  <c r="BQ208" i="1"/>
  <c r="BP208" i="1"/>
  <c r="BS219" i="1"/>
  <c r="BQ222" i="1"/>
  <c r="BP222" i="1"/>
  <c r="BS225" i="1"/>
  <c r="BP242" i="1"/>
  <c r="BL255" i="1"/>
  <c r="BL256" i="1" s="1"/>
  <c r="BQ242" i="1"/>
  <c r="BB255" i="1"/>
  <c r="BU16" i="1"/>
  <c r="M64" i="1"/>
  <c r="BU118" i="1"/>
  <c r="AX160" i="1"/>
  <c r="BQ149" i="1"/>
  <c r="BU149" i="1" s="1"/>
  <c r="BQ155" i="1"/>
  <c r="BU155" i="1" s="1"/>
  <c r="K176" i="1"/>
  <c r="K197" i="1" s="1"/>
  <c r="K272" i="1" s="1"/>
  <c r="I196" i="1"/>
  <c r="Y196" i="1"/>
  <c r="Y197" i="1" s="1"/>
  <c r="Y272" i="1" s="1"/>
  <c r="AO196" i="1"/>
  <c r="AO197" i="1" s="1"/>
  <c r="AO272" i="1" s="1"/>
  <c r="BB87" i="1"/>
  <c r="BN87" i="1"/>
  <c r="BR115" i="1"/>
  <c r="BU115" i="1" s="1"/>
  <c r="K140" i="1"/>
  <c r="X140" i="1"/>
  <c r="AQ128" i="1"/>
  <c r="AQ140" i="1" s="1"/>
  <c r="BK132" i="1"/>
  <c r="J160" i="1"/>
  <c r="Y160" i="1"/>
  <c r="W143" i="1"/>
  <c r="AQ145" i="1"/>
  <c r="AQ160" i="1" s="1"/>
  <c r="AQ148" i="1"/>
  <c r="BS155" i="1"/>
  <c r="R158" i="1"/>
  <c r="BN176" i="1"/>
  <c r="AM176" i="1"/>
  <c r="BS165" i="1"/>
  <c r="BU165" i="1" s="1"/>
  <c r="W168" i="1"/>
  <c r="AG171" i="1"/>
  <c r="BH196" i="1"/>
  <c r="AL182" i="1"/>
  <c r="AG191" i="1"/>
  <c r="BR191" i="1"/>
  <c r="W194" i="1"/>
  <c r="AK197" i="1"/>
  <c r="AR228" i="1"/>
  <c r="BI228" i="1"/>
  <c r="BR199" i="1"/>
  <c r="AB204" i="1"/>
  <c r="W208" i="1"/>
  <c r="AQ211" i="1"/>
  <c r="AL213" i="1"/>
  <c r="BS213" i="1"/>
  <c r="AQ214" i="1"/>
  <c r="AG219" i="1"/>
  <c r="W222" i="1"/>
  <c r="AD241" i="1"/>
  <c r="BR234" i="1"/>
  <c r="M236" i="1"/>
  <c r="BC255" i="1"/>
  <c r="BC256" i="1" s="1"/>
  <c r="BF245" i="1"/>
  <c r="AB246" i="1"/>
  <c r="BR251" i="1"/>
  <c r="AZ256" i="1"/>
  <c r="I267" i="1"/>
  <c r="AW267" i="1"/>
  <c r="BJ267" i="1"/>
  <c r="BJ272" i="1" s="1"/>
  <c r="AU267" i="1"/>
  <c r="AU272" i="1" s="1"/>
  <c r="BG267" i="1"/>
  <c r="AW160" i="1"/>
  <c r="AT176" i="1"/>
  <c r="BQ189" i="1"/>
  <c r="BP189" i="1"/>
  <c r="AI228" i="1"/>
  <c r="BS208" i="1"/>
  <c r="X241" i="1"/>
  <c r="AM241" i="1"/>
  <c r="O255" i="1"/>
  <c r="O256" i="1" s="1"/>
  <c r="BR242" i="1"/>
  <c r="BQ249" i="1"/>
  <c r="BU249" i="1" s="1"/>
  <c r="BP249" i="1"/>
  <c r="S267" i="1"/>
  <c r="BT262" i="1"/>
  <c r="BT267" i="1" s="1"/>
  <c r="BP144" i="1"/>
  <c r="BS153" i="1"/>
  <c r="V197" i="1"/>
  <c r="O176" i="1"/>
  <c r="BQ161" i="1"/>
  <c r="BP161" i="1"/>
  <c r="AB167" i="1"/>
  <c r="M173" i="1"/>
  <c r="AH196" i="1"/>
  <c r="BP182" i="1"/>
  <c r="AV184" i="1"/>
  <c r="BA189" i="1"/>
  <c r="BA196" i="1" s="1"/>
  <c r="BR189" i="1"/>
  <c r="BF192" i="1"/>
  <c r="W199" i="1"/>
  <c r="W228" i="1" s="1"/>
  <c r="AG203" i="1"/>
  <c r="AG228" i="1" s="1"/>
  <c r="BF214" i="1"/>
  <c r="AQ217" i="1"/>
  <c r="BK219" i="1"/>
  <c r="AG220" i="1"/>
  <c r="M224" i="1"/>
  <c r="AQ234" i="1"/>
  <c r="AQ241" i="1" s="1"/>
  <c r="R239" i="1"/>
  <c r="AR241" i="1"/>
  <c r="AX255" i="1"/>
  <c r="AX256" i="1" s="1"/>
  <c r="BF247" i="1"/>
  <c r="BP253" i="1"/>
  <c r="V256" i="1"/>
  <c r="V272" i="1" s="1"/>
  <c r="T267" i="1"/>
  <c r="AS267" i="1"/>
  <c r="S228" i="1"/>
  <c r="I241" i="1"/>
  <c r="BB241" i="1"/>
  <c r="BR254" i="1"/>
  <c r="AJ160" i="1"/>
  <c r="BN160" i="1"/>
  <c r="BA144" i="1"/>
  <c r="BR158" i="1"/>
  <c r="P176" i="1"/>
  <c r="P197" i="1" s="1"/>
  <c r="P272" i="1" s="1"/>
  <c r="BA161" i="1"/>
  <c r="BA176" i="1" s="1"/>
  <c r="AB166" i="1"/>
  <c r="M167" i="1"/>
  <c r="BQ171" i="1"/>
  <c r="BU171" i="1" s="1"/>
  <c r="AI196" i="1"/>
  <c r="AV182" i="1"/>
  <c r="AV196" i="1" s="1"/>
  <c r="AV197" i="1" s="1"/>
  <c r="AG184" i="1"/>
  <c r="AL189" i="1"/>
  <c r="AQ192" i="1"/>
  <c r="AQ196" i="1" s="1"/>
  <c r="AL194" i="1"/>
  <c r="U228" i="1"/>
  <c r="BB228" i="1"/>
  <c r="BF198" i="1"/>
  <c r="BF228" i="1" s="1"/>
  <c r="AV202" i="1"/>
  <c r="R203" i="1"/>
  <c r="R206" i="1"/>
  <c r="AB217" i="1"/>
  <c r="AV219" i="1"/>
  <c r="AQ223" i="1"/>
  <c r="BR225" i="1"/>
  <c r="Z241" i="1"/>
  <c r="BT241" i="1"/>
  <c r="AB230" i="1"/>
  <c r="AB241" i="1" s="1"/>
  <c r="BG241" i="1"/>
  <c r="BS235" i="1"/>
  <c r="BP236" i="1"/>
  <c r="R238" i="1"/>
  <c r="AY255" i="1"/>
  <c r="AQ247" i="1"/>
  <c r="BQ251" i="1"/>
  <c r="AG253" i="1"/>
  <c r="AG255" i="1" s="1"/>
  <c r="AG256" i="1" s="1"/>
  <c r="BR253" i="1"/>
  <c r="AH267" i="1"/>
  <c r="AL162" i="1"/>
  <c r="BK170" i="1"/>
  <c r="M178" i="1"/>
  <c r="M196" i="1" s="1"/>
  <c r="AQ186" i="1"/>
  <c r="BP194" i="1"/>
  <c r="AB198" i="1"/>
  <c r="BA206" i="1"/>
  <c r="AG225" i="1"/>
  <c r="M227" i="1"/>
  <c r="BH241" i="1"/>
  <c r="BQ237" i="1"/>
  <c r="W242" i="1"/>
  <c r="W255" i="1" s="1"/>
  <c r="S255" i="1"/>
  <c r="S256" i="1" s="1"/>
  <c r="BQ243" i="1"/>
  <c r="BU243" i="1" s="1"/>
  <c r="R244" i="1"/>
  <c r="BQ244" i="1"/>
  <c r="Q267" i="1"/>
  <c r="W162" i="1"/>
  <c r="AV170" i="1"/>
  <c r="AT196" i="1"/>
  <c r="AB186" i="1"/>
  <c r="BA194" i="1"/>
  <c r="M198" i="1"/>
  <c r="M228" i="1" s="1"/>
  <c r="AL206" i="1"/>
  <c r="BK214" i="1"/>
  <c r="AQ220" i="1"/>
  <c r="AG224" i="1"/>
  <c r="BQ224" i="1"/>
  <c r="R225" i="1"/>
  <c r="I228" i="1"/>
  <c r="X228" i="1"/>
  <c r="BI241" i="1"/>
  <c r="AS241" i="1"/>
  <c r="AS256" i="1" s="1"/>
  <c r="R231" i="1"/>
  <c r="R241" i="1" s="1"/>
  <c r="BR231" i="1"/>
  <c r="BF234" i="1"/>
  <c r="BF235" i="1"/>
  <c r="BR237" i="1"/>
  <c r="BS239" i="1"/>
  <c r="BU239" i="1" s="1"/>
  <c r="BS240" i="1"/>
  <c r="BR244" i="1"/>
  <c r="BS246" i="1"/>
  <c r="AV250" i="1"/>
  <c r="BS252" i="1"/>
  <c r="AL253" i="1"/>
  <c r="AL255" i="1" s="1"/>
  <c r="AE267" i="1"/>
  <c r="AE272" i="1" s="1"/>
  <c r="AQ271" i="1"/>
  <c r="W223" i="1"/>
  <c r="AB227" i="1"/>
  <c r="Y241" i="1"/>
  <c r="Y256" i="1" s="1"/>
  <c r="M234" i="1"/>
  <c r="AG238" i="1"/>
  <c r="Z255" i="1"/>
  <c r="R245" i="1"/>
  <c r="BA249" i="1"/>
  <c r="BF253" i="1"/>
  <c r="AV256" i="1" l="1"/>
  <c r="BD272" i="1"/>
  <c r="M197" i="1"/>
  <c r="M272" i="1" s="1"/>
  <c r="BT272" i="1"/>
  <c r="BK197" i="1"/>
  <c r="BK272" i="1" s="1"/>
  <c r="AV272" i="1"/>
  <c r="AQ197" i="1"/>
  <c r="AG160" i="1"/>
  <c r="AI256" i="1"/>
  <c r="BF255" i="1"/>
  <c r="BU188" i="1"/>
  <c r="BB197" i="1"/>
  <c r="BB272" i="1" s="1"/>
  <c r="BU202" i="1"/>
  <c r="AZ272" i="1"/>
  <c r="BH256" i="1"/>
  <c r="BU180" i="1"/>
  <c r="BK176" i="1"/>
  <c r="AP7" i="1"/>
  <c r="AU3" i="1"/>
  <c r="BA160" i="1"/>
  <c r="BA197" i="1" s="1"/>
  <c r="BA272" i="1" s="1"/>
  <c r="BU189" i="1"/>
  <c r="AN197" i="1"/>
  <c r="AN272" i="1" s="1"/>
  <c r="BU234" i="1"/>
  <c r="BU213" i="1"/>
  <c r="BU254" i="1"/>
  <c r="AD256" i="1"/>
  <c r="AD272" i="1" s="1"/>
  <c r="AQ255" i="1"/>
  <c r="AH256" i="1"/>
  <c r="BP228" i="1"/>
  <c r="BU147" i="1"/>
  <c r="BG197" i="1"/>
  <c r="AM272" i="1"/>
  <c r="BT125" i="1"/>
  <c r="BU172" i="1"/>
  <c r="BU154" i="1"/>
  <c r="BU105" i="1"/>
  <c r="T256" i="1"/>
  <c r="T272" i="1" s="1"/>
  <c r="BU109" i="1"/>
  <c r="BU124" i="1" s="1"/>
  <c r="BU125" i="1" s="1"/>
  <c r="BP160" i="1"/>
  <c r="BQ196" i="1"/>
  <c r="BU177" i="1"/>
  <c r="BK160" i="1"/>
  <c r="AQ7" i="1"/>
  <c r="AV3" i="1"/>
  <c r="AL196" i="1"/>
  <c r="BR160" i="1"/>
  <c r="BR197" i="1" s="1"/>
  <c r="BR272" i="1" s="1"/>
  <c r="AG140" i="1"/>
  <c r="AL140" i="1"/>
  <c r="BH197" i="1"/>
  <c r="I197" i="1"/>
  <c r="BS140" i="1"/>
  <c r="AL176" i="1"/>
  <c r="BU198" i="1"/>
  <c r="BQ228" i="1"/>
  <c r="AL241" i="1"/>
  <c r="AL256" i="1" s="1"/>
  <c r="S272" i="1"/>
  <c r="BU235" i="1"/>
  <c r="W241" i="1"/>
  <c r="W256" i="1" s="1"/>
  <c r="AT3" i="1"/>
  <c r="AO7" i="1"/>
  <c r="BU164" i="1"/>
  <c r="BU229" i="1"/>
  <c r="BQ241" i="1"/>
  <c r="AB255" i="1"/>
  <c r="AB256" i="1" s="1"/>
  <c r="AT197" i="1"/>
  <c r="AT272" i="1" s="1"/>
  <c r="AH197" i="1"/>
  <c r="AH272" i="1" s="1"/>
  <c r="BU223" i="1"/>
  <c r="BU156" i="1"/>
  <c r="M256" i="1"/>
  <c r="BS176" i="1"/>
  <c r="BD256" i="1"/>
  <c r="AG176" i="1"/>
  <c r="BS160" i="1"/>
  <c r="BU201" i="1"/>
  <c r="BL197" i="1"/>
  <c r="BK87" i="1"/>
  <c r="BU231" i="1"/>
  <c r="BU157" i="1"/>
  <c r="AI197" i="1"/>
  <c r="AI272" i="1" s="1"/>
  <c r="BR255" i="1"/>
  <c r="BR256" i="1" s="1"/>
  <c r="BU179" i="1"/>
  <c r="BS241" i="1"/>
  <c r="I256" i="1"/>
  <c r="BU162" i="1"/>
  <c r="BU214" i="1"/>
  <c r="W196" i="1"/>
  <c r="BU205" i="1"/>
  <c r="BU216" i="1"/>
  <c r="BN197" i="1"/>
  <c r="BN272" i="1" s="1"/>
  <c r="W87" i="1"/>
  <c r="BF87" i="1"/>
  <c r="BF241" i="1"/>
  <c r="AB228" i="1"/>
  <c r="BU208" i="1"/>
  <c r="BA228" i="1"/>
  <c r="S197" i="1"/>
  <c r="BU36" i="1"/>
  <c r="BU178" i="1"/>
  <c r="BU126" i="1"/>
  <c r="BQ140" i="1"/>
  <c r="AL228" i="1"/>
  <c r="BU225" i="1"/>
  <c r="Z256" i="1"/>
  <c r="Z272" i="1" s="1"/>
  <c r="Q272" i="1"/>
  <c r="BP176" i="1"/>
  <c r="I272" i="1"/>
  <c r="J197" i="1"/>
  <c r="BU247" i="1"/>
  <c r="BU206" i="1"/>
  <c r="W176" i="1"/>
  <c r="Y7" i="1"/>
  <c r="AD3" i="1"/>
  <c r="BU218" i="1"/>
  <c r="AR197" i="1"/>
  <c r="AR272" i="1" s="1"/>
  <c r="BU203" i="1"/>
  <c r="BU184" i="1"/>
  <c r="BF125" i="1"/>
  <c r="AS197" i="1"/>
  <c r="AS272" i="1" s="1"/>
  <c r="R196" i="1"/>
  <c r="BU148" i="1"/>
  <c r="BU194" i="1"/>
  <c r="BS196" i="1"/>
  <c r="BS197" i="1" s="1"/>
  <c r="R228" i="1"/>
  <c r="AB176" i="1"/>
  <c r="AB197" i="1" s="1"/>
  <c r="AB272" i="1" s="1"/>
  <c r="BU131" i="1"/>
  <c r="AQ228" i="1"/>
  <c r="BL272" i="1"/>
  <c r="BU211" i="1"/>
  <c r="BU141" i="1"/>
  <c r="BQ160" i="1"/>
  <c r="R255" i="1"/>
  <c r="BF197" i="1"/>
  <c r="BR140" i="1"/>
  <c r="BK124" i="1"/>
  <c r="BK125" i="1" s="1"/>
  <c r="BP255" i="1"/>
  <c r="BP256" i="1" s="1"/>
  <c r="BU237" i="1"/>
  <c r="BR228" i="1"/>
  <c r="BS125" i="1"/>
  <c r="X197" i="1"/>
  <c r="X272" i="1" s="1"/>
  <c r="AG196" i="1"/>
  <c r="BU230" i="1"/>
  <c r="BU133" i="1"/>
  <c r="BR241" i="1"/>
  <c r="BP241" i="1"/>
  <c r="BU251" i="1"/>
  <c r="BU222" i="1"/>
  <c r="J256" i="1"/>
  <c r="J272" i="1" s="1"/>
  <c r="X3" i="1"/>
  <c r="S7" i="1"/>
  <c r="R125" i="1"/>
  <c r="BQ124" i="1"/>
  <c r="BQ125" i="1" s="1"/>
  <c r="U197" i="1"/>
  <c r="U272" i="1" s="1"/>
  <c r="W125" i="1"/>
  <c r="BS255" i="1"/>
  <c r="BS256" i="1" s="1"/>
  <c r="BU153" i="1"/>
  <c r="BU217" i="1"/>
  <c r="AY256" i="1"/>
  <c r="AY272" i="1" s="1"/>
  <c r="AK272" i="1"/>
  <c r="BU86" i="1"/>
  <c r="BU87" i="1" s="1"/>
  <c r="BT87" i="1"/>
  <c r="BU219" i="1"/>
  <c r="AW256" i="1"/>
  <c r="BP140" i="1"/>
  <c r="AM197" i="1"/>
  <c r="AW272" i="1"/>
  <c r="Z197" i="1"/>
  <c r="AC256" i="1"/>
  <c r="AC272" i="1" s="1"/>
  <c r="BU233" i="1"/>
  <c r="BU204" i="1"/>
  <c r="BU134" i="1"/>
  <c r="BM197" i="1"/>
  <c r="BM272" i="1" s="1"/>
  <c r="BU224" i="1"/>
  <c r="BU244" i="1"/>
  <c r="BU161" i="1"/>
  <c r="BQ176" i="1"/>
  <c r="BB256" i="1"/>
  <c r="AJ256" i="1"/>
  <c r="AJ272" i="1" s="1"/>
  <c r="BU150" i="1"/>
  <c r="AV87" i="1"/>
  <c r="BG256" i="1"/>
  <c r="BG272" i="1" s="1"/>
  <c r="N197" i="1"/>
  <c r="N272" i="1" s="1"/>
  <c r="O197" i="1"/>
  <c r="O272" i="1" s="1"/>
  <c r="BU163" i="1"/>
  <c r="AR256" i="1"/>
  <c r="R140" i="1"/>
  <c r="BP196" i="1"/>
  <c r="BP197" i="1" s="1"/>
  <c r="BQ255" i="1"/>
  <c r="BU242" i="1"/>
  <c r="BA256" i="1"/>
  <c r="AI3" i="1" l="1"/>
  <c r="AD7" i="1"/>
  <c r="BU140" i="1"/>
  <c r="BQ256" i="1"/>
  <c r="W197" i="1"/>
  <c r="W272" i="1" s="1"/>
  <c r="BU228" i="1"/>
  <c r="BU176" i="1"/>
  <c r="BU196" i="1"/>
  <c r="X7" i="1"/>
  <c r="AC3" i="1"/>
  <c r="AL197" i="1"/>
  <c r="AL272" i="1" s="1"/>
  <c r="BU255" i="1"/>
  <c r="BU256" i="1" s="1"/>
  <c r="BS272" i="1"/>
  <c r="R197" i="1"/>
  <c r="BQ197" i="1"/>
  <c r="AZ3" i="1"/>
  <c r="AU7" i="1"/>
  <c r="AV7" i="1"/>
  <c r="BA3" i="1"/>
  <c r="BP272" i="1"/>
  <c r="BF272" i="1"/>
  <c r="R256" i="1"/>
  <c r="AG197" i="1"/>
  <c r="AG272" i="1" s="1"/>
  <c r="BU160" i="1"/>
  <c r="AY3" i="1"/>
  <c r="AT7" i="1"/>
  <c r="BU241" i="1"/>
  <c r="BF256" i="1"/>
  <c r="BH272" i="1"/>
  <c r="AQ256" i="1"/>
  <c r="AQ272" i="1"/>
  <c r="AN3" i="1" l="1"/>
  <c r="AI7" i="1"/>
  <c r="BE3" i="1"/>
  <c r="AZ7" i="1"/>
  <c r="BD3" i="1"/>
  <c r="AY7" i="1"/>
  <c r="AH3" i="1"/>
  <c r="AC7" i="1"/>
  <c r="BU197" i="1"/>
  <c r="BU272" i="1" s="1"/>
  <c r="BQ284" i="1"/>
  <c r="BQ272" i="1"/>
  <c r="BF3" i="1"/>
  <c r="BA7" i="1"/>
  <c r="R272" i="1"/>
  <c r="BI3" i="1" l="1"/>
  <c r="BD7" i="1"/>
  <c r="BK3" i="1"/>
  <c r="BF7" i="1"/>
  <c r="AM3" i="1"/>
  <c r="AH7" i="1"/>
  <c r="BJ3" i="1"/>
  <c r="BE7" i="1"/>
  <c r="AS3" i="1"/>
  <c r="AN7" i="1"/>
  <c r="AX3" i="1" l="1"/>
  <c r="AS7" i="1"/>
  <c r="BJ7" i="1"/>
  <c r="BO3" i="1"/>
  <c r="AM7" i="1"/>
  <c r="AR3" i="1"/>
  <c r="BK7" i="1"/>
  <c r="BP3" i="1"/>
  <c r="BI7" i="1"/>
  <c r="BN3" i="1"/>
  <c r="AR7" i="1" l="1"/>
  <c r="AW3" i="1"/>
  <c r="BO7" i="1"/>
  <c r="BT3" i="1"/>
  <c r="BT7" i="1" s="1"/>
  <c r="BP7" i="1"/>
  <c r="BU3" i="1"/>
  <c r="BU7" i="1" s="1"/>
  <c r="BS3" i="1"/>
  <c r="BS7" i="1" s="1"/>
  <c r="BN7" i="1"/>
  <c r="AX7" i="1"/>
  <c r="BC3" i="1"/>
  <c r="AW7" i="1" l="1"/>
  <c r="BB3" i="1"/>
  <c r="BC7" i="1"/>
  <c r="BH3" i="1"/>
  <c r="BB7" i="1" l="1"/>
  <c r="BG3" i="1"/>
  <c r="BM3" i="1"/>
  <c r="BH7" i="1"/>
  <c r="BR3" i="1" l="1"/>
  <c r="BR7" i="1" s="1"/>
  <c r="BM7" i="1"/>
  <c r="BL3" i="1"/>
  <c r="BG7" i="1"/>
  <c r="BQ3" i="1" l="1"/>
  <c r="BQ7" i="1" s="1"/>
  <c r="BL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E9" authorId="0" shapeId="0" xr:uid="{EA1BFD86-43FE-4F31-8576-F760F14DFB3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ĐỖ PHONG LAI</t>
        </r>
      </text>
    </comment>
    <comment ref="E10" authorId="0" shapeId="0" xr:uid="{6C0EF5F4-96A6-4440-8770-00AAD3075C5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ĐỖ PHONG LAI</t>
        </r>
      </text>
    </comment>
    <comment ref="G10" authorId="0" shapeId="0" xr:uid="{C991AE55-B453-449A-8D75-2188EF9575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HKD LÊ HÀ</t>
        </r>
      </text>
    </comment>
    <comment ref="E11" authorId="0" shapeId="0" xr:uid="{A59FDFBA-FC94-49E3-B9C0-067382DA2BD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ĐỖ PHONG LAI</t>
        </r>
      </text>
    </comment>
    <comment ref="E12" authorId="0" shapeId="0" xr:uid="{F1389C86-873D-4228-8C8D-DA6F54F14C4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ĐỖ PHONG LAI</t>
        </r>
      </text>
    </comment>
    <comment ref="E13" authorId="0" shapeId="0" xr:uid="{853847AE-E866-4703-B7FE-0649DB2FADB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ĐỖ PHONG LAI</t>
        </r>
      </text>
    </comment>
    <comment ref="F13" authorId="0" shapeId="0" xr:uid="{09536DDF-1CE4-45A8-BC31-ED931A8DA72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NPP KHÁNH PHONG BT</t>
        </r>
      </text>
    </comment>
    <comment ref="G13" authorId="0" shapeId="0" xr:uid="{4BACE3DE-7CD4-48D5-BF5D-986ADEBCC5C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KHÁNH PHONG BT</t>
        </r>
      </text>
    </comment>
    <comment ref="G18" authorId="0" shapeId="0" xr:uid="{44F3A0F3-A0FD-4A8F-80F2-E6F22416A0D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BÙI THỊ PHƯỢNG</t>
        </r>
      </text>
    </comment>
    <comment ref="G29" authorId="0" shapeId="0" xr:uid="{E7FA37E1-C3FF-4687-B80F-891A8A6224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VÕ THỊ NỞ</t>
        </r>
      </text>
    </comment>
    <comment ref="E35" authorId="0" shapeId="0" xr:uid="{C7DA9CA8-B1F1-4D41-A742-62468C3849A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NGUYỄN TẤN KHOA
</t>
        </r>
      </text>
    </comment>
    <comment ref="E54" authorId="0" shapeId="0" xr:uid="{173685E7-97AD-4BB5-8A0C-2A65B3A4F9A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DINH</t>
        </r>
      </text>
    </comment>
    <comment ref="E56" authorId="0" shapeId="0" xr:uid="{9083D4D1-00F9-4C72-96B0-7E97B89BC2C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TIẾN</t>
        </r>
      </text>
    </comment>
    <comment ref="E57" authorId="0" shapeId="0" xr:uid="{146DBB61-8158-4014-A8B3-D886ACC9F3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TRẦN MINH HẢI
</t>
        </r>
      </text>
    </comment>
    <comment ref="E58" authorId="0" shapeId="0" xr:uid="{B9954CB9-318E-4C87-9F5D-0506BFFB02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TRẦN MINH HẢI
</t>
        </r>
      </text>
    </comment>
    <comment ref="E67" authorId="0" shapeId="0" xr:uid="{533BDD0D-45FE-4864-9FC0-E687E795A8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TRẦN VĂN KHANH</t>
        </r>
      </text>
    </comment>
    <comment ref="E68" authorId="0" shapeId="0" xr:uid="{86A5E8EA-AD9F-4F72-8007-69EEC146634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TRẦN VĂN KHANH</t>
        </r>
      </text>
    </comment>
    <comment ref="G70" authorId="0" shapeId="0" xr:uid="{ADFA5811-C361-4AB0-A1DA-D6FE173BE10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thế DL 2</t>
        </r>
      </text>
    </comment>
    <comment ref="E75" authorId="0" shapeId="0" xr:uid="{5076A9E1-9D2E-4D88-8535-075430E7469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HỒ HOÀNG LONG</t>
        </r>
      </text>
    </comment>
    <comment ref="G81" authorId="0" shapeId="0" xr:uid="{EC4B6916-CE82-4EF1-A47E-3F521551BF5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NHƯ HÀ GIA LAI</t>
        </r>
      </text>
    </comment>
    <comment ref="E84" authorId="0" shapeId="0" xr:uid="{356CE012-1007-4B83-860B-43DEB242217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LÊ VIỆT HƯNG THAY PHẠM NGỌC LÂN
TRỌNG THAY HƯNG</t>
        </r>
      </text>
    </comment>
    <comment ref="E85" authorId="0" shapeId="0" xr:uid="{EBBABEE6-26EB-4768-B980-818C86F67E2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LÊ VIỆT HƯNG THAY PHẠM NGỌC LÂN
TRỌNG THAY HƯNG</t>
        </r>
      </text>
    </comment>
    <comment ref="E91" authorId="0" shapeId="0" xr:uid="{41F22235-137B-441A-B727-66C75A0369A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THỚI THANH HOÁNG</t>
        </r>
      </text>
    </comment>
    <comment ref="E99" authorId="0" shapeId="0" xr:uid="{69A4F7A6-343E-4CD1-BEEA-374663D16F2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NGUYỄN QUANG TUẤN</t>
        </r>
      </text>
    </comment>
    <comment ref="E103" authorId="0" shapeId="0" xr:uid="{8F4C374B-8372-4380-851D-71B73474A1B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THỚI THANH HOÁNG</t>
        </r>
      </text>
    </comment>
    <comment ref="E104" authorId="0" shapeId="0" xr:uid="{DAFF554B-0AA6-465A-8876-5EC34F4C3F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NGUYỄN QUANG TUẤN</t>
        </r>
      </text>
    </comment>
    <comment ref="F114" authorId="0" shapeId="0" xr:uid="{9EEBF439-0F54-4FFB-83DB-9023F6A9E10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Trung Nguyên</t>
        </r>
      </text>
    </comment>
    <comment ref="G116" authorId="0" shapeId="0" xr:uid="{DB190351-0BE4-433C-B225-7ED063051BD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NPP NHA TRANG</t>
        </r>
      </text>
    </comment>
    <comment ref="G120" authorId="0" shapeId="0" xr:uid="{5CCE8950-0477-486B-8184-12E39A3C784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HOÀNG LỢI THAY LINH TRANG</t>
        </r>
      </text>
    </comment>
    <comment ref="G144" authorId="0" shapeId="0" xr:uid="{291585B7-9F35-4CB7-B3B2-1A2E582D32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ĐỨC TRÍ THAY PHAN THỊ LIÊN</t>
        </r>
      </text>
    </comment>
    <comment ref="G150" authorId="1" shapeId="0" xr:uid="{18991D4D-6141-4E49-ABD3-6ABECB773CD2}">
      <text>
        <r>
          <rPr>
            <b/>
            <sz val="9"/>
            <color indexed="81"/>
            <rFont val="Tahoma"/>
            <family val="2"/>
          </rPr>
          <t>THAY: CTY QUYNH NGA HD</t>
        </r>
        <r>
          <rPr>
            <sz val="9"/>
            <color indexed="81"/>
            <rFont val="Tahoma"/>
            <family val="2"/>
          </rPr>
          <t xml:space="preserve">
THAY NGỌC LINH HY
THANH LINH THAY NGỌC LINH
</t>
        </r>
      </text>
    </comment>
    <comment ref="G151" authorId="0" shapeId="0" xr:uid="{86C342AB-3994-4BDF-9654-F5B476448EE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CHO TAM ANH </t>
        </r>
      </text>
    </comment>
    <comment ref="G162" authorId="0" shapeId="0" xr:uid="{EE22C28D-D6E8-4859-81B3-7CD369E0369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LAN HAI</t>
        </r>
      </text>
    </comment>
    <comment ref="G163" authorId="0" shapeId="0" xr:uid="{F7F3B85D-5BF6-44A0-BAB6-F59016AD5628}">
      <text>
        <r>
          <rPr>
            <b/>
            <sz val="9"/>
            <color indexed="81"/>
            <rFont val="Tahoma"/>
            <family val="2"/>
          </rPr>
          <t>1/ THAY NPP NGÔ THỊ CHUNG
2/ HOÁN ĐỔI LOẠI HÌNH +TARGET VỚI TUẤN CHUNG</t>
        </r>
      </text>
    </comment>
    <comment ref="G168" authorId="1" shapeId="0" xr:uid="{04F893B7-DFAE-48CE-BA62-46E20AE6BE2E}">
      <text>
        <r>
          <rPr>
            <b/>
            <sz val="9"/>
            <color indexed="81"/>
            <rFont val="Tahoma"/>
            <family val="2"/>
          </rPr>
          <t>THAY THẾ NEW HÀ NAM</t>
        </r>
      </text>
    </comment>
    <comment ref="G170" authorId="1" shapeId="0" xr:uid="{F7000342-815A-4AE1-A400-16570056DD05}">
      <text>
        <r>
          <rPr>
            <b/>
            <sz val="9"/>
            <color indexed="81"/>
            <rFont val="Tahoma"/>
            <family val="2"/>
          </rPr>
          <t xml:space="preserve"> HOÁN ĐỔI LOẠI HÌNH +TARGET VỚI CHUNG LAN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1" authorId="0" shapeId="0" xr:uid="{7448F508-EC57-40B3-AE49-F826175C2E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NHẬN CT CỦA LINH ANH ĐẠT</t>
        </r>
      </text>
    </comment>
    <comment ref="G172" authorId="0" shapeId="0" xr:uid="{E8D287FF-0D32-4EAD-92FD-87177CAFBCC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NHẠN CHT CỦA BẢO [PHÚC</t>
        </r>
      </text>
    </comment>
    <comment ref="G173" authorId="0" shapeId="0" xr:uid="{4292B13F-711B-4DCA-B759-08DA04673C8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NHẬN CT NGUYỄN THỊ HOAT</t>
        </r>
      </text>
    </comment>
    <comment ref="G174" authorId="0" shapeId="0" xr:uid="{28E12056-B031-4BAD-9114-C6A95A078FD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NHẬN CT QN 1</t>
        </r>
      </text>
    </comment>
    <comment ref="G175" authorId="0" shapeId="0" xr:uid="{99A8FA95-4FFD-4A88-9201-0A5026DF44D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NHẬN CT QN 2</t>
        </r>
      </text>
    </comment>
    <comment ref="G177" authorId="0" shapeId="0" xr:uid="{6BC878BE-F4AE-4EBB-9865-56B09B45CF6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NPP QUYẾT ĐẠT</t>
        </r>
      </text>
    </comment>
    <comment ref="G204" authorId="0" shapeId="0" xr:uid="{719C24BF-0C58-48DC-85C3-FBF11C12C12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QUỐC KHANG</t>
        </r>
      </text>
    </comment>
    <comment ref="G205" authorId="0" shapeId="0" xr:uid="{A8397303-1367-4567-B99B-615DF6878D5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THẾ THIÊN THIÊN VĂN</t>
        </r>
      </text>
    </comment>
    <comment ref="G208" authorId="0" shapeId="0" xr:uid="{A6A4400A-C19A-4FC5-AC2C-A4C7D413CF4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THẾ ESOFT</t>
        </r>
      </text>
    </comment>
    <comment ref="G216" authorId="0" shapeId="0" xr:uid="{65D864F3-EA5A-45EC-A966-80A27EBBA5F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CHO HOA THU</t>
        </r>
      </text>
    </comment>
    <comment ref="G226" authorId="0" shapeId="0" xr:uid="{8240388D-DC2A-4A67-B200-7D248CDD64C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TẤN THẮNG</t>
        </r>
      </text>
    </comment>
    <comment ref="G227" authorId="0" shapeId="0" xr:uid="{3448BBC1-CF54-4FD6-A1C2-00115206B8A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Leap</t>
        </r>
      </text>
    </comment>
    <comment ref="G237" authorId="0" shapeId="0" xr:uid="{0AAF4FFD-2E27-471A-997C-447BADF336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THAY TÂN PHÚ NGUYỄN</t>
        </r>
      </text>
    </comment>
  </commentList>
</comments>
</file>

<file path=xl/sharedStrings.xml><?xml version="1.0" encoding="utf-8"?>
<sst xmlns="http://schemas.openxmlformats.org/spreadsheetml/2006/main" count="1891" uniqueCount="656">
  <si>
    <t>Vikoda</t>
  </si>
  <si>
    <t>SPTT</t>
  </si>
  <si>
    <t>Tổng</t>
  </si>
  <si>
    <t>TARGET ALLOCATION SELL IN NPP</t>
  </si>
  <si>
    <t>Năm: 2026</t>
  </si>
  <si>
    <t>NATION WIDE</t>
  </si>
  <si>
    <t>TARGET NĂM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</si>
  <si>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</si>
  <si>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</si>
  <si>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</si>
  <si>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</si>
  <si>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</si>
  <si>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</si>
  <si>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</si>
  <si>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</si>
  <si>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</si>
  <si>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</si>
  <si>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</si>
  <si>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</si>
  <si>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</si>
  <si>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Miền</t>
  </si>
  <si>
    <t>Vùng</t>
  </si>
  <si>
    <t>Tỉnh</t>
  </si>
  <si>
    <t>Mã SS</t>
  </si>
  <si>
    <t>Tên SS</t>
  </si>
  <si>
    <t>MÃ NPP</t>
  </si>
  <si>
    <t>TÊN NPP</t>
  </si>
  <si>
    <t>KH</t>
  </si>
  <si>
    <t>VIKODA</t>
  </si>
  <si>
    <t>ĐẢNH THẠNH</t>
  </si>
  <si>
    <t>SUMO</t>
  </si>
  <si>
    <t>KDT</t>
  </si>
  <si>
    <t>TỔNG CỘNG</t>
  </si>
  <si>
    <t>Miền Trung 1</t>
  </si>
  <si>
    <t>Miền Trung 1A</t>
  </si>
  <si>
    <t>Bình Thuận</t>
  </si>
  <si>
    <t>MR ĐẠI_VACANT</t>
  </si>
  <si>
    <t>B-BITH-0010</t>
  </si>
  <si>
    <t>TRUONG VU</t>
  </si>
  <si>
    <t>DL</t>
  </si>
  <si>
    <t>Nguyễn Tấn Cường Duy</t>
  </si>
  <si>
    <t>B-BITH-0001</t>
  </si>
  <si>
    <t>KHANH THINH</t>
  </si>
  <si>
    <t>B-BITH-0056</t>
  </si>
  <si>
    <t>CTY LH VA HKT</t>
  </si>
  <si>
    <t>NPP</t>
  </si>
  <si>
    <t>B-BITH-0048</t>
  </si>
  <si>
    <t>THAI THUAN PHAT</t>
  </si>
  <si>
    <t>B-BITH-0050</t>
  </si>
  <si>
    <t>BAO HAN BT</t>
  </si>
  <si>
    <t>B-BITH-0058</t>
  </si>
  <si>
    <t>CTY ANH HAO PT</t>
  </si>
  <si>
    <t>Đồng Nai</t>
  </si>
  <si>
    <t>B-DONA-0063</t>
  </si>
  <si>
    <t>KHANH DANG</t>
  </si>
  <si>
    <t>Khánh Hòa</t>
  </si>
  <si>
    <t>EV000396</t>
  </si>
  <si>
    <t>ĐỖ LÝ ANH KHƯƠNG</t>
  </si>
  <si>
    <t>B-KHHO-0020</t>
  </si>
  <si>
    <t>HONG TUYET</t>
  </si>
  <si>
    <t>B-KHHO-0026</t>
  </si>
  <si>
    <t>QUANG VINH</t>
  </si>
  <si>
    <t>B-KHHO-0036</t>
  </si>
  <si>
    <t>TH DIEN KHANH</t>
  </si>
  <si>
    <t>TH</t>
  </si>
  <si>
    <t>B-KHHO-0006</t>
  </si>
  <si>
    <t>THANH PHUONG</t>
  </si>
  <si>
    <t>B-KHHO-0608</t>
  </si>
  <si>
    <t>PHUC THINH</t>
  </si>
  <si>
    <t>B-KHHO-0852</t>
  </si>
  <si>
    <t>HKD PHAN THI LOAN</t>
  </si>
  <si>
    <t>EV000588</t>
  </si>
  <si>
    <t>ĐOÀN THỊ KIM YẾN</t>
  </si>
  <si>
    <t>B-KHHO-0004</t>
  </si>
  <si>
    <t>PHUC DUC</t>
  </si>
  <si>
    <t>B-KHHO-0109</t>
  </si>
  <si>
    <t>NGUYEN VAN TEN</t>
  </si>
  <si>
    <t>B-KHHO-0110</t>
  </si>
  <si>
    <t>NGUYEN THANH BAN</t>
  </si>
  <si>
    <t>B-KHHO-0111</t>
  </si>
  <si>
    <t>MINH THIEN</t>
  </si>
  <si>
    <t>B-KHHO-0610</t>
  </si>
  <si>
    <t>THIEN THANH KHANG</t>
  </si>
  <si>
    <t>B-KHHO-0661</t>
  </si>
  <si>
    <t>HKD HOANG KHAI</t>
  </si>
  <si>
    <t>B-KHHO-0709</t>
  </si>
  <si>
    <t>TH CAM RANH</t>
  </si>
  <si>
    <t>B-KHHO-0900</t>
  </si>
  <si>
    <t>NPP NGUYEN PHAT CR</t>
  </si>
  <si>
    <t>EV000390</t>
  </si>
  <si>
    <t>PHAN NGỌC LỢI</t>
  </si>
  <si>
    <t>B-KHHO-0923</t>
  </si>
  <si>
    <t>VU NGUYEN</t>
  </si>
  <si>
    <t>B-KHHO-0684</t>
  </si>
  <si>
    <t>DANG NGOC TAM</t>
  </si>
  <si>
    <t>B-KHHO-0773</t>
  </si>
  <si>
    <t>HOANG DAT 79</t>
  </si>
  <si>
    <t>B-KHHO-0778</t>
  </si>
  <si>
    <t>HKD TOAN HIEU</t>
  </si>
  <si>
    <t>B-KHHO-0936</t>
  </si>
  <si>
    <t>TH CAM LAM</t>
  </si>
  <si>
    <t>Lâm Đồng</t>
  </si>
  <si>
    <t>EV000929</t>
  </si>
  <si>
    <t>PHẠM TRUNG</t>
  </si>
  <si>
    <t>B-LADO-0050</t>
  </si>
  <si>
    <t>PHUONG PHAT NGOC</t>
  </si>
  <si>
    <t>Ninh Thuận</t>
  </si>
  <si>
    <t>EV001560</t>
  </si>
  <si>
    <t>Hã Xuân Nhã</t>
  </si>
  <si>
    <t>B-NITH-0017</t>
  </si>
  <si>
    <t>CTY HANH HUNG PHUC</t>
  </si>
  <si>
    <t>Miền Trung 1A Total</t>
  </si>
  <si>
    <t xml:space="preserve">Miền Trung 1B </t>
  </si>
  <si>
    <t>EV000575</t>
  </si>
  <si>
    <t>HUỲNH THANH CƯỜNG</t>
  </si>
  <si>
    <t>B-KHHO-0008</t>
  </si>
  <si>
    <t>NGOC LE</t>
  </si>
  <si>
    <t>B-KHHO-0117</t>
  </si>
  <si>
    <t>MINH LONG</t>
  </si>
  <si>
    <t>B-KHHO-0203</t>
  </si>
  <si>
    <t>NGUYEN KHANH</t>
  </si>
  <si>
    <t>B-KHHO-0242</t>
  </si>
  <si>
    <t>NGUYEN TRUNG HIEN</t>
  </si>
  <si>
    <t>B-KHHO-0288</t>
  </si>
  <si>
    <t>TU TAI</t>
  </si>
  <si>
    <t>B-KHHO-0518</t>
  </si>
  <si>
    <t>CTY DAU KHI MIEN NAM</t>
  </si>
  <si>
    <t>B-KHHO-0599</t>
  </si>
  <si>
    <t>HOANG THIEN PHU</t>
  </si>
  <si>
    <t>B-KHHO-0772</t>
  </si>
  <si>
    <t>HANG THANH NGUYEN</t>
  </si>
  <si>
    <t>EV001075</t>
  </si>
  <si>
    <t>PHẠM VĂN HÒA</t>
  </si>
  <si>
    <t>B-KHHO-0015</t>
  </si>
  <si>
    <t>KIM THANH DAT</t>
  </si>
  <si>
    <t>EV000601</t>
  </si>
  <si>
    <t>PHAN THỊ THÙY LINH</t>
  </si>
  <si>
    <t>B-KHHO-0007</t>
  </si>
  <si>
    <t>MAI HONG</t>
  </si>
  <si>
    <t>B-KHHO-0010</t>
  </si>
  <si>
    <t>BAO THANH</t>
  </si>
  <si>
    <t>B-KHHO-0667</t>
  </si>
  <si>
    <t>HUYNH DOAN</t>
  </si>
  <si>
    <t>B-KHHO-0701</t>
  </si>
  <si>
    <t>LE CONG DUONG</t>
  </si>
  <si>
    <t>B-KHHO-0762</t>
  </si>
  <si>
    <t>NHA QUE</t>
  </si>
  <si>
    <t>EV001505</t>
  </si>
  <si>
    <t>Phan Văn Thịnh</t>
  </si>
  <si>
    <t>B-KHHO-0136</t>
  </si>
  <si>
    <t>HO SI NUOI</t>
  </si>
  <si>
    <t>B-KHHO-0287</t>
  </si>
  <si>
    <t>VAN LANG</t>
  </si>
  <si>
    <t>B-KHHO-0449</t>
  </si>
  <si>
    <t>VO THI THANH THANH</t>
  </si>
  <si>
    <t>Huỳnh Đức Thơ</t>
  </si>
  <si>
    <t>B-KHHO-0005</t>
  </si>
  <si>
    <t>HOA MAI</t>
  </si>
  <si>
    <t>B-KHHO-0903</t>
  </si>
  <si>
    <t>HKD LE NINH</t>
  </si>
  <si>
    <t>Trần Hoàng Tiến</t>
  </si>
  <si>
    <t>B-LADO-0037</t>
  </si>
  <si>
    <t>CTY HONG ANH</t>
  </si>
  <si>
    <t>Nguyễn Minh Giác</t>
  </si>
  <si>
    <t>B-LADO-0045</t>
  </si>
  <si>
    <t>DL TRUNG THOA</t>
  </si>
  <si>
    <t>B-LADO-0051</t>
  </si>
  <si>
    <t>TRUNG HUY</t>
  </si>
  <si>
    <t>Phú Yên</t>
  </si>
  <si>
    <t>EV002019</t>
  </si>
  <si>
    <t>Mai Duy Tân</t>
  </si>
  <si>
    <t>B-PHYE-0001</t>
  </si>
  <si>
    <t>NGOC QUANG</t>
  </si>
  <si>
    <t>B-PHYE-0008</t>
  </si>
  <si>
    <t>CTY AN NGUYEN PHAT</t>
  </si>
  <si>
    <t>B-PHYE-0032</t>
  </si>
  <si>
    <t>BAO THY</t>
  </si>
  <si>
    <t>B-PHYE-0033</t>
  </si>
  <si>
    <t>KHAI VIET PHI</t>
  </si>
  <si>
    <t>B-PHYE-0034</t>
  </si>
  <si>
    <t>HAN UYEN PY</t>
  </si>
  <si>
    <t>Miền Trung 1B Total</t>
  </si>
  <si>
    <t/>
  </si>
  <si>
    <t>Tây Nguyên</t>
  </si>
  <si>
    <t>Đăk Nông</t>
  </si>
  <si>
    <t>EV001864</t>
  </si>
  <si>
    <t>Nguyễn Tư</t>
  </si>
  <si>
    <t>B-DANO-0012</t>
  </si>
  <si>
    <t>CTY KIM THAN</t>
  </si>
  <si>
    <t>B-DANO-0016</t>
  </si>
  <si>
    <t>NGUYEN CANH</t>
  </si>
  <si>
    <t>ĐăkLăk</t>
  </si>
  <si>
    <t>Lê Kim Danh</t>
  </si>
  <si>
    <t>B-DALA-0032</t>
  </si>
  <si>
    <t>HOANG KHAI</t>
  </si>
  <si>
    <t>B-DALA-0051</t>
  </si>
  <si>
    <t>PHAN HOANG NGUYEN</t>
  </si>
  <si>
    <t>MR THỊNH_VACANT</t>
  </si>
  <si>
    <t>B-DALA-0056</t>
  </si>
  <si>
    <t>CTY THUY LINH</t>
  </si>
  <si>
    <t>B-DANO-0017</t>
  </si>
  <si>
    <t>VO PHUONG</t>
  </si>
  <si>
    <t>B-DALA-0203</t>
  </si>
  <si>
    <t>DAI LY NEW 3</t>
  </si>
  <si>
    <t>B-DALA-0204</t>
  </si>
  <si>
    <t>DAI LY NEW 4</t>
  </si>
  <si>
    <t>Mai Trung Nhân</t>
  </si>
  <si>
    <t>B-DALA-0001</t>
  </si>
  <si>
    <t>AN PHU</t>
  </si>
  <si>
    <t>B-DALA-0054</t>
  </si>
  <si>
    <t>KHANH THU</t>
  </si>
  <si>
    <t>Phan Lê Nguyên</t>
  </si>
  <si>
    <t>B-DALA-0058</t>
  </si>
  <si>
    <t>CTY CANH VAN</t>
  </si>
  <si>
    <t>EV001466</t>
  </si>
  <si>
    <t>PHAN TRỌNG NHÂN</t>
  </si>
  <si>
    <t>B-DALA-0004</t>
  </si>
  <si>
    <t>KHANH VAN</t>
  </si>
  <si>
    <t>B-DALA-0055</t>
  </si>
  <si>
    <t>PHUONG THIEN AN</t>
  </si>
  <si>
    <t>Gia Lai</t>
  </si>
  <si>
    <t>B-GILA-0240</t>
  </si>
  <si>
    <t>DAI LY NEW 1 - AN KHE</t>
  </si>
  <si>
    <t>B-GILA-0241</t>
  </si>
  <si>
    <t>DAI LY NEW 2 - AN KHE</t>
  </si>
  <si>
    <t>B-GILA-0243</t>
  </si>
  <si>
    <t>DAI LY NEW 3 - AN KHE</t>
  </si>
  <si>
    <t>Thới Thanh Hùng</t>
  </si>
  <si>
    <t>B-GILA-0038</t>
  </si>
  <si>
    <t>PHUONG TUNG GIA LAI</t>
  </si>
  <si>
    <t>Kontum</t>
  </si>
  <si>
    <t>B-KOTU-00155</t>
  </si>
  <si>
    <t>DAI LY NEW 8</t>
  </si>
  <si>
    <t>B-KOTU-00156</t>
  </si>
  <si>
    <t>DAI LY NEW 9</t>
  </si>
  <si>
    <t>Nguyễn Kim Trọng</t>
  </si>
  <si>
    <t>B-KOTU-0011</t>
  </si>
  <si>
    <t>TRI NGUYEN KONTUM</t>
  </si>
  <si>
    <t>B-KOTU-0015</t>
  </si>
  <si>
    <t>KIEN SON</t>
  </si>
  <si>
    <t>Tây Nguyên Total</t>
  </si>
  <si>
    <t>Miền Trung 1 - Total</t>
  </si>
  <si>
    <t>Miền Trung 2</t>
  </si>
  <si>
    <t>Miền Trung 2A</t>
  </si>
  <si>
    <t>Bình Định</t>
  </si>
  <si>
    <t>New SS 2A</t>
  </si>
  <si>
    <t>B-BIDI-0023</t>
  </si>
  <si>
    <t>CTY MINH THANH</t>
  </si>
  <si>
    <t>B-BIDI-0027</t>
  </si>
  <si>
    <t>NGOC DUY</t>
  </si>
  <si>
    <t>SS VACANCY BD</t>
  </si>
  <si>
    <t>B-BIDI-0024</t>
  </si>
  <si>
    <t>PHUOC DAT</t>
  </si>
  <si>
    <t>Nguyễn Ngọc Quỳnh</t>
  </si>
  <si>
    <t>B-BIDI-0036</t>
  </si>
  <si>
    <t>CTY HONG HIEN</t>
  </si>
  <si>
    <t>B-BIDI-1234</t>
  </si>
  <si>
    <t>NEW NPP BINH DINH</t>
  </si>
  <si>
    <t>VACANCE - MT2A</t>
  </si>
  <si>
    <t>B-BIDI-0028</t>
  </si>
  <si>
    <t>THANH YEN</t>
  </si>
  <si>
    <t>Quảng Nam</t>
  </si>
  <si>
    <t>EV001812</t>
  </si>
  <si>
    <t>Bùi Xuân Thắng Lợi</t>
  </si>
  <si>
    <t>B-QUNA-0029</t>
  </si>
  <si>
    <t>CONG TY NGUYEN TRAM</t>
  </si>
  <si>
    <t>EV001023</t>
  </si>
  <si>
    <t>Nguyễn Tấn Dũng</t>
  </si>
  <si>
    <t>B-QUNA-0043</t>
  </si>
  <si>
    <t>TAM KIM PHAT</t>
  </si>
  <si>
    <t>B-QUNA-0044</t>
  </si>
  <si>
    <t>MY PHUONG LINH</t>
  </si>
  <si>
    <t>EV002126</t>
  </si>
  <si>
    <t>Nguyễn Ngọc Anh 1</t>
  </si>
  <si>
    <t>B-QUNA-0002</t>
  </si>
  <si>
    <t>TRAN LONG DAT</t>
  </si>
  <si>
    <t>B-QUNA-0001</t>
  </si>
  <si>
    <t>LE MINH</t>
  </si>
  <si>
    <t>Quảng Ngãi</t>
  </si>
  <si>
    <t>Nguyễn Quang Vũ</t>
  </si>
  <si>
    <t>B-QUNG-0024</t>
  </si>
  <si>
    <t>NPP THIEN AN 1</t>
  </si>
  <si>
    <t>B-QUNG-0006</t>
  </si>
  <si>
    <t>TRIEU PHU</t>
  </si>
  <si>
    <t>B-QUNG-0019</t>
  </si>
  <si>
    <t>CTY THIEN AN</t>
  </si>
  <si>
    <t>B-QUNG-0021</t>
  </si>
  <si>
    <t>HA CHAU</t>
  </si>
  <si>
    <t>B-QUNG-0025</t>
  </si>
  <si>
    <t>LAN MUI</t>
  </si>
  <si>
    <t>B-QUNG-0022</t>
  </si>
  <si>
    <t>NPP HA CHAU</t>
  </si>
  <si>
    <t>Miền Trung 2A Total</t>
  </si>
  <si>
    <t>Miền Trung 2B</t>
  </si>
  <si>
    <t>Đà Nẵng</t>
  </si>
  <si>
    <t>EV001837</t>
  </si>
  <si>
    <t>Lê Hoàng Việt</t>
  </si>
  <si>
    <t>B-DANA-0114</t>
  </si>
  <si>
    <t>LAN LAC 1</t>
  </si>
  <si>
    <t>EV001321</t>
  </si>
  <si>
    <t>Nguyễn Công Thương</t>
  </si>
  <si>
    <t>B-DANA-0001</t>
  </si>
  <si>
    <t>LAN LAC</t>
  </si>
  <si>
    <t>EV000503</t>
  </si>
  <si>
    <t>Nguyễn Đắc Trung</t>
  </si>
  <si>
    <t>B-DANA-0116</t>
  </si>
  <si>
    <t>CTY TH XANH THINH</t>
  </si>
  <si>
    <t>EV001389</t>
  </si>
  <si>
    <t>Nguyễn Khắc Tín</t>
  </si>
  <si>
    <t>B-DANA-0102</t>
  </si>
  <si>
    <t>QUOC NGOC BAO</t>
  </si>
  <si>
    <t>B-DANA-0150</t>
  </si>
  <si>
    <t>NPP A TU PRO</t>
  </si>
  <si>
    <t>VACANCE - MT2B</t>
  </si>
  <si>
    <t>B-DANA-0050</t>
  </si>
  <si>
    <t>CTY THONG SEN</t>
  </si>
  <si>
    <t>B-DANA-0056</t>
  </si>
  <si>
    <t>CTY PHUOC MINH NGUYEN</t>
  </si>
  <si>
    <t>B-DANA-0066</t>
  </si>
  <si>
    <t>DOAN VAN HAI</t>
  </si>
  <si>
    <t>Other</t>
  </si>
  <si>
    <t>B-DANA-0163</t>
  </si>
  <si>
    <t>MAI VAN TAI</t>
  </si>
  <si>
    <t>Huế</t>
  </si>
  <si>
    <t>EV000492</t>
  </si>
  <si>
    <t>Nguyễn Hữu Tín</t>
  </si>
  <si>
    <t>B-TTHU-0013</t>
  </si>
  <si>
    <t>CTY PHUONG HIEN</t>
  </si>
  <si>
    <t>B-TTHU-0017</t>
  </si>
  <si>
    <t>CTY TAM NGUYEN</t>
  </si>
  <si>
    <t>Quảng Bình</t>
  </si>
  <si>
    <t>B-QUBI-0016</t>
  </si>
  <si>
    <t>PHUC DONG</t>
  </si>
  <si>
    <t>VACANCY SS QB</t>
  </si>
  <si>
    <t>B-QUBI-0015</t>
  </si>
  <si>
    <t>VUONG THUAN</t>
  </si>
  <si>
    <t>B-QUNA-0039</t>
  </si>
  <si>
    <t>CTY LANG BIEN NHIET DOI HOI AN</t>
  </si>
  <si>
    <t>Resort</t>
  </si>
  <si>
    <t>Quảng Trị</t>
  </si>
  <si>
    <t>EV001924</t>
  </si>
  <si>
    <t>Hoàng Văn Sum</t>
  </si>
  <si>
    <t>B-QUTR-0047</t>
  </si>
  <si>
    <t>HOANG LOI</t>
  </si>
  <si>
    <t>B-QUTR-0029</t>
  </si>
  <si>
    <t>HKD NGUYEN VAN HOAI</t>
  </si>
  <si>
    <t>B-QUTR-0026</t>
  </si>
  <si>
    <t>LINH DAN</t>
  </si>
  <si>
    <t>B-QUTR-0035</t>
  </si>
  <si>
    <t>DL LAO BAO</t>
  </si>
  <si>
    <t>Miền Trung 2B Total</t>
  </si>
  <si>
    <t>Miền Trung 2 Total</t>
  </si>
  <si>
    <t xml:space="preserve">Miền Bắc </t>
  </si>
  <si>
    <t>Tây Bắc</t>
  </si>
  <si>
    <t>Điện Biên</t>
  </si>
  <si>
    <t>DDTM TB 1</t>
  </si>
  <si>
    <t>NEW NPP ĐIỆN BIÊN</t>
  </si>
  <si>
    <t>NPPKNV</t>
  </si>
  <si>
    <t>Hòa Bình</t>
  </si>
  <si>
    <t>NEW NPP HÒA BÌNH</t>
  </si>
  <si>
    <t>Sơn La</t>
  </si>
  <si>
    <t>NEW NPP SƠN LA</t>
  </si>
  <si>
    <t>Lào Cai</t>
  </si>
  <si>
    <t>DDTM TB 2</t>
  </si>
  <si>
    <t>NEW NPP LÀO CAI</t>
  </si>
  <si>
    <t>Yên Bái</t>
  </si>
  <si>
    <t>NEW NPP YÊN BÁI</t>
  </si>
  <si>
    <t>Tuyên Quang</t>
  </si>
  <si>
    <t>B-TUQU-0006</t>
  </si>
  <si>
    <t>KHANG VI</t>
  </si>
  <si>
    <t>Hà Giang</t>
  </si>
  <si>
    <t>ASM TB TỰ bán</t>
  </si>
  <si>
    <t>B-HAGI-0002</t>
  </si>
  <si>
    <t>HKD TONG THANH NAM</t>
  </si>
  <si>
    <t>B-VIPH-0011</t>
  </si>
  <si>
    <t xml:space="preserve">CTY HK LEAPING VN </t>
  </si>
  <si>
    <t>B-VIPH-0010</t>
  </si>
  <si>
    <t>CTY VPP THUY DUONG</t>
  </si>
  <si>
    <t>Tây Bắc Total</t>
  </si>
  <si>
    <t>Đông Bắc</t>
  </si>
  <si>
    <t>Quảng Ninh</t>
  </si>
  <si>
    <t>Vũ Văn Tân</t>
  </si>
  <si>
    <t>B-QUNI-0010</t>
  </si>
  <si>
    <t>CTY CHIEN THANH</t>
  </si>
  <si>
    <t>Lạng Sơn</t>
  </si>
  <si>
    <t>DDTM ĐB 1</t>
  </si>
  <si>
    <t>B-LASO-0004</t>
  </si>
  <si>
    <t>CTY THIEN THANH LS</t>
  </si>
  <si>
    <t>EV001541</t>
  </si>
  <si>
    <t>B-QUNI-0009</t>
  </si>
  <si>
    <t>CTY MINK</t>
  </si>
  <si>
    <t>B-QUNI-0012</t>
  </si>
  <si>
    <t>DUC TRI FAMILY</t>
  </si>
  <si>
    <t>Thái Nguyên</t>
  </si>
  <si>
    <t>B-THNG-0005</t>
  </si>
  <si>
    <t>CTY HUONG SON</t>
  </si>
  <si>
    <t>Phú Thọ</t>
  </si>
  <si>
    <t>Nguyễn Như Tăng</t>
  </si>
  <si>
    <t>B-PHTH-0011</t>
  </si>
  <si>
    <t>CTY KHANH DAT - LIKADA</t>
  </si>
  <si>
    <t>Vĩnh Phúc</t>
  </si>
  <si>
    <t>B-VIPH-0013</t>
  </si>
  <si>
    <t>CTY VPP MINH DAT</t>
  </si>
  <si>
    <t>Bắc Giang</t>
  </si>
  <si>
    <t>Nguyễn Quyết Thắng</t>
  </si>
  <si>
    <t>B-BAGI-0014</t>
  </si>
  <si>
    <t>TAM AN BN</t>
  </si>
  <si>
    <t>Hải Dương</t>
  </si>
  <si>
    <t>ASM ĐB TỰ Bán</t>
  </si>
  <si>
    <t>NEW NPP HẢI DƯƠNG</t>
  </si>
  <si>
    <t>Hưng Yên</t>
  </si>
  <si>
    <t>B-HUYE-0022</t>
  </si>
  <si>
    <t>THANH LINH</t>
  </si>
  <si>
    <t>B-BAGI-0016</t>
  </si>
  <si>
    <t>CTY DUC DAT NT</t>
  </si>
  <si>
    <t>Cao Bằng</t>
  </si>
  <si>
    <t>B-CABA-0002</t>
  </si>
  <si>
    <t>HKD BAO PHUC</t>
  </si>
  <si>
    <t>B-HUYE-0014</t>
  </si>
  <si>
    <t>CTY TAM ANH</t>
  </si>
  <si>
    <t>B-HADU-0007</t>
  </si>
  <si>
    <t>CTY QUYNH NGA HD</t>
  </si>
  <si>
    <t>B-HUYE-0021</t>
  </si>
  <si>
    <t>HKD NGOC LINH HY</t>
  </si>
  <si>
    <t>B-HANC-0356</t>
  </si>
  <si>
    <t>NPP BAO MINH</t>
  </si>
  <si>
    <t>Thái Bình</t>
  </si>
  <si>
    <t>New NPP Thái Bình</t>
  </si>
  <si>
    <t>B-THBI-0010</t>
  </si>
  <si>
    <t>NPP TAI DUC TB</t>
  </si>
  <si>
    <t>Hải Phòng</t>
  </si>
  <si>
    <t>Vacant SS ĐB 1</t>
  </si>
  <si>
    <t>B-HAPH-0010</t>
  </si>
  <si>
    <t>CMA CONNECT</t>
  </si>
  <si>
    <t>Đông Bắc Total</t>
  </si>
  <si>
    <t>Bắc Miền Trung</t>
  </si>
  <si>
    <t>Hà Tĩnh</t>
  </si>
  <si>
    <t>Nguyễn Thị Hiển</t>
  </si>
  <si>
    <t>B-HATI-0006</t>
  </si>
  <si>
    <t>CTY DINH KHANG</t>
  </si>
  <si>
    <t>Nghệ An</t>
  </si>
  <si>
    <t>B-NGAN-0022</t>
  </si>
  <si>
    <t>HIEN PHUONG</t>
  </si>
  <si>
    <t>B-NGAN-0021</t>
  </si>
  <si>
    <t>CTY TM DV CHUNG LAN</t>
  </si>
  <si>
    <t>ASM BMT tự bán</t>
  </si>
  <si>
    <t>NEW NPP HÀ TĨNH</t>
  </si>
  <si>
    <t>B-HATI-0005</t>
  </si>
  <si>
    <t>HKD NAM KHANH</t>
  </si>
  <si>
    <t>Nam Định</t>
  </si>
  <si>
    <t>CAO THỊ HƯƠNG</t>
  </si>
  <si>
    <t>B-NADI-0009</t>
  </si>
  <si>
    <t>HKD HOANG ANH</t>
  </si>
  <si>
    <t>Ninh Bình</t>
  </si>
  <si>
    <t>B-NIBI-0005</t>
  </si>
  <si>
    <t>CTY AN HUONG</t>
  </si>
  <si>
    <t>Hà Nam</t>
  </si>
  <si>
    <t>B-HANA-0006</t>
  </si>
  <si>
    <t>HA TRANG HA NAM</t>
  </si>
  <si>
    <t>B-NGAN-0017</t>
  </si>
  <si>
    <t>CTY LAN HAI</t>
  </si>
  <si>
    <t>Thanh Hóa</t>
  </si>
  <si>
    <t>Hoàng Thị Phương</t>
  </si>
  <si>
    <t>B-THHO-0012</t>
  </si>
  <si>
    <t>CTY TUAN CHUNG</t>
  </si>
  <si>
    <t>B-THHO-0013</t>
  </si>
  <si>
    <t>NPP PHONG VAN TH</t>
  </si>
  <si>
    <t>B-NGAN-0013</t>
  </si>
  <si>
    <t>NGO THI CHUNG</t>
  </si>
  <si>
    <t>NEW NPP BMT 1</t>
  </si>
  <si>
    <t>NEW NPP BMT 2</t>
  </si>
  <si>
    <t>NEW NPP BMT 3</t>
  </si>
  <si>
    <t>Bắc Miền Trung Total</t>
  </si>
  <si>
    <t>Hà Nội</t>
  </si>
  <si>
    <t>Nguyễn Xuân Lộc</t>
  </si>
  <si>
    <t>B-HUYE-0023</t>
  </si>
  <si>
    <t>CTY DTA</t>
  </si>
  <si>
    <t>Vacant SS HN 1</t>
  </si>
  <si>
    <t>B-HANC-0418</t>
  </si>
  <si>
    <t xml:space="preserve">CTY HT VN </t>
  </si>
  <si>
    <t>B-HANC-0430</t>
  </si>
  <si>
    <t>CTY TRUONG MINH</t>
  </si>
  <si>
    <t>Vacant SS HN 2</t>
  </si>
  <si>
    <t>B-HANC-0412</t>
  </si>
  <si>
    <t xml:space="preserve">NPP NGOC PHAT VN </t>
  </si>
  <si>
    <t>Bắc Ninh</t>
  </si>
  <si>
    <t>B-BANI-0009</t>
  </si>
  <si>
    <t>CTY DV TM BAO TUYET</t>
  </si>
  <si>
    <t>ASM HN tự bán</t>
  </si>
  <si>
    <t>B-HANC-0275</t>
  </si>
  <si>
    <t>HAI ANH</t>
  </si>
  <si>
    <t>Hà Nội Total</t>
  </si>
  <si>
    <t>Miền Bắc -Total</t>
  </si>
  <si>
    <t>Miền Nam</t>
  </si>
  <si>
    <t>TP. HCM 1</t>
  </si>
  <si>
    <t>TP. HCM</t>
  </si>
  <si>
    <t>Đinh Vân Trường</t>
  </si>
  <si>
    <t>Trần Thanh Bảo</t>
  </si>
  <si>
    <t>B-HCMC-0178</t>
  </si>
  <si>
    <t>BINH MINH</t>
  </si>
  <si>
    <t>B-HCMC-0265</t>
  </si>
  <si>
    <t>THANH VY</t>
  </si>
  <si>
    <t>B-HCMC-0355</t>
  </si>
  <si>
    <t>CTY TAM NGHIA</t>
  </si>
  <si>
    <t>B-HCMC-0144</t>
  </si>
  <si>
    <t>LE HOANG MINH cũ</t>
  </si>
  <si>
    <t>B-HCMC-0914</t>
  </si>
  <si>
    <t>NGUYEN HOANG GROUP cũ</t>
  </si>
  <si>
    <t>DLCL</t>
  </si>
  <si>
    <t>B-HCMC-0853</t>
  </si>
  <si>
    <t>THUAN HAI</t>
  </si>
  <si>
    <t>New SS HCM 1</t>
  </si>
  <si>
    <t>B-HCMC-0996</t>
  </si>
  <si>
    <t>CTY TRAM ANH</t>
  </si>
  <si>
    <t>Trần Thiện Nghĩa</t>
  </si>
  <si>
    <t>B-HCMC-1029</t>
  </si>
  <si>
    <t>NGOC AN DI</t>
  </si>
  <si>
    <t>B-HCMC-0366</t>
  </si>
  <si>
    <t>CTY ARECO - MAI HOUSE</t>
  </si>
  <si>
    <t>KA</t>
  </si>
  <si>
    <t>B-HCMC-0926</t>
  </si>
  <si>
    <t>CTY CIP MEDIA</t>
  </si>
  <si>
    <t>B-HCMC-0863</t>
  </si>
  <si>
    <t>THIEN THIEN VAN</t>
  </si>
  <si>
    <t>B-HCMC-0376</t>
  </si>
  <si>
    <t>CTY GAS TAN TAI</t>
  </si>
  <si>
    <t>B-HCMC-0153</t>
  </si>
  <si>
    <t>CTY HIEU DUC</t>
  </si>
  <si>
    <t>B-HCMC-0608</t>
  </si>
  <si>
    <t>CTY IBUKI</t>
  </si>
  <si>
    <t>B-HCMC-1022</t>
  </si>
  <si>
    <t>DONG NHAN CARGO cũ</t>
  </si>
  <si>
    <t>B-HCMC-0369</t>
  </si>
  <si>
    <t>CTY MVILLAGE</t>
  </si>
  <si>
    <t>B-HCMC-0338</t>
  </si>
  <si>
    <t>CTY SX HD2N</t>
  </si>
  <si>
    <t>B-HCMC-0942</t>
  </si>
  <si>
    <t>HKD ANH TUAN</t>
  </si>
  <si>
    <t>B-HCMC-0997</t>
  </si>
  <si>
    <t>NPP NHAT MINH HOANG</t>
  </si>
  <si>
    <t>B-HCMC-0364</t>
  </si>
  <si>
    <t>KS SAI GON INN - NEW WORLD</t>
  </si>
  <si>
    <t>B-HCMC-0953</t>
  </si>
  <si>
    <t>LEXUS SAIGON - CTY OTO TOYOTSU SAMCO</t>
  </si>
  <si>
    <t>B-HANC-0409</t>
  </si>
  <si>
    <t>LEXUS THANG LONG</t>
  </si>
  <si>
    <t>Kiên Giang</t>
  </si>
  <si>
    <t>B-KIGI-0014</t>
  </si>
  <si>
    <t>QUOC MY LIQUOR</t>
  </si>
  <si>
    <t>TP. HCM 2</t>
  </si>
  <si>
    <t>Nguyễn Văn Sơn</t>
  </si>
  <si>
    <t>VACANCY ASM SƠN</t>
  </si>
  <si>
    <t>LE HOANG MINH</t>
  </si>
  <si>
    <t>NGUYEN HOANG GROUP</t>
  </si>
  <si>
    <t>DONG NHAN CARGO</t>
  </si>
  <si>
    <t>Ngô Chí Cường</t>
  </si>
  <si>
    <t>B-HCMC-1030</t>
  </si>
  <si>
    <t xml:space="preserve">PHUONG VY </t>
  </si>
  <si>
    <t>New SS HCM 2</t>
  </si>
  <si>
    <t>B-HCMC-1027</t>
  </si>
  <si>
    <t>NGOC TAM PHAT</t>
  </si>
  <si>
    <t>Nguyễn Thanh Điền</t>
  </si>
  <si>
    <t>B-HCMC-0921</t>
  </si>
  <si>
    <t>TRUONG MINH LOGISTICS</t>
  </si>
  <si>
    <t>Nguyễn Ngọc Thanh</t>
  </si>
  <si>
    <t>B-HCMC-1001</t>
  </si>
  <si>
    <t>CTY QT MINH KHUE</t>
  </si>
  <si>
    <t>Tp. HCM Total</t>
  </si>
  <si>
    <t>Miền Đông</t>
  </si>
  <si>
    <t>Bà Rịa Vũng Tàu</t>
  </si>
  <si>
    <t>Mai Duy Khánh</t>
  </si>
  <si>
    <t>B-BRVT-0003</t>
  </si>
  <si>
    <t>BUI THANH</t>
  </si>
  <si>
    <t>VACANCY ASM MD</t>
  </si>
  <si>
    <t>B-DONA-0066</t>
  </si>
  <si>
    <t>CTY HUY PHAT FAMILY</t>
  </si>
  <si>
    <t>B-DONA-0035</t>
  </si>
  <si>
    <t>MY HIEN</t>
  </si>
  <si>
    <t>Bình Dương</t>
  </si>
  <si>
    <t>B-BIDU-0042</t>
  </si>
  <si>
    <t>PHAM NGUYEN - LT</t>
  </si>
  <si>
    <t>B-DONA-0060</t>
  </si>
  <si>
    <t>CAO PHONG HUY</t>
  </si>
  <si>
    <t>Bình Phước</t>
  </si>
  <si>
    <t>B-BIPH-0018</t>
  </si>
  <si>
    <t>CTY QUANG LOI</t>
  </si>
  <si>
    <t>B-BIPH-0017</t>
  </si>
  <si>
    <t>THANH TUYEN</t>
  </si>
  <si>
    <t>Phạm Văn Hưng</t>
  </si>
  <si>
    <t>B-BRVT-0037</t>
  </si>
  <si>
    <t>BAO CHAU PHAT 168</t>
  </si>
  <si>
    <t>Nguyễn Văn Khiêm</t>
  </si>
  <si>
    <t>B-BIDU-0074</t>
  </si>
  <si>
    <t>BAY THIEN</t>
  </si>
  <si>
    <t>Miền Đông Total</t>
  </si>
  <si>
    <t>Miền Tây</t>
  </si>
  <si>
    <t>Cần Thơ</t>
  </si>
  <si>
    <t>VACANCY ASM MK</t>
  </si>
  <si>
    <t>B-CATH-0038</t>
  </si>
  <si>
    <t>BAO BAO</t>
  </si>
  <si>
    <t>Trà Vinh</t>
  </si>
  <si>
    <t>B-TRVI-0014</t>
  </si>
  <si>
    <t>HKD NGUYEN VAN HAI</t>
  </si>
  <si>
    <t>Hậu Giang</t>
  </si>
  <si>
    <t>B-HUGI-0011</t>
  </si>
  <si>
    <t>HONG THAM</t>
  </si>
  <si>
    <t>Tiền Giang</t>
  </si>
  <si>
    <t>B-TIGI-0035</t>
  </si>
  <si>
    <t>CTY TAN NGUYEN TN</t>
  </si>
  <si>
    <t>Bến Tre</t>
  </si>
  <si>
    <t>B-BETR-0014</t>
  </si>
  <si>
    <t>NPP BAO CHAU</t>
  </si>
  <si>
    <t>B-BETR-0013</t>
  </si>
  <si>
    <t>XUAN PHAT</t>
  </si>
  <si>
    <t>An Giang</t>
  </si>
  <si>
    <t xml:space="preserve"> Đoàn Văn Hoàng Tấn </t>
  </si>
  <si>
    <t>B-KIGI-0029</t>
  </si>
  <si>
    <t>CTY QUYET DAU TRAN</t>
  </si>
  <si>
    <t>B-CATH-0037</t>
  </si>
  <si>
    <t>HOANG MINH HAN</t>
  </si>
  <si>
    <t>Sóc Trăng</t>
  </si>
  <si>
    <t>B-SOTR-0014</t>
  </si>
  <si>
    <t>HKD TRUONG QUOC HUNG</t>
  </si>
  <si>
    <t>B-KIGI-0018</t>
  </si>
  <si>
    <t>TH CO CHAU</t>
  </si>
  <si>
    <t>Cà Mau</t>
  </si>
  <si>
    <t>B-CAMA-0007</t>
  </si>
  <si>
    <t>THANH AN 2</t>
  </si>
  <si>
    <t>B-ANGI-0023</t>
  </si>
  <si>
    <t>NPP THU VAN</t>
  </si>
  <si>
    <t>Bạc Liêu</t>
  </si>
  <si>
    <t>B-BALI-0012</t>
  </si>
  <si>
    <t>TRUNG TUAN</t>
  </si>
  <si>
    <t>Miền Tây  Total</t>
  </si>
  <si>
    <t>Miền Nam -Total</t>
  </si>
  <si>
    <t>MT&amp;KA</t>
  </si>
  <si>
    <t>KA Miền Trung 1</t>
  </si>
  <si>
    <t>Đỗ Văn Thu</t>
  </si>
  <si>
    <t>KA Miền Trung 1 Total</t>
  </si>
  <si>
    <t>KA Miền Trung 2</t>
  </si>
  <si>
    <t>Nguyễn Văn Khánh</t>
  </si>
  <si>
    <t>KA Miền Trung 2 Total</t>
  </si>
  <si>
    <t>KA Miền Nam</t>
  </si>
  <si>
    <t>Nguyễn Đinh Hoàng Phúc</t>
  </si>
  <si>
    <t>KA Miền Nam Total</t>
  </si>
  <si>
    <t>KA Miền Bắc</t>
  </si>
  <si>
    <t>Vacant KAS MB</t>
  </si>
  <si>
    <t>KA Miền Bắc Total</t>
  </si>
  <si>
    <t>MT</t>
  </si>
  <si>
    <t>Nguyễn Thị Phương Thảo</t>
  </si>
  <si>
    <t>MT Total</t>
  </si>
  <si>
    <t>MT&amp;KA Total</t>
  </si>
  <si>
    <t>B2C</t>
  </si>
  <si>
    <t>XK</t>
  </si>
  <si>
    <t>Other Total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</si>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</sst>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_(* #,##0.00000_);_(* \(#,##0.00000\);_(* &quot;-&quot;??_);_(@_)"/>
  </numFmts>
  <fonts count="14">
    <font>
      <sz val="11"/>
      <color theme="1"/>
      <name val="Cambria"/>
      <family val="2"/>
    </font>
    <font>
      <sz val="11"/>
      <color theme="1"/>
      <name val="Cambria"/>
      <family val="2"/>
    </font>
    <font>
      <sz val="12"/>
      <name val="Cambria"/>
      <family val="2"/>
    </font>
    <font>
      <b/>
      <sz val="12"/>
      <name val="Cambria"/>
      <family val="2"/>
    </font>
    <font>
      <sz val="11"/>
      <name val="Cambria"/>
      <family val="1"/>
    </font>
    <font>
      <sz val="11"/>
      <color theme="1"/>
      <name val="Calibri Light"/>
      <family val="1"/>
      <scheme val="major"/>
    </font>
    <font>
      <sz val="12"/>
      <name val="Cambria"/>
      <family val="1"/>
    </font>
    <font>
      <sz val="11"/>
      <name val="Cambria"/>
      <family val="2"/>
    </font>
    <font>
      <sz val="11"/>
      <color rgb="FFFF0000"/>
      <name val="Cambria"/>
      <family val="1"/>
    </font>
    <font>
      <sz val="11"/>
      <color theme="1"/>
      <name val="Cambria"/>
      <family val="1"/>
    </font>
    <font>
      <sz val="12"/>
      <color rgb="FFFF0000"/>
      <name val="Cambria"/>
      <family val="1"/>
    </font>
    <font>
      <b/>
      <sz val="12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164" fontId="3" fillId="0" borderId="0" xfId="1" applyNumberFormat="1" applyFont="1"/>
    <xf numFmtId="0" fontId="3" fillId="0" borderId="0" xfId="0" applyFont="1"/>
    <xf numFmtId="164" fontId="3" fillId="0" borderId="0" xfId="0" applyNumberFormat="1" applyFont="1"/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3" fillId="2" borderId="7" xfId="1" applyNumberFormat="1" applyFont="1" applyFill="1" applyBorder="1" applyAlignment="1">
      <alignment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164" fontId="2" fillId="0" borderId="6" xfId="1" applyNumberFormat="1" applyFont="1" applyFill="1" applyBorder="1"/>
    <xf numFmtId="164" fontId="2" fillId="3" borderId="6" xfId="1" applyNumberFormat="1" applyFont="1" applyFill="1" applyBorder="1"/>
    <xf numFmtId="164" fontId="4" fillId="0" borderId="6" xfId="1" applyNumberFormat="1" applyFont="1" applyFill="1" applyBorder="1"/>
    <xf numFmtId="164" fontId="2" fillId="4" borderId="6" xfId="1" applyNumberFormat="1" applyFont="1" applyFill="1" applyBorder="1"/>
    <xf numFmtId="164" fontId="5" fillId="4" borderId="6" xfId="1" applyNumberFormat="1" applyFont="1" applyFill="1" applyBorder="1"/>
    <xf numFmtId="164" fontId="2" fillId="5" borderId="6" xfId="1" applyNumberFormat="1" applyFont="1" applyFill="1" applyBorder="1"/>
    <xf numFmtId="164" fontId="6" fillId="5" borderId="6" xfId="1" applyNumberFormat="1" applyFont="1" applyFill="1" applyBorder="1"/>
    <xf numFmtId="0" fontId="3" fillId="4" borderId="6" xfId="0" applyFont="1" applyFill="1" applyBorder="1"/>
    <xf numFmtId="164" fontId="3" fillId="4" borderId="6" xfId="1" applyNumberFormat="1" applyFont="1" applyFill="1" applyBorder="1"/>
    <xf numFmtId="0" fontId="3" fillId="4" borderId="6" xfId="1" applyNumberFormat="1" applyFont="1" applyFill="1" applyBorder="1"/>
    <xf numFmtId="0" fontId="3" fillId="0" borderId="6" xfId="0" applyFont="1" applyBorder="1"/>
    <xf numFmtId="164" fontId="2" fillId="2" borderId="6" xfId="1" applyNumberFormat="1" applyFont="1" applyFill="1" applyBorder="1"/>
    <xf numFmtId="164" fontId="7" fillId="2" borderId="6" xfId="1" applyNumberFormat="1" applyFont="1" applyFill="1" applyBorder="1"/>
    <xf numFmtId="164" fontId="8" fillId="0" borderId="6" xfId="1" applyNumberFormat="1" applyFont="1" applyFill="1" applyBorder="1"/>
    <xf numFmtId="164" fontId="6" fillId="0" borderId="6" xfId="1" applyNumberFormat="1" applyFont="1" applyFill="1" applyBorder="1"/>
    <xf numFmtId="164" fontId="9" fillId="0" borderId="6" xfId="1" applyNumberFormat="1" applyFont="1" applyFill="1" applyBorder="1"/>
    <xf numFmtId="164" fontId="4" fillId="6" borderId="6" xfId="1" applyNumberFormat="1" applyFont="1" applyFill="1" applyBorder="1"/>
    <xf numFmtId="164" fontId="3" fillId="2" borderId="6" xfId="1" applyNumberFormat="1" applyFont="1" applyFill="1" applyBorder="1"/>
    <xf numFmtId="0" fontId="3" fillId="2" borderId="6" xfId="1" applyNumberFormat="1" applyFont="1" applyFill="1" applyBorder="1"/>
    <xf numFmtId="164" fontId="2" fillId="0" borderId="5" xfId="1" applyNumberFormat="1" applyFont="1" applyFill="1" applyBorder="1"/>
    <xf numFmtId="164" fontId="9" fillId="2" borderId="6" xfId="1" applyNumberFormat="1" applyFont="1" applyFill="1" applyBorder="1"/>
    <xf numFmtId="164" fontId="2" fillId="0" borderId="0" xfId="1" applyNumberFormat="1" applyFont="1"/>
    <xf numFmtId="164" fontId="6" fillId="3" borderId="6" xfId="1" applyNumberFormat="1" applyFont="1" applyFill="1" applyBorder="1"/>
    <xf numFmtId="164" fontId="5" fillId="3" borderId="6" xfId="1" applyNumberFormat="1" applyFont="1" applyFill="1" applyBorder="1"/>
    <xf numFmtId="164" fontId="2" fillId="7" borderId="6" xfId="1" applyNumberFormat="1" applyFont="1" applyFill="1" applyBorder="1"/>
    <xf numFmtId="0" fontId="4" fillId="0" borderId="6" xfId="0" applyFont="1" applyBorder="1" applyAlignment="1">
      <alignment horizontal="left"/>
    </xf>
    <xf numFmtId="0" fontId="3" fillId="2" borderId="6" xfId="0" applyFont="1" applyFill="1" applyBorder="1"/>
    <xf numFmtId="164" fontId="3" fillId="2" borderId="6" xfId="0" applyNumberFormat="1" applyFont="1" applyFill="1" applyBorder="1"/>
    <xf numFmtId="0" fontId="6" fillId="0" borderId="6" xfId="0" applyFont="1" applyBorder="1"/>
    <xf numFmtId="164" fontId="2" fillId="0" borderId="0" xfId="1" applyNumberFormat="1" applyFont="1" applyFill="1"/>
    <xf numFmtId="164" fontId="10" fillId="3" borderId="6" xfId="1" applyNumberFormat="1" applyFont="1" applyFill="1" applyBorder="1"/>
    <xf numFmtId="0" fontId="10" fillId="0" borderId="6" xfId="0" applyFont="1" applyBorder="1"/>
    <xf numFmtId="0" fontId="6" fillId="8" borderId="6" xfId="0" applyFont="1" applyFill="1" applyBorder="1"/>
    <xf numFmtId="0" fontId="6" fillId="9" borderId="6" xfId="0" applyFont="1" applyFill="1" applyBorder="1"/>
    <xf numFmtId="0" fontId="6" fillId="3" borderId="6" xfId="0" applyFont="1" applyFill="1" applyBorder="1"/>
    <xf numFmtId="0" fontId="6" fillId="10" borderId="6" xfId="0" applyFont="1" applyFill="1" applyBorder="1"/>
    <xf numFmtId="0" fontId="6" fillId="11" borderId="6" xfId="0" applyFont="1" applyFill="1" applyBorder="1"/>
    <xf numFmtId="0" fontId="6" fillId="12" borderId="6" xfId="0" applyFont="1" applyFill="1" applyBorder="1"/>
    <xf numFmtId="164" fontId="6" fillId="0" borderId="6" xfId="1" applyNumberFormat="1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164" fontId="2" fillId="12" borderId="6" xfId="1" applyNumberFormat="1" applyFont="1" applyFill="1" applyBorder="1"/>
    <xf numFmtId="0" fontId="2" fillId="12" borderId="6" xfId="0" applyFont="1" applyFill="1" applyBorder="1"/>
    <xf numFmtId="164" fontId="9" fillId="12" borderId="6" xfId="1" applyNumberFormat="1" applyFont="1" applyFill="1" applyBorder="1"/>
    <xf numFmtId="164" fontId="11" fillId="3" borderId="6" xfId="1" applyNumberFormat="1" applyFont="1" applyFill="1" applyBorder="1"/>
    <xf numFmtId="0" fontId="11" fillId="0" borderId="6" xfId="0" applyFont="1" applyBorder="1"/>
    <xf numFmtId="164" fontId="6" fillId="0" borderId="6" xfId="1" applyNumberFormat="1" applyFont="1" applyFill="1" applyBorder="1" applyAlignment="1">
      <alignment horizontal="left"/>
    </xf>
    <xf numFmtId="0" fontId="2" fillId="3" borderId="6" xfId="1" applyNumberFormat="1" applyFont="1" applyFill="1" applyBorder="1" applyAlignment="1">
      <alignment horizontal="left"/>
    </xf>
    <xf numFmtId="164" fontId="11" fillId="0" borderId="6" xfId="0" applyNumberFormat="1" applyFont="1" applyBorder="1"/>
    <xf numFmtId="0" fontId="6" fillId="2" borderId="6" xfId="0" applyFont="1" applyFill="1" applyBorder="1"/>
    <xf numFmtId="164" fontId="2" fillId="13" borderId="6" xfId="1" applyNumberFormat="1" applyFont="1" applyFill="1" applyBorder="1"/>
    <xf numFmtId="164" fontId="2" fillId="14" borderId="6" xfId="1" applyNumberFormat="1" applyFont="1" applyFill="1" applyBorder="1"/>
    <xf numFmtId="164" fontId="6" fillId="15" borderId="6" xfId="1" applyNumberFormat="1" applyFont="1" applyFill="1" applyBorder="1"/>
    <xf numFmtId="164" fontId="2" fillId="15" borderId="6" xfId="1" applyNumberFormat="1" applyFont="1" applyFill="1" applyBorder="1"/>
    <xf numFmtId="164" fontId="10" fillId="0" borderId="6" xfId="1" applyNumberFormat="1" applyFont="1" applyFill="1" applyBorder="1"/>
    <xf numFmtId="0" fontId="6" fillId="15" borderId="6" xfId="0" applyFont="1" applyFill="1" applyBorder="1"/>
    <xf numFmtId="164" fontId="5" fillId="9" borderId="6" xfId="1" applyNumberFormat="1" applyFont="1" applyFill="1" applyBorder="1"/>
    <xf numFmtId="0" fontId="2" fillId="3" borderId="6" xfId="0" applyFont="1" applyFill="1" applyBorder="1"/>
    <xf numFmtId="164" fontId="3" fillId="2" borderId="9" xfId="1" applyNumberFormat="1" applyFont="1" applyFill="1" applyBorder="1"/>
    <xf numFmtId="164" fontId="2" fillId="0" borderId="9" xfId="1" applyNumberFormat="1" applyFont="1" applyFill="1" applyBorder="1"/>
    <xf numFmtId="0" fontId="2" fillId="0" borderId="6" xfId="1" applyNumberFormat="1" applyFont="1" applyFill="1" applyBorder="1"/>
    <xf numFmtId="164" fontId="3" fillId="4" borderId="9" xfId="1" applyNumberFormat="1" applyFont="1" applyFill="1" applyBorder="1"/>
    <xf numFmtId="0" fontId="3" fillId="2" borderId="9" xfId="1" applyNumberFormat="1" applyFont="1" applyFill="1" applyBorder="1"/>
    <xf numFmtId="164" fontId="3" fillId="2" borderId="8" xfId="1" applyNumberFormat="1" applyFont="1" applyFill="1" applyBorder="1"/>
    <xf numFmtId="164" fontId="3" fillId="2" borderId="10" xfId="1" applyNumberFormat="1" applyFont="1" applyFill="1" applyBorder="1"/>
    <xf numFmtId="164" fontId="3" fillId="2" borderId="11" xfId="1" applyNumberFormat="1" applyFont="1" applyFill="1" applyBorder="1"/>
    <xf numFmtId="0" fontId="3" fillId="16" borderId="3" xfId="0" applyFont="1" applyFill="1" applyBorder="1"/>
    <xf numFmtId="0" fontId="3" fillId="16" borderId="4" xfId="0" applyFont="1" applyFill="1" applyBorder="1"/>
    <xf numFmtId="0" fontId="3" fillId="16" borderId="5" xfId="0" applyFont="1" applyFill="1" applyBorder="1"/>
    <xf numFmtId="0" fontId="3" fillId="16" borderId="6" xfId="0" applyFont="1" applyFill="1" applyBorder="1"/>
    <xf numFmtId="164" fontId="3" fillId="16" borderId="6" xfId="0" applyNumberFormat="1" applyFont="1" applyFill="1" applyBorder="1"/>
    <xf numFmtId="164" fontId="3" fillId="0" borderId="0" xfId="1" applyNumberFormat="1" applyFont="1" applyBorder="1"/>
    <xf numFmtId="164" fontId="3" fillId="0" borderId="6" xfId="1" applyNumberFormat="1" applyFont="1" applyBorder="1"/>
    <xf numFmtId="165" fontId="3" fillId="0" borderId="0" xfId="1" applyNumberFormat="1" applyFont="1"/>
    <xf numFmtId="164" fontId="2" fillId="0" borderId="0" xfId="0" applyNumberFormat="1" applyFont="1"/>
    <xf numFmtId="166" fontId="3" fillId="0" borderId="0" xfId="1" applyNumberFormat="1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Zalo%20Temp/TempDownloads/OGSM%20allocation%2030.06.2026.xlsx" TargetMode="External"/><Relationship Id="rId2" Type="http://schemas.openxmlformats.org/officeDocument/2006/relationships/externalLinkPath" Target="file:///C:\Users\ngdin\AppData\Local\Temp\Zalo%20Temp\TempDownloads\OGSM%20allocation%2030.06.2026.xlsx" TargetMode="External"/><Relationship Id="rId1" Type="http://schemas.openxmlformats.org/officeDocument/2006/relationships/externalLinkPath" Target="/Users/ngdin/AppData/Local/Temp/Zalo%20Temp/TempDownloads/OGSM%20allocation%2030.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ell in ko tính KDT"/>
      <sheetName val="Sell in tính KDT"/>
      <sheetName val="Sell Out tính KDT"/>
      <sheetName val="Sell Out ko tính KDT"/>
    </sheetNames>
    <sheetDataSet>
      <sheetData sheetId="0"/>
      <sheetData sheetId="1">
        <row r="109">
          <cell r="AC109">
            <v>9.013239158194315</v>
          </cell>
          <cell r="AD109">
            <v>217.97809231748258</v>
          </cell>
          <cell r="AG109">
            <v>17.439410253716421</v>
          </cell>
          <cell r="AH109">
            <v>209.341799667038</v>
          </cell>
          <cell r="AK109">
            <v>8.9394102537164155</v>
          </cell>
          <cell r="AL109">
            <v>237.841799667038</v>
          </cell>
          <cell r="AO109">
            <v>5.7347258716279903</v>
          </cell>
          <cell r="AP109">
            <v>225.91694150943499</v>
          </cell>
          <cell r="AS109">
            <v>8.2515282029731072</v>
          </cell>
          <cell r="AT109">
            <v>188.17343973363</v>
          </cell>
          <cell r="AW109">
            <v>6.3253571074510031</v>
          </cell>
          <cell r="AX109">
            <v>190.067225194229</v>
          </cell>
          <cell r="BA109">
            <v>7.8991860119288919</v>
          </cell>
          <cell r="BB109">
            <v>178.46101065482901</v>
          </cell>
        </row>
        <row r="110">
          <cell r="AC110">
            <v>3.0913964293093001</v>
          </cell>
          <cell r="AD110">
            <v>482.90860357069073</v>
          </cell>
          <cell r="AG110">
            <v>5.9979575734823767</v>
          </cell>
          <cell r="AH110">
            <v>491.34415603127002</v>
          </cell>
          <cell r="AK110">
            <v>10.208194999092985</v>
          </cell>
          <cell r="AL110">
            <v>485.909804172115</v>
          </cell>
          <cell r="AO110">
            <v>7.6570078710399292</v>
          </cell>
          <cell r="AP110">
            <v>474.58156346789298</v>
          </cell>
          <cell r="AS110">
            <v>6.3533315896023801</v>
          </cell>
          <cell r="AT110">
            <v>373.20896059778499</v>
          </cell>
          <cell r="AW110">
            <v>6.5496553081648301</v>
          </cell>
          <cell r="AX110">
            <v>370.33635772767599</v>
          </cell>
          <cell r="BA110">
            <v>6.2882307545011713</v>
          </cell>
          <cell r="BB110">
            <v>367.94246888260898</v>
          </cell>
        </row>
        <row r="126">
          <cell r="Q126">
            <v>21.5</v>
          </cell>
          <cell r="R126">
            <v>25</v>
          </cell>
          <cell r="U126">
            <v>21.5</v>
          </cell>
          <cell r="V126">
            <v>25</v>
          </cell>
          <cell r="Y126">
            <v>21.5</v>
          </cell>
          <cell r="Z126">
            <v>25</v>
          </cell>
        </row>
        <row r="127">
          <cell r="Q127">
            <v>2</v>
          </cell>
          <cell r="R127">
            <v>45</v>
          </cell>
          <cell r="U127">
            <v>2</v>
          </cell>
          <cell r="V127">
            <v>45</v>
          </cell>
          <cell r="Y127">
            <v>2</v>
          </cell>
          <cell r="Z127">
            <v>45</v>
          </cell>
        </row>
        <row r="128">
          <cell r="Q128">
            <v>16.5</v>
          </cell>
          <cell r="R128">
            <v>30</v>
          </cell>
          <cell r="U128">
            <v>29.35</v>
          </cell>
          <cell r="V128">
            <v>17.149999999999999</v>
          </cell>
          <cell r="Y128">
            <v>21.5</v>
          </cell>
          <cell r="Z128">
            <v>25</v>
          </cell>
        </row>
        <row r="129">
          <cell r="Q129">
            <v>22</v>
          </cell>
          <cell r="R129">
            <v>25</v>
          </cell>
          <cell r="U129">
            <v>22</v>
          </cell>
          <cell r="V129">
            <v>25</v>
          </cell>
          <cell r="Y129">
            <v>22</v>
          </cell>
          <cell r="Z129">
            <v>25</v>
          </cell>
          <cell r="AK129">
            <v>50</v>
          </cell>
          <cell r="AL129">
            <v>20</v>
          </cell>
          <cell r="AO129">
            <v>50</v>
          </cell>
          <cell r="AP129">
            <v>20</v>
          </cell>
          <cell r="AS129">
            <v>50</v>
          </cell>
          <cell r="AT129">
            <v>20</v>
          </cell>
          <cell r="AW129">
            <v>60</v>
          </cell>
          <cell r="AX129">
            <v>20</v>
          </cell>
          <cell r="BA129">
            <v>60</v>
          </cell>
          <cell r="BB129">
            <v>20</v>
          </cell>
        </row>
        <row r="130">
          <cell r="Q130">
            <v>28.5</v>
          </cell>
          <cell r="R130">
            <v>18</v>
          </cell>
          <cell r="U130">
            <v>30</v>
          </cell>
          <cell r="V130">
            <v>16.5</v>
          </cell>
          <cell r="Y130">
            <v>28.5</v>
          </cell>
          <cell r="Z130">
            <v>18</v>
          </cell>
          <cell r="AK130">
            <v>50</v>
          </cell>
          <cell r="AL130">
            <v>20</v>
          </cell>
          <cell r="AO130">
            <v>50</v>
          </cell>
          <cell r="AP130">
            <v>20</v>
          </cell>
          <cell r="AS130">
            <v>50</v>
          </cell>
          <cell r="AT130">
            <v>20</v>
          </cell>
          <cell r="AW130">
            <v>60</v>
          </cell>
          <cell r="AX130">
            <v>20</v>
          </cell>
          <cell r="BA130">
            <v>60</v>
          </cell>
          <cell r="BB130">
            <v>20</v>
          </cell>
        </row>
        <row r="131">
          <cell r="Q131">
            <v>28.5</v>
          </cell>
          <cell r="R131">
            <v>18</v>
          </cell>
          <cell r="U131">
            <v>30</v>
          </cell>
          <cell r="V131">
            <v>16.5</v>
          </cell>
          <cell r="Y131">
            <v>28.5</v>
          </cell>
          <cell r="Z131">
            <v>18</v>
          </cell>
          <cell r="AK131">
            <v>50</v>
          </cell>
          <cell r="AL131">
            <v>20</v>
          </cell>
          <cell r="AO131">
            <v>50</v>
          </cell>
          <cell r="AP131">
            <v>20</v>
          </cell>
          <cell r="AS131">
            <v>50</v>
          </cell>
          <cell r="AT131">
            <v>20</v>
          </cell>
          <cell r="AW131">
            <v>60</v>
          </cell>
          <cell r="AX131">
            <v>20</v>
          </cell>
          <cell r="BA131">
            <v>60</v>
          </cell>
          <cell r="BB131">
            <v>20</v>
          </cell>
        </row>
        <row r="132">
          <cell r="I132">
            <v>23.5</v>
          </cell>
          <cell r="J132">
            <v>70</v>
          </cell>
          <cell r="M132">
            <v>23.5</v>
          </cell>
          <cell r="N132">
            <v>70</v>
          </cell>
          <cell r="AK132">
            <v>50</v>
          </cell>
          <cell r="AL132">
            <v>20</v>
          </cell>
          <cell r="AO132">
            <v>50</v>
          </cell>
          <cell r="AP132">
            <v>20</v>
          </cell>
          <cell r="AS132">
            <v>50</v>
          </cell>
          <cell r="AT132">
            <v>20</v>
          </cell>
          <cell r="AW132">
            <v>60</v>
          </cell>
          <cell r="AX132">
            <v>20</v>
          </cell>
          <cell r="BA132">
            <v>60</v>
          </cell>
          <cell r="BB132">
            <v>20</v>
          </cell>
        </row>
        <row r="133">
          <cell r="I133">
            <v>83</v>
          </cell>
          <cell r="J133">
            <v>10</v>
          </cell>
          <cell r="M133">
            <v>82.5</v>
          </cell>
          <cell r="N133">
            <v>10.5</v>
          </cell>
        </row>
        <row r="134">
          <cell r="I134">
            <v>38.5</v>
          </cell>
          <cell r="J134">
            <v>55</v>
          </cell>
          <cell r="M134">
            <v>38.5</v>
          </cell>
          <cell r="N134">
            <v>55</v>
          </cell>
        </row>
        <row r="140">
          <cell r="I140">
            <v>48</v>
          </cell>
          <cell r="J140">
            <v>12</v>
          </cell>
          <cell r="M140">
            <v>0</v>
          </cell>
          <cell r="N140">
            <v>63</v>
          </cell>
          <cell r="Q140">
            <v>60</v>
          </cell>
          <cell r="R140">
            <v>10</v>
          </cell>
          <cell r="U140">
            <v>58</v>
          </cell>
          <cell r="V140">
            <v>19</v>
          </cell>
          <cell r="Y140">
            <v>55.5</v>
          </cell>
          <cell r="Z140">
            <v>14.5</v>
          </cell>
          <cell r="AC140">
            <v>30</v>
          </cell>
          <cell r="AD140">
            <v>10</v>
          </cell>
          <cell r="AG140">
            <v>30</v>
          </cell>
          <cell r="AH140">
            <v>10</v>
          </cell>
          <cell r="AK140">
            <v>30</v>
          </cell>
          <cell r="AL140">
            <v>10</v>
          </cell>
          <cell r="AO140">
            <v>30</v>
          </cell>
          <cell r="AP140">
            <v>10</v>
          </cell>
          <cell r="AS140">
            <v>30</v>
          </cell>
          <cell r="AT140">
            <v>10</v>
          </cell>
          <cell r="AW140">
            <v>30</v>
          </cell>
          <cell r="AX140">
            <v>10</v>
          </cell>
          <cell r="BA140">
            <v>30</v>
          </cell>
          <cell r="BB140">
            <v>10</v>
          </cell>
        </row>
        <row r="141">
          <cell r="I141">
            <v>80</v>
          </cell>
          <cell r="J141">
            <v>0</v>
          </cell>
          <cell r="M141">
            <v>77</v>
          </cell>
          <cell r="N141">
            <v>0</v>
          </cell>
          <cell r="Q141">
            <v>75</v>
          </cell>
          <cell r="R141">
            <v>0</v>
          </cell>
          <cell r="U141">
            <v>70</v>
          </cell>
          <cell r="V141">
            <v>0</v>
          </cell>
          <cell r="Y141">
            <v>75</v>
          </cell>
          <cell r="Z141">
            <v>0</v>
          </cell>
          <cell r="AC141">
            <v>50</v>
          </cell>
          <cell r="AD141">
            <v>10</v>
          </cell>
          <cell r="AG141">
            <v>50</v>
          </cell>
          <cell r="AH141">
            <v>10</v>
          </cell>
          <cell r="AK141">
            <v>50</v>
          </cell>
          <cell r="AL141">
            <v>10</v>
          </cell>
          <cell r="AO141">
            <v>50</v>
          </cell>
          <cell r="AP141">
            <v>10</v>
          </cell>
          <cell r="AS141">
            <v>50</v>
          </cell>
          <cell r="AT141">
            <v>10</v>
          </cell>
          <cell r="AW141">
            <v>50</v>
          </cell>
          <cell r="AX141">
            <v>10</v>
          </cell>
          <cell r="BA141">
            <v>50</v>
          </cell>
          <cell r="BB141">
            <v>10</v>
          </cell>
        </row>
        <row r="142">
          <cell r="I142">
            <v>119.5</v>
          </cell>
          <cell r="J142">
            <v>52.5</v>
          </cell>
          <cell r="M142">
            <v>162</v>
          </cell>
          <cell r="N142">
            <v>0</v>
          </cell>
          <cell r="Q142">
            <v>185</v>
          </cell>
          <cell r="R142">
            <v>0</v>
          </cell>
          <cell r="U142">
            <v>137.5</v>
          </cell>
          <cell r="V142">
            <v>48.5</v>
          </cell>
          <cell r="Y142">
            <v>134.9</v>
          </cell>
          <cell r="Z142">
            <v>53.199999999999996</v>
          </cell>
          <cell r="AC142">
            <v>50</v>
          </cell>
          <cell r="AD142">
            <v>10</v>
          </cell>
          <cell r="AG142">
            <v>50</v>
          </cell>
          <cell r="AH142">
            <v>10</v>
          </cell>
          <cell r="AK142">
            <v>50</v>
          </cell>
          <cell r="AL142">
            <v>10</v>
          </cell>
          <cell r="AO142">
            <v>50</v>
          </cell>
          <cell r="AP142">
            <v>10</v>
          </cell>
          <cell r="AS142">
            <v>50</v>
          </cell>
          <cell r="AT142">
            <v>10</v>
          </cell>
          <cell r="AW142">
            <v>50</v>
          </cell>
          <cell r="AX142">
            <v>10</v>
          </cell>
          <cell r="BA142">
            <v>50</v>
          </cell>
          <cell r="BB142">
            <v>10</v>
          </cell>
        </row>
        <row r="143">
          <cell r="I143">
            <v>98</v>
          </cell>
          <cell r="J143">
            <v>2</v>
          </cell>
          <cell r="M143">
            <v>100</v>
          </cell>
          <cell r="N143">
            <v>2</v>
          </cell>
          <cell r="Q143">
            <v>100</v>
          </cell>
          <cell r="R143">
            <v>0</v>
          </cell>
          <cell r="U143">
            <v>120</v>
          </cell>
          <cell r="V143">
            <v>0</v>
          </cell>
          <cell r="Y143">
            <v>103</v>
          </cell>
          <cell r="Z143">
            <v>10</v>
          </cell>
          <cell r="AC143">
            <v>30</v>
          </cell>
          <cell r="AD143">
            <v>10</v>
          </cell>
          <cell r="AG143">
            <v>50</v>
          </cell>
          <cell r="AH143">
            <v>10</v>
          </cell>
          <cell r="AK143">
            <v>50</v>
          </cell>
          <cell r="AL143">
            <v>10</v>
          </cell>
          <cell r="AO143">
            <v>50</v>
          </cell>
          <cell r="AP143">
            <v>10</v>
          </cell>
          <cell r="AS143">
            <v>50</v>
          </cell>
          <cell r="AT143">
            <v>10</v>
          </cell>
          <cell r="AW143">
            <v>50</v>
          </cell>
          <cell r="AX143">
            <v>10</v>
          </cell>
          <cell r="BA143">
            <v>50</v>
          </cell>
          <cell r="BB143">
            <v>10</v>
          </cell>
        </row>
        <row r="144">
          <cell r="I144">
            <v>40</v>
          </cell>
          <cell r="J144">
            <v>0</v>
          </cell>
          <cell r="M144">
            <v>40</v>
          </cell>
          <cell r="N144">
            <v>0</v>
          </cell>
          <cell r="Q144">
            <v>50</v>
          </cell>
          <cell r="R144">
            <v>0</v>
          </cell>
          <cell r="U144">
            <v>41</v>
          </cell>
          <cell r="V144">
            <v>0</v>
          </cell>
          <cell r="Y144">
            <v>40</v>
          </cell>
          <cell r="Z144">
            <v>0</v>
          </cell>
          <cell r="AC144">
            <v>30</v>
          </cell>
          <cell r="AD144">
            <v>10</v>
          </cell>
          <cell r="AG144">
            <v>30</v>
          </cell>
          <cell r="AH144">
            <v>10</v>
          </cell>
          <cell r="AK144">
            <v>30</v>
          </cell>
          <cell r="AL144">
            <v>10</v>
          </cell>
          <cell r="AO144">
            <v>30</v>
          </cell>
          <cell r="AP144">
            <v>10</v>
          </cell>
          <cell r="AS144">
            <v>30</v>
          </cell>
          <cell r="AT144">
            <v>10</v>
          </cell>
          <cell r="AW144">
            <v>30</v>
          </cell>
          <cell r="AX144">
            <v>10</v>
          </cell>
          <cell r="BA144">
            <v>30</v>
          </cell>
          <cell r="BB144">
            <v>10</v>
          </cell>
        </row>
        <row r="145">
          <cell r="I145">
            <v>8</v>
          </cell>
          <cell r="J145">
            <v>32</v>
          </cell>
          <cell r="M145">
            <v>8</v>
          </cell>
          <cell r="N145">
            <v>32</v>
          </cell>
          <cell r="Q145">
            <v>22</v>
          </cell>
          <cell r="R145">
            <v>28</v>
          </cell>
          <cell r="U145">
            <v>12</v>
          </cell>
          <cell r="V145">
            <v>28</v>
          </cell>
          <cell r="Y145">
            <v>18.25</v>
          </cell>
          <cell r="Z145">
            <v>22.4</v>
          </cell>
          <cell r="AC145">
            <v>50</v>
          </cell>
          <cell r="AD145">
            <v>10</v>
          </cell>
          <cell r="AG145">
            <v>50</v>
          </cell>
          <cell r="AH145">
            <v>10</v>
          </cell>
          <cell r="AK145">
            <v>50</v>
          </cell>
          <cell r="AL145">
            <v>10</v>
          </cell>
          <cell r="AO145">
            <v>50</v>
          </cell>
          <cell r="AP145">
            <v>10</v>
          </cell>
          <cell r="AS145">
            <v>50</v>
          </cell>
          <cell r="AT145">
            <v>10</v>
          </cell>
          <cell r="AW145">
            <v>50</v>
          </cell>
          <cell r="AX145">
            <v>10</v>
          </cell>
          <cell r="BA145">
            <v>50</v>
          </cell>
          <cell r="BB145">
            <v>10</v>
          </cell>
        </row>
        <row r="146">
          <cell r="I146">
            <v>31.1</v>
          </cell>
          <cell r="J146">
            <v>33.9</v>
          </cell>
          <cell r="M146">
            <v>56.099999999999994</v>
          </cell>
          <cell r="N146">
            <v>23.9</v>
          </cell>
          <cell r="Q146">
            <v>88.9</v>
          </cell>
          <cell r="R146">
            <v>31.1</v>
          </cell>
          <cell r="U146">
            <v>108.9</v>
          </cell>
          <cell r="V146">
            <v>31.1</v>
          </cell>
          <cell r="Y146">
            <v>162</v>
          </cell>
          <cell r="Z146">
            <v>13</v>
          </cell>
          <cell r="AC146">
            <v>60</v>
          </cell>
          <cell r="AD146">
            <v>20</v>
          </cell>
          <cell r="AG146">
            <v>60</v>
          </cell>
          <cell r="AH146">
            <v>20</v>
          </cell>
          <cell r="AK146">
            <v>60</v>
          </cell>
          <cell r="AL146">
            <v>20</v>
          </cell>
          <cell r="AO146">
            <v>60</v>
          </cell>
          <cell r="AP146">
            <v>20</v>
          </cell>
          <cell r="AS146">
            <v>60</v>
          </cell>
          <cell r="AT146">
            <v>20</v>
          </cell>
          <cell r="AW146">
            <v>60</v>
          </cell>
          <cell r="AX146">
            <v>20</v>
          </cell>
          <cell r="BA146">
            <v>60</v>
          </cell>
          <cell r="BB146">
            <v>20</v>
          </cell>
        </row>
        <row r="147">
          <cell r="I147">
            <v>215</v>
          </cell>
          <cell r="J147">
            <v>15</v>
          </cell>
          <cell r="M147">
            <v>177.5</v>
          </cell>
          <cell r="N147">
            <v>45</v>
          </cell>
          <cell r="Q147">
            <v>177.5</v>
          </cell>
          <cell r="R147">
            <v>45</v>
          </cell>
          <cell r="U147">
            <v>177.5</v>
          </cell>
          <cell r="V147">
            <v>45</v>
          </cell>
          <cell r="Y147">
            <v>109</v>
          </cell>
          <cell r="Z147">
            <v>45</v>
          </cell>
          <cell r="AC147">
            <v>100</v>
          </cell>
          <cell r="AD147">
            <v>44</v>
          </cell>
          <cell r="AG147">
            <v>100</v>
          </cell>
          <cell r="AH147">
            <v>50</v>
          </cell>
          <cell r="AK147">
            <v>100</v>
          </cell>
          <cell r="AL147">
            <v>50</v>
          </cell>
          <cell r="AO147">
            <v>100</v>
          </cell>
          <cell r="AP147">
            <v>50</v>
          </cell>
          <cell r="AS147">
            <v>100</v>
          </cell>
          <cell r="AT147">
            <v>50</v>
          </cell>
          <cell r="AW147">
            <v>100</v>
          </cell>
          <cell r="AX147">
            <v>50</v>
          </cell>
          <cell r="BA147">
            <v>100</v>
          </cell>
          <cell r="BB147">
            <v>50</v>
          </cell>
        </row>
        <row r="148">
          <cell r="I148">
            <v>40</v>
          </cell>
          <cell r="J148">
            <v>0</v>
          </cell>
          <cell r="M148">
            <v>40</v>
          </cell>
          <cell r="N148">
            <v>0</v>
          </cell>
          <cell r="AG148">
            <v>30</v>
          </cell>
          <cell r="AH148">
            <v>10</v>
          </cell>
          <cell r="AK148">
            <v>40</v>
          </cell>
          <cell r="AL148">
            <v>20</v>
          </cell>
          <cell r="AO148">
            <v>40</v>
          </cell>
          <cell r="AP148">
            <v>20</v>
          </cell>
          <cell r="AS148">
            <v>40</v>
          </cell>
          <cell r="AT148">
            <v>20</v>
          </cell>
          <cell r="AW148">
            <v>40</v>
          </cell>
          <cell r="AX148">
            <v>20</v>
          </cell>
          <cell r="BA148">
            <v>40</v>
          </cell>
          <cell r="BB148">
            <v>20</v>
          </cell>
        </row>
        <row r="149">
          <cell r="I149">
            <v>40</v>
          </cell>
          <cell r="J149">
            <v>0</v>
          </cell>
          <cell r="M149">
            <v>40</v>
          </cell>
          <cell r="N149">
            <v>0</v>
          </cell>
          <cell r="Q149">
            <v>40</v>
          </cell>
          <cell r="R149">
            <v>0</v>
          </cell>
          <cell r="U149">
            <v>45</v>
          </cell>
          <cell r="V149">
            <v>0</v>
          </cell>
          <cell r="Y149">
            <v>45</v>
          </cell>
          <cell r="Z149">
            <v>0</v>
          </cell>
          <cell r="AG149">
            <v>30</v>
          </cell>
          <cell r="AH149">
            <v>10</v>
          </cell>
          <cell r="AK149">
            <v>30</v>
          </cell>
          <cell r="AL149">
            <v>10</v>
          </cell>
          <cell r="AO149">
            <v>30</v>
          </cell>
          <cell r="AP149">
            <v>10</v>
          </cell>
          <cell r="AS149">
            <v>30</v>
          </cell>
          <cell r="AT149">
            <v>10</v>
          </cell>
          <cell r="AW149">
            <v>30</v>
          </cell>
          <cell r="AX149">
            <v>10</v>
          </cell>
          <cell r="BA149">
            <v>30</v>
          </cell>
          <cell r="BB149">
            <v>10</v>
          </cell>
        </row>
        <row r="150">
          <cell r="I150">
            <v>40</v>
          </cell>
          <cell r="J150">
            <v>0</v>
          </cell>
          <cell r="M150">
            <v>40</v>
          </cell>
          <cell r="N150">
            <v>0</v>
          </cell>
          <cell r="Q150">
            <v>40</v>
          </cell>
          <cell r="R150">
            <v>0</v>
          </cell>
          <cell r="U150">
            <v>40</v>
          </cell>
          <cell r="V150">
            <v>0</v>
          </cell>
          <cell r="Y150">
            <v>156</v>
          </cell>
          <cell r="AC150">
            <v>100</v>
          </cell>
          <cell r="AD150">
            <v>44</v>
          </cell>
          <cell r="AG150">
            <v>100</v>
          </cell>
          <cell r="AH150">
            <v>44</v>
          </cell>
          <cell r="AK150">
            <v>100</v>
          </cell>
          <cell r="AL150">
            <v>50</v>
          </cell>
          <cell r="AO150">
            <v>100</v>
          </cell>
          <cell r="AP150">
            <v>50</v>
          </cell>
          <cell r="AS150">
            <v>100</v>
          </cell>
          <cell r="AT150">
            <v>50</v>
          </cell>
          <cell r="AW150">
            <v>100</v>
          </cell>
          <cell r="AX150">
            <v>50</v>
          </cell>
          <cell r="BA150">
            <v>100</v>
          </cell>
          <cell r="BB150">
            <v>50</v>
          </cell>
        </row>
        <row r="151">
          <cell r="I151">
            <v>10</v>
          </cell>
          <cell r="J151">
            <v>30</v>
          </cell>
          <cell r="M151">
            <v>40</v>
          </cell>
          <cell r="N151">
            <v>0</v>
          </cell>
          <cell r="AG151">
            <v>30</v>
          </cell>
          <cell r="AH151">
            <v>10</v>
          </cell>
          <cell r="AK151">
            <v>40</v>
          </cell>
          <cell r="AL151">
            <v>10</v>
          </cell>
          <cell r="AO151">
            <v>50</v>
          </cell>
          <cell r="AP151">
            <v>10</v>
          </cell>
          <cell r="AS151">
            <v>50</v>
          </cell>
          <cell r="AT151">
            <v>10</v>
          </cell>
          <cell r="AW151">
            <v>50</v>
          </cell>
          <cell r="AX151">
            <v>10</v>
          </cell>
          <cell r="BA151">
            <v>50</v>
          </cell>
          <cell r="BB151">
            <v>10</v>
          </cell>
        </row>
        <row r="152">
          <cell r="I152">
            <v>49.5</v>
          </cell>
          <cell r="J152">
            <v>40.5</v>
          </cell>
          <cell r="M152">
            <v>49.5</v>
          </cell>
          <cell r="N152">
            <v>40.5</v>
          </cell>
          <cell r="AG152">
            <v>30</v>
          </cell>
          <cell r="AH152">
            <v>10</v>
          </cell>
          <cell r="AK152">
            <v>40</v>
          </cell>
          <cell r="AL152">
            <v>20</v>
          </cell>
          <cell r="AO152">
            <v>40</v>
          </cell>
          <cell r="AP152">
            <v>20</v>
          </cell>
          <cell r="AS152">
            <v>40</v>
          </cell>
          <cell r="AT152">
            <v>20</v>
          </cell>
          <cell r="AW152">
            <v>40</v>
          </cell>
          <cell r="AX152">
            <v>20</v>
          </cell>
          <cell r="BA152">
            <v>40</v>
          </cell>
          <cell r="BB152">
            <v>20</v>
          </cell>
        </row>
        <row r="153">
          <cell r="I153">
            <v>20</v>
          </cell>
          <cell r="J153">
            <v>32.1</v>
          </cell>
          <cell r="M153">
            <v>20</v>
          </cell>
          <cell r="N153">
            <v>33</v>
          </cell>
          <cell r="AC153">
            <v>30</v>
          </cell>
          <cell r="AD153">
            <v>10</v>
          </cell>
          <cell r="AG153">
            <v>30</v>
          </cell>
          <cell r="AH153">
            <v>10</v>
          </cell>
          <cell r="AK153">
            <v>30</v>
          </cell>
          <cell r="AL153">
            <v>10</v>
          </cell>
          <cell r="AO153">
            <v>30</v>
          </cell>
          <cell r="AP153">
            <v>10</v>
          </cell>
          <cell r="AS153">
            <v>30</v>
          </cell>
          <cell r="AT153">
            <v>10</v>
          </cell>
          <cell r="AW153">
            <v>30</v>
          </cell>
          <cell r="AX153">
            <v>10</v>
          </cell>
          <cell r="BA153">
            <v>30</v>
          </cell>
          <cell r="BB153">
            <v>10</v>
          </cell>
        </row>
        <row r="154">
          <cell r="AG154">
            <v>30</v>
          </cell>
          <cell r="AH154">
            <v>10</v>
          </cell>
          <cell r="AK154">
            <v>45</v>
          </cell>
          <cell r="AL154">
            <v>20</v>
          </cell>
          <cell r="AO154">
            <v>45</v>
          </cell>
          <cell r="AP154">
            <v>20</v>
          </cell>
          <cell r="AS154">
            <v>45</v>
          </cell>
          <cell r="AT154">
            <v>20</v>
          </cell>
          <cell r="AW154">
            <v>45</v>
          </cell>
          <cell r="AX154">
            <v>20</v>
          </cell>
          <cell r="BA154">
            <v>45</v>
          </cell>
          <cell r="BB154">
            <v>20</v>
          </cell>
        </row>
        <row r="155">
          <cell r="I155">
            <v>29.5</v>
          </cell>
          <cell r="J155">
            <v>10.5</v>
          </cell>
          <cell r="M155">
            <v>38</v>
          </cell>
          <cell r="N155">
            <v>2</v>
          </cell>
          <cell r="Q155">
            <v>30</v>
          </cell>
          <cell r="R155">
            <v>10</v>
          </cell>
          <cell r="U155">
            <v>30.3</v>
          </cell>
          <cell r="V155">
            <v>9.6999999999999993</v>
          </cell>
          <cell r="Y155">
            <v>18.3</v>
          </cell>
          <cell r="Z155">
            <v>21.700000000000003</v>
          </cell>
          <cell r="AG155">
            <v>30</v>
          </cell>
          <cell r="AH155">
            <v>10</v>
          </cell>
          <cell r="AK155">
            <v>30</v>
          </cell>
          <cell r="AL155">
            <v>10</v>
          </cell>
          <cell r="AO155">
            <v>30</v>
          </cell>
          <cell r="AP155">
            <v>10</v>
          </cell>
          <cell r="AS155">
            <v>30</v>
          </cell>
          <cell r="AT155">
            <v>10</v>
          </cell>
          <cell r="AW155">
            <v>30</v>
          </cell>
          <cell r="AX155">
            <v>10</v>
          </cell>
          <cell r="BA155">
            <v>30</v>
          </cell>
          <cell r="BB155">
            <v>10</v>
          </cell>
        </row>
        <row r="156">
          <cell r="AG156">
            <v>30</v>
          </cell>
          <cell r="AH156">
            <v>10</v>
          </cell>
          <cell r="AK156">
            <v>30</v>
          </cell>
          <cell r="AL156">
            <v>10</v>
          </cell>
          <cell r="AO156">
            <v>30</v>
          </cell>
          <cell r="AP156">
            <v>10</v>
          </cell>
          <cell r="AS156">
            <v>40</v>
          </cell>
          <cell r="AT156">
            <v>10</v>
          </cell>
          <cell r="AW156">
            <v>40</v>
          </cell>
          <cell r="AX156">
            <v>10</v>
          </cell>
          <cell r="BA156">
            <v>40</v>
          </cell>
          <cell r="BB156">
            <v>10</v>
          </cell>
        </row>
        <row r="157">
          <cell r="I157">
            <v>28</v>
          </cell>
          <cell r="J157">
            <v>12</v>
          </cell>
          <cell r="M157">
            <v>32.5</v>
          </cell>
          <cell r="N157">
            <v>7.5</v>
          </cell>
          <cell r="Q157">
            <v>33</v>
          </cell>
          <cell r="R157">
            <v>12</v>
          </cell>
          <cell r="U157">
            <v>40</v>
          </cell>
          <cell r="V157">
            <v>5</v>
          </cell>
          <cell r="Y157">
            <v>34.5</v>
          </cell>
          <cell r="Z157">
            <v>10.5</v>
          </cell>
          <cell r="AG157">
            <v>30</v>
          </cell>
          <cell r="AH157">
            <v>10</v>
          </cell>
          <cell r="AK157">
            <v>40</v>
          </cell>
          <cell r="AL157">
            <v>20</v>
          </cell>
          <cell r="AO157">
            <v>40</v>
          </cell>
          <cell r="AP157">
            <v>20</v>
          </cell>
          <cell r="AS157">
            <v>40</v>
          </cell>
          <cell r="AT157">
            <v>20</v>
          </cell>
          <cell r="AW157">
            <v>40</v>
          </cell>
          <cell r="AX157">
            <v>20</v>
          </cell>
          <cell r="BA157">
            <v>40</v>
          </cell>
          <cell r="BB157">
            <v>20</v>
          </cell>
        </row>
        <row r="158">
          <cell r="Q158">
            <v>51</v>
          </cell>
          <cell r="R158">
            <v>176</v>
          </cell>
          <cell r="U158">
            <v>45.5</v>
          </cell>
          <cell r="V158">
            <v>179.5</v>
          </cell>
          <cell r="Y158">
            <v>45</v>
          </cell>
          <cell r="Z158">
            <v>181.5</v>
          </cell>
          <cell r="AC158">
            <v>150</v>
          </cell>
          <cell r="AD158">
            <v>66</v>
          </cell>
          <cell r="AG158">
            <v>160</v>
          </cell>
          <cell r="AH158">
            <v>65</v>
          </cell>
          <cell r="AK158">
            <v>160</v>
          </cell>
          <cell r="AL158">
            <v>65</v>
          </cell>
          <cell r="AO158">
            <v>160</v>
          </cell>
          <cell r="AP158">
            <v>65</v>
          </cell>
          <cell r="AS158">
            <v>160</v>
          </cell>
          <cell r="AT158">
            <v>65</v>
          </cell>
          <cell r="AW158">
            <v>160</v>
          </cell>
          <cell r="AX158">
            <v>65</v>
          </cell>
          <cell r="BA158">
            <v>160</v>
          </cell>
          <cell r="BB158">
            <v>65</v>
          </cell>
        </row>
        <row r="160">
          <cell r="I160">
            <v>25.5</v>
          </cell>
          <cell r="J160">
            <v>17.899999999999999</v>
          </cell>
          <cell r="M160">
            <v>29</v>
          </cell>
          <cell r="N160">
            <v>11</v>
          </cell>
          <cell r="Q160">
            <v>37.4</v>
          </cell>
          <cell r="R160">
            <v>11</v>
          </cell>
          <cell r="U160">
            <v>33.799999999999997</v>
          </cell>
          <cell r="V160">
            <v>9</v>
          </cell>
          <cell r="Y160">
            <v>40</v>
          </cell>
          <cell r="Z160">
            <v>0</v>
          </cell>
          <cell r="AC160">
            <v>30</v>
          </cell>
          <cell r="AD160">
            <v>10</v>
          </cell>
          <cell r="AG160">
            <v>30</v>
          </cell>
          <cell r="AH160">
            <v>10</v>
          </cell>
          <cell r="AK160">
            <v>30</v>
          </cell>
          <cell r="AL160">
            <v>10</v>
          </cell>
          <cell r="AO160">
            <v>30</v>
          </cell>
          <cell r="AP160">
            <v>10</v>
          </cell>
          <cell r="AS160">
            <v>30</v>
          </cell>
          <cell r="AT160">
            <v>10</v>
          </cell>
          <cell r="AW160">
            <v>30</v>
          </cell>
          <cell r="AX160">
            <v>10</v>
          </cell>
          <cell r="BA160">
            <v>30</v>
          </cell>
          <cell r="BB160">
            <v>10</v>
          </cell>
        </row>
        <row r="161">
          <cell r="I161">
            <v>0</v>
          </cell>
          <cell r="J161">
            <v>50</v>
          </cell>
          <cell r="M161">
            <v>0</v>
          </cell>
          <cell r="N161">
            <v>50</v>
          </cell>
          <cell r="Q161">
            <v>0</v>
          </cell>
          <cell r="R161">
            <v>40</v>
          </cell>
          <cell r="U161">
            <v>0</v>
          </cell>
          <cell r="V161">
            <v>50</v>
          </cell>
          <cell r="Y161">
            <v>0</v>
          </cell>
          <cell r="Z161">
            <v>50</v>
          </cell>
          <cell r="AC161">
            <v>30</v>
          </cell>
          <cell r="AD161">
            <v>10</v>
          </cell>
          <cell r="AG161">
            <v>30</v>
          </cell>
          <cell r="AH161">
            <v>10</v>
          </cell>
          <cell r="AK161">
            <v>30</v>
          </cell>
          <cell r="AL161">
            <v>10</v>
          </cell>
          <cell r="AO161">
            <v>30</v>
          </cell>
          <cell r="AP161">
            <v>10</v>
          </cell>
          <cell r="AS161">
            <v>30</v>
          </cell>
          <cell r="AT161">
            <v>10</v>
          </cell>
          <cell r="AW161">
            <v>30</v>
          </cell>
          <cell r="AX161">
            <v>10</v>
          </cell>
          <cell r="BA161">
            <v>30</v>
          </cell>
          <cell r="BB161">
            <v>10</v>
          </cell>
        </row>
        <row r="162">
          <cell r="I162">
            <v>42</v>
          </cell>
          <cell r="J162">
            <v>0</v>
          </cell>
          <cell r="M162">
            <v>41</v>
          </cell>
          <cell r="N162">
            <v>0</v>
          </cell>
          <cell r="Q162">
            <v>42</v>
          </cell>
          <cell r="R162">
            <v>0</v>
          </cell>
          <cell r="U162">
            <v>46</v>
          </cell>
          <cell r="V162">
            <v>0</v>
          </cell>
          <cell r="Y162">
            <v>46</v>
          </cell>
          <cell r="Z162">
            <v>0</v>
          </cell>
          <cell r="AC162">
            <v>50</v>
          </cell>
          <cell r="AD162">
            <v>10</v>
          </cell>
          <cell r="AG162">
            <v>50</v>
          </cell>
          <cell r="AH162">
            <v>10</v>
          </cell>
          <cell r="AK162">
            <v>50</v>
          </cell>
          <cell r="AL162">
            <v>10</v>
          </cell>
          <cell r="AO162">
            <v>50</v>
          </cell>
          <cell r="AP162">
            <v>10</v>
          </cell>
          <cell r="AS162">
            <v>50</v>
          </cell>
          <cell r="AT162">
            <v>10</v>
          </cell>
          <cell r="AW162">
            <v>50</v>
          </cell>
          <cell r="AX162">
            <v>10</v>
          </cell>
          <cell r="BA162">
            <v>50</v>
          </cell>
          <cell r="BB162">
            <v>10</v>
          </cell>
        </row>
        <row r="163">
          <cell r="Q163">
            <v>30</v>
          </cell>
          <cell r="R163">
            <v>15</v>
          </cell>
          <cell r="U163">
            <v>40</v>
          </cell>
          <cell r="V163">
            <v>0</v>
          </cell>
          <cell r="Y163">
            <v>25</v>
          </cell>
          <cell r="Z163">
            <v>15</v>
          </cell>
        </row>
        <row r="164">
          <cell r="I164">
            <v>26</v>
          </cell>
          <cell r="J164">
            <v>20</v>
          </cell>
          <cell r="M164">
            <v>25</v>
          </cell>
          <cell r="N164">
            <v>15</v>
          </cell>
        </row>
        <row r="165">
          <cell r="I165">
            <v>55</v>
          </cell>
          <cell r="J165">
            <v>0</v>
          </cell>
          <cell r="M165">
            <v>64</v>
          </cell>
          <cell r="N165">
            <v>0</v>
          </cell>
          <cell r="Q165">
            <v>50</v>
          </cell>
          <cell r="R165">
            <v>0</v>
          </cell>
          <cell r="U165">
            <v>57.2</v>
          </cell>
          <cell r="V165">
            <v>0</v>
          </cell>
          <cell r="Y165">
            <v>70.5</v>
          </cell>
          <cell r="Z165">
            <v>0</v>
          </cell>
          <cell r="AC165">
            <v>30</v>
          </cell>
          <cell r="AD165">
            <v>10</v>
          </cell>
          <cell r="AG165">
            <v>30</v>
          </cell>
          <cell r="AH165">
            <v>10</v>
          </cell>
          <cell r="AK165">
            <v>30</v>
          </cell>
          <cell r="AL165">
            <v>10</v>
          </cell>
          <cell r="AO165">
            <v>30</v>
          </cell>
          <cell r="AP165">
            <v>10</v>
          </cell>
          <cell r="AS165">
            <v>30</v>
          </cell>
          <cell r="AT165">
            <v>10</v>
          </cell>
          <cell r="AW165">
            <v>30</v>
          </cell>
          <cell r="AX165">
            <v>10</v>
          </cell>
          <cell r="BA165">
            <v>30</v>
          </cell>
          <cell r="BB165">
            <v>10</v>
          </cell>
        </row>
        <row r="166">
          <cell r="I166">
            <v>40</v>
          </cell>
          <cell r="J166">
            <v>5</v>
          </cell>
          <cell r="M166">
            <v>40</v>
          </cell>
          <cell r="N166">
            <v>5</v>
          </cell>
          <cell r="Q166">
            <v>45</v>
          </cell>
          <cell r="R166">
            <v>0</v>
          </cell>
          <cell r="U166">
            <v>40</v>
          </cell>
          <cell r="V166">
            <v>5</v>
          </cell>
          <cell r="Y166">
            <v>39</v>
          </cell>
          <cell r="Z166">
            <v>6</v>
          </cell>
          <cell r="AC166">
            <v>40</v>
          </cell>
          <cell r="AD166">
            <v>20</v>
          </cell>
          <cell r="AG166">
            <v>40</v>
          </cell>
          <cell r="AH166">
            <v>20</v>
          </cell>
          <cell r="AK166">
            <v>40</v>
          </cell>
          <cell r="AL166">
            <v>20</v>
          </cell>
          <cell r="AO166">
            <v>40</v>
          </cell>
          <cell r="AP166">
            <v>20</v>
          </cell>
          <cell r="AS166">
            <v>40</v>
          </cell>
          <cell r="AT166">
            <v>20</v>
          </cell>
          <cell r="AW166">
            <v>40</v>
          </cell>
          <cell r="AX166">
            <v>20</v>
          </cell>
          <cell r="BA166">
            <v>40</v>
          </cell>
          <cell r="BB166">
            <v>20</v>
          </cell>
        </row>
        <row r="167">
          <cell r="I167">
            <v>30</v>
          </cell>
          <cell r="J167">
            <v>65</v>
          </cell>
          <cell r="M167">
            <v>25</v>
          </cell>
          <cell r="N167">
            <v>70</v>
          </cell>
          <cell r="Q167">
            <v>20</v>
          </cell>
          <cell r="R167">
            <v>25</v>
          </cell>
          <cell r="U167">
            <v>25</v>
          </cell>
          <cell r="V167">
            <v>20</v>
          </cell>
          <cell r="Y167">
            <v>15</v>
          </cell>
          <cell r="Z167">
            <v>35</v>
          </cell>
          <cell r="AC167">
            <v>30</v>
          </cell>
          <cell r="AD167">
            <v>10</v>
          </cell>
          <cell r="AG167">
            <v>30</v>
          </cell>
          <cell r="AH167">
            <v>10</v>
          </cell>
          <cell r="AK167">
            <v>30</v>
          </cell>
          <cell r="AL167">
            <v>10</v>
          </cell>
          <cell r="AO167">
            <v>30</v>
          </cell>
          <cell r="AP167">
            <v>10</v>
          </cell>
          <cell r="AS167">
            <v>30</v>
          </cell>
          <cell r="AT167">
            <v>10</v>
          </cell>
          <cell r="AW167">
            <v>30</v>
          </cell>
          <cell r="AX167">
            <v>10</v>
          </cell>
          <cell r="BA167">
            <v>30</v>
          </cell>
          <cell r="BB167">
            <v>10</v>
          </cell>
        </row>
        <row r="168">
          <cell r="Q168">
            <v>25</v>
          </cell>
          <cell r="R168">
            <v>25</v>
          </cell>
          <cell r="U168">
            <v>25</v>
          </cell>
          <cell r="V168">
            <v>25</v>
          </cell>
          <cell r="Y168">
            <v>30</v>
          </cell>
          <cell r="Z168">
            <v>15</v>
          </cell>
          <cell r="AG168">
            <v>30</v>
          </cell>
          <cell r="AH168">
            <v>10</v>
          </cell>
          <cell r="AK168">
            <v>30</v>
          </cell>
          <cell r="AL168">
            <v>10</v>
          </cell>
          <cell r="AO168">
            <v>30</v>
          </cell>
          <cell r="AP168">
            <v>12</v>
          </cell>
          <cell r="AS168">
            <v>55</v>
          </cell>
          <cell r="AT168">
            <v>30</v>
          </cell>
          <cell r="AW168">
            <v>80</v>
          </cell>
          <cell r="AX168">
            <v>40</v>
          </cell>
          <cell r="BA168">
            <v>120</v>
          </cell>
          <cell r="BB168">
            <v>32</v>
          </cell>
        </row>
        <row r="169">
          <cell r="I169">
            <v>190.5</v>
          </cell>
          <cell r="J169">
            <v>30</v>
          </cell>
          <cell r="M169">
            <v>194</v>
          </cell>
          <cell r="N169">
            <v>16</v>
          </cell>
          <cell r="Q169">
            <v>201</v>
          </cell>
          <cell r="R169">
            <v>24</v>
          </cell>
          <cell r="U169">
            <v>190</v>
          </cell>
          <cell r="V169">
            <v>40</v>
          </cell>
          <cell r="Y169">
            <v>190</v>
          </cell>
          <cell r="Z169">
            <v>40</v>
          </cell>
          <cell r="AC169">
            <v>150</v>
          </cell>
          <cell r="AD169">
            <v>66</v>
          </cell>
          <cell r="AG169">
            <v>160</v>
          </cell>
          <cell r="AH169">
            <v>65</v>
          </cell>
          <cell r="AK169">
            <v>160</v>
          </cell>
          <cell r="AL169">
            <v>65</v>
          </cell>
          <cell r="AO169">
            <v>190</v>
          </cell>
          <cell r="AP169">
            <v>80</v>
          </cell>
          <cell r="AS169">
            <v>190</v>
          </cell>
          <cell r="AT169">
            <v>80</v>
          </cell>
          <cell r="AW169">
            <v>190</v>
          </cell>
          <cell r="AX169">
            <v>80</v>
          </cell>
          <cell r="BA169">
            <v>190</v>
          </cell>
          <cell r="BB169">
            <v>80</v>
          </cell>
        </row>
        <row r="170">
          <cell r="I170">
            <v>57</v>
          </cell>
          <cell r="J170">
            <v>162</v>
          </cell>
          <cell r="M170">
            <v>65</v>
          </cell>
          <cell r="N170">
            <v>148</v>
          </cell>
          <cell r="Q170">
            <v>40</v>
          </cell>
          <cell r="R170">
            <v>0</v>
          </cell>
          <cell r="U170">
            <v>40</v>
          </cell>
          <cell r="V170">
            <v>0</v>
          </cell>
          <cell r="Y170">
            <v>40</v>
          </cell>
          <cell r="Z170">
            <v>0</v>
          </cell>
        </row>
        <row r="171">
          <cell r="Q171">
            <v>10</v>
          </cell>
          <cell r="R171">
            <v>30</v>
          </cell>
          <cell r="U171">
            <v>10</v>
          </cell>
          <cell r="V171">
            <v>36</v>
          </cell>
          <cell r="Y171">
            <v>10</v>
          </cell>
          <cell r="Z171">
            <v>30</v>
          </cell>
          <cell r="AK171">
            <v>30</v>
          </cell>
          <cell r="AL171">
            <v>10</v>
          </cell>
          <cell r="AO171">
            <v>30</v>
          </cell>
          <cell r="AP171">
            <v>20</v>
          </cell>
          <cell r="AS171">
            <v>80</v>
          </cell>
          <cell r="AT171">
            <v>20</v>
          </cell>
          <cell r="AW171">
            <v>120</v>
          </cell>
          <cell r="AX171">
            <v>30</v>
          </cell>
          <cell r="BA171">
            <v>130</v>
          </cell>
          <cell r="BB171">
            <v>30</v>
          </cell>
        </row>
        <row r="172">
          <cell r="Q172">
            <v>29.5</v>
          </cell>
          <cell r="R172">
            <v>10.5</v>
          </cell>
          <cell r="U172">
            <v>34.5</v>
          </cell>
          <cell r="V172">
            <v>10.5</v>
          </cell>
          <cell r="Y172">
            <v>34.5</v>
          </cell>
          <cell r="Z172">
            <v>10.5</v>
          </cell>
        </row>
        <row r="173">
          <cell r="Q173">
            <v>20</v>
          </cell>
          <cell r="R173">
            <v>33.5</v>
          </cell>
          <cell r="U173">
            <v>0</v>
          </cell>
          <cell r="V173">
            <v>60</v>
          </cell>
          <cell r="Y173">
            <v>10</v>
          </cell>
          <cell r="Z173">
            <v>48.4</v>
          </cell>
        </row>
        <row r="174">
          <cell r="Q174">
            <v>20</v>
          </cell>
          <cell r="R174">
            <v>30</v>
          </cell>
          <cell r="U174">
            <v>0</v>
          </cell>
          <cell r="V174">
            <v>59</v>
          </cell>
          <cell r="Y174">
            <v>10</v>
          </cell>
          <cell r="Z174">
            <v>40</v>
          </cell>
        </row>
        <row r="176">
          <cell r="I176">
            <v>80</v>
          </cell>
          <cell r="J176">
            <v>70</v>
          </cell>
          <cell r="M176">
            <v>80</v>
          </cell>
          <cell r="N176">
            <v>60</v>
          </cell>
          <cell r="O176">
            <v>0</v>
          </cell>
          <cell r="Q176">
            <v>110</v>
          </cell>
          <cell r="R176">
            <v>40</v>
          </cell>
          <cell r="S176">
            <v>0</v>
          </cell>
          <cell r="U176">
            <v>90</v>
          </cell>
          <cell r="V176">
            <v>60</v>
          </cell>
          <cell r="W176">
            <v>0</v>
          </cell>
          <cell r="Y176">
            <v>100</v>
          </cell>
          <cell r="Z176">
            <v>50</v>
          </cell>
          <cell r="AA176">
            <v>0</v>
          </cell>
          <cell r="AC176">
            <v>100</v>
          </cell>
          <cell r="AD176">
            <v>44</v>
          </cell>
          <cell r="AE176">
            <v>0</v>
          </cell>
          <cell r="AG176">
            <v>100</v>
          </cell>
          <cell r="AH176">
            <v>44</v>
          </cell>
          <cell r="AI176">
            <v>0</v>
          </cell>
          <cell r="AK176">
            <v>100</v>
          </cell>
          <cell r="AL176">
            <v>50</v>
          </cell>
          <cell r="AM176">
            <v>0</v>
          </cell>
          <cell r="AO176">
            <v>130</v>
          </cell>
          <cell r="AP176">
            <v>50</v>
          </cell>
          <cell r="AQ176">
            <v>0</v>
          </cell>
          <cell r="AS176">
            <v>130</v>
          </cell>
          <cell r="AT176">
            <v>50</v>
          </cell>
          <cell r="AU176">
            <v>0</v>
          </cell>
          <cell r="AW176">
            <v>130</v>
          </cell>
          <cell r="AX176">
            <v>50</v>
          </cell>
          <cell r="AY176">
            <v>0</v>
          </cell>
          <cell r="BA176">
            <v>130</v>
          </cell>
          <cell r="BB176">
            <v>50</v>
          </cell>
          <cell r="BC176">
            <v>0</v>
          </cell>
        </row>
        <row r="177">
          <cell r="I177">
            <v>145</v>
          </cell>
          <cell r="J177">
            <v>155</v>
          </cell>
          <cell r="M177">
            <v>145</v>
          </cell>
          <cell r="N177">
            <v>135</v>
          </cell>
          <cell r="O177">
            <v>0</v>
          </cell>
          <cell r="Q177">
            <v>245</v>
          </cell>
          <cell r="R177">
            <v>85</v>
          </cell>
          <cell r="S177">
            <v>0</v>
          </cell>
          <cell r="U177">
            <v>175</v>
          </cell>
          <cell r="V177">
            <v>125</v>
          </cell>
          <cell r="W177">
            <v>0</v>
          </cell>
          <cell r="Y177">
            <v>310</v>
          </cell>
          <cell r="Z177">
            <v>80</v>
          </cell>
          <cell r="AA177">
            <v>0</v>
          </cell>
          <cell r="AC177">
            <v>200</v>
          </cell>
          <cell r="AD177">
            <v>88</v>
          </cell>
          <cell r="AE177">
            <v>0</v>
          </cell>
          <cell r="AG177">
            <v>200</v>
          </cell>
          <cell r="AH177">
            <v>88</v>
          </cell>
          <cell r="AI177">
            <v>0</v>
          </cell>
          <cell r="AK177">
            <v>210</v>
          </cell>
          <cell r="AL177">
            <v>90</v>
          </cell>
          <cell r="AM177">
            <v>0</v>
          </cell>
          <cell r="AO177">
            <v>260</v>
          </cell>
          <cell r="AP177">
            <v>100</v>
          </cell>
          <cell r="AQ177">
            <v>0</v>
          </cell>
          <cell r="AS177">
            <v>260</v>
          </cell>
          <cell r="AT177">
            <v>100</v>
          </cell>
          <cell r="AU177">
            <v>0</v>
          </cell>
          <cell r="AW177">
            <v>260</v>
          </cell>
          <cell r="AX177">
            <v>100</v>
          </cell>
          <cell r="AY177">
            <v>0</v>
          </cell>
          <cell r="BA177">
            <v>260</v>
          </cell>
          <cell r="BB177">
            <v>100</v>
          </cell>
          <cell r="BC177">
            <v>0</v>
          </cell>
        </row>
        <row r="178">
          <cell r="O178">
            <v>0</v>
          </cell>
          <cell r="Q178">
            <v>255.79999999999998</v>
          </cell>
          <cell r="R178">
            <v>64.2</v>
          </cell>
          <cell r="S178">
            <v>0</v>
          </cell>
          <cell r="U178">
            <v>194.1</v>
          </cell>
          <cell r="V178">
            <v>105.89999999999999</v>
          </cell>
          <cell r="W178">
            <v>0</v>
          </cell>
          <cell r="Y178">
            <v>256.40000000000003</v>
          </cell>
          <cell r="Z178">
            <v>103.6</v>
          </cell>
          <cell r="AA178">
            <v>0</v>
          </cell>
          <cell r="AC178">
            <v>200</v>
          </cell>
          <cell r="AD178">
            <v>88</v>
          </cell>
          <cell r="AE178">
            <v>0</v>
          </cell>
          <cell r="AG178">
            <v>200</v>
          </cell>
          <cell r="AH178">
            <v>88</v>
          </cell>
          <cell r="AI178">
            <v>0</v>
          </cell>
          <cell r="AK178">
            <v>210</v>
          </cell>
          <cell r="AL178">
            <v>90</v>
          </cell>
          <cell r="AM178">
            <v>0</v>
          </cell>
          <cell r="AO178">
            <v>260</v>
          </cell>
          <cell r="AP178">
            <v>100</v>
          </cell>
          <cell r="AQ178">
            <v>0</v>
          </cell>
          <cell r="AS178">
            <v>260</v>
          </cell>
          <cell r="AT178">
            <v>100</v>
          </cell>
          <cell r="AU178">
            <v>0</v>
          </cell>
          <cell r="AW178">
            <v>260</v>
          </cell>
          <cell r="AX178">
            <v>100</v>
          </cell>
          <cell r="AY178">
            <v>0</v>
          </cell>
          <cell r="BA178">
            <v>260</v>
          </cell>
          <cell r="BB178">
            <v>100</v>
          </cell>
          <cell r="BC178">
            <v>0</v>
          </cell>
        </row>
        <row r="179">
          <cell r="I179">
            <v>82.2</v>
          </cell>
          <cell r="J179">
            <v>67.800000000000011</v>
          </cell>
          <cell r="M179">
            <v>82.2</v>
          </cell>
          <cell r="N179">
            <v>57.800000000000004</v>
          </cell>
          <cell r="O179">
            <v>0</v>
          </cell>
          <cell r="Q179">
            <v>117</v>
          </cell>
          <cell r="R179">
            <v>43</v>
          </cell>
          <cell r="S179">
            <v>0</v>
          </cell>
          <cell r="U179">
            <v>77.200000000000017</v>
          </cell>
          <cell r="V179">
            <v>72.8</v>
          </cell>
          <cell r="W179">
            <v>0</v>
          </cell>
          <cell r="Y179">
            <v>108</v>
          </cell>
          <cell r="Z179">
            <v>72</v>
          </cell>
          <cell r="AA179">
            <v>0</v>
          </cell>
          <cell r="AC179">
            <v>100</v>
          </cell>
          <cell r="AD179">
            <v>44</v>
          </cell>
          <cell r="AE179">
            <v>0</v>
          </cell>
          <cell r="AG179">
            <v>100</v>
          </cell>
          <cell r="AH179">
            <v>50</v>
          </cell>
          <cell r="AI179">
            <v>0</v>
          </cell>
          <cell r="AK179">
            <v>100</v>
          </cell>
          <cell r="AL179">
            <v>50</v>
          </cell>
          <cell r="AM179">
            <v>0</v>
          </cell>
          <cell r="AO179">
            <v>130</v>
          </cell>
          <cell r="AP179">
            <v>50</v>
          </cell>
          <cell r="AQ179">
            <v>0</v>
          </cell>
          <cell r="AS179">
            <v>130</v>
          </cell>
          <cell r="AT179">
            <v>50</v>
          </cell>
          <cell r="AU179">
            <v>0</v>
          </cell>
          <cell r="AW179">
            <v>130</v>
          </cell>
          <cell r="AX179">
            <v>50</v>
          </cell>
          <cell r="AY179">
            <v>0</v>
          </cell>
          <cell r="BA179">
            <v>130</v>
          </cell>
          <cell r="BB179">
            <v>50</v>
          </cell>
          <cell r="BC179">
            <v>0</v>
          </cell>
        </row>
        <row r="180">
          <cell r="I180">
            <v>205</v>
          </cell>
          <cell r="J180">
            <v>20</v>
          </cell>
          <cell r="M180">
            <v>190</v>
          </cell>
          <cell r="N180">
            <v>20</v>
          </cell>
          <cell r="O180">
            <v>0</v>
          </cell>
          <cell r="Q180">
            <v>200</v>
          </cell>
          <cell r="R180">
            <v>40</v>
          </cell>
          <cell r="S180">
            <v>0</v>
          </cell>
          <cell r="U180">
            <v>131.20000000000002</v>
          </cell>
          <cell r="V180">
            <v>93.800000000000011</v>
          </cell>
          <cell r="W180">
            <v>0</v>
          </cell>
          <cell r="Y180">
            <v>218</v>
          </cell>
          <cell r="Z180">
            <v>52</v>
          </cell>
          <cell r="AA180">
            <v>0</v>
          </cell>
          <cell r="AC180">
            <v>100</v>
          </cell>
          <cell r="AD180">
            <v>44</v>
          </cell>
          <cell r="AE180">
            <v>0</v>
          </cell>
          <cell r="AG180">
            <v>100</v>
          </cell>
          <cell r="AH180">
            <v>44</v>
          </cell>
          <cell r="AI180">
            <v>0</v>
          </cell>
          <cell r="AK180">
            <v>100</v>
          </cell>
          <cell r="AL180">
            <v>50</v>
          </cell>
          <cell r="AM180">
            <v>0</v>
          </cell>
          <cell r="AO180">
            <v>130</v>
          </cell>
          <cell r="AP180">
            <v>50</v>
          </cell>
          <cell r="AQ180">
            <v>0</v>
          </cell>
          <cell r="AS180">
            <v>130</v>
          </cell>
          <cell r="AT180">
            <v>50</v>
          </cell>
          <cell r="AU180">
            <v>0</v>
          </cell>
          <cell r="AW180">
            <v>130</v>
          </cell>
          <cell r="AX180">
            <v>50</v>
          </cell>
          <cell r="AY180">
            <v>0</v>
          </cell>
          <cell r="BA180">
            <v>130</v>
          </cell>
          <cell r="BB180">
            <v>50</v>
          </cell>
          <cell r="BC180">
            <v>0</v>
          </cell>
        </row>
        <row r="181">
          <cell r="I181">
            <v>175</v>
          </cell>
          <cell r="J181">
            <v>125</v>
          </cell>
          <cell r="M181">
            <v>175</v>
          </cell>
          <cell r="N181">
            <v>105</v>
          </cell>
          <cell r="O181">
            <v>0</v>
          </cell>
          <cell r="Q181">
            <v>40</v>
          </cell>
          <cell r="R181">
            <v>2</v>
          </cell>
          <cell r="S181">
            <v>0</v>
          </cell>
          <cell r="U181">
            <v>40</v>
          </cell>
          <cell r="W181">
            <v>0</v>
          </cell>
          <cell r="Y181">
            <v>40</v>
          </cell>
          <cell r="AA181">
            <v>0</v>
          </cell>
          <cell r="AE181">
            <v>0</v>
          </cell>
          <cell r="AI181">
            <v>0</v>
          </cell>
          <cell r="AM181">
            <v>0</v>
          </cell>
          <cell r="AQ181">
            <v>0</v>
          </cell>
          <cell r="AU181">
            <v>0</v>
          </cell>
          <cell r="AY181">
            <v>0</v>
          </cell>
          <cell r="BC181">
            <v>0</v>
          </cell>
        </row>
        <row r="182">
          <cell r="O182">
            <v>0</v>
          </cell>
          <cell r="S182">
            <v>0</v>
          </cell>
          <cell r="W182">
            <v>0</v>
          </cell>
          <cell r="AA182">
            <v>0</v>
          </cell>
          <cell r="AE182">
            <v>0</v>
          </cell>
          <cell r="AI182">
            <v>0</v>
          </cell>
          <cell r="AM182">
            <v>0</v>
          </cell>
          <cell r="AQ182">
            <v>0</v>
          </cell>
          <cell r="AU182">
            <v>0</v>
          </cell>
          <cell r="AY182">
            <v>0</v>
          </cell>
          <cell r="BC182">
            <v>0</v>
          </cell>
        </row>
        <row r="183">
          <cell r="O183">
            <v>0</v>
          </cell>
          <cell r="S183">
            <v>0</v>
          </cell>
          <cell r="W183">
            <v>0</v>
          </cell>
          <cell r="AA183">
            <v>0</v>
          </cell>
          <cell r="AE183">
            <v>0</v>
          </cell>
          <cell r="AI183">
            <v>0</v>
          </cell>
          <cell r="AM183">
            <v>0</v>
          </cell>
          <cell r="AQ183">
            <v>0</v>
          </cell>
          <cell r="AU183">
            <v>0</v>
          </cell>
          <cell r="AY183">
            <v>0</v>
          </cell>
          <cell r="BC183">
            <v>0</v>
          </cell>
        </row>
        <row r="184">
          <cell r="O184">
            <v>0</v>
          </cell>
          <cell r="S184">
            <v>0</v>
          </cell>
          <cell r="W184">
            <v>0</v>
          </cell>
          <cell r="AA184">
            <v>0</v>
          </cell>
          <cell r="AE184">
            <v>0</v>
          </cell>
          <cell r="AI184">
            <v>0</v>
          </cell>
          <cell r="AM184">
            <v>0</v>
          </cell>
          <cell r="AQ184">
            <v>0</v>
          </cell>
          <cell r="AU184">
            <v>0</v>
          </cell>
          <cell r="AY184">
            <v>0</v>
          </cell>
          <cell r="BC184">
            <v>0</v>
          </cell>
        </row>
        <row r="185">
          <cell r="O185">
            <v>0</v>
          </cell>
          <cell r="S185">
            <v>0</v>
          </cell>
          <cell r="W185">
            <v>0</v>
          </cell>
          <cell r="AA185">
            <v>0</v>
          </cell>
          <cell r="AE185">
            <v>0</v>
          </cell>
          <cell r="AI185">
            <v>0</v>
          </cell>
          <cell r="AM185">
            <v>0</v>
          </cell>
          <cell r="AQ185">
            <v>0</v>
          </cell>
          <cell r="AU185">
            <v>0</v>
          </cell>
          <cell r="AY185">
            <v>0</v>
          </cell>
          <cell r="BC185">
            <v>0</v>
          </cell>
        </row>
        <row r="186">
          <cell r="O186">
            <v>0</v>
          </cell>
          <cell r="S186">
            <v>0</v>
          </cell>
          <cell r="W186">
            <v>0</v>
          </cell>
          <cell r="AA186">
            <v>0</v>
          </cell>
          <cell r="AE186">
            <v>0</v>
          </cell>
          <cell r="AI186">
            <v>0</v>
          </cell>
          <cell r="AM186">
            <v>0</v>
          </cell>
          <cell r="AQ186">
            <v>0</v>
          </cell>
          <cell r="AU186">
            <v>0</v>
          </cell>
          <cell r="AY186">
            <v>0</v>
          </cell>
          <cell r="BC186">
            <v>0</v>
          </cell>
        </row>
        <row r="187">
          <cell r="O187">
            <v>0</v>
          </cell>
          <cell r="S187">
            <v>0</v>
          </cell>
          <cell r="W187">
            <v>0</v>
          </cell>
          <cell r="AA187">
            <v>0</v>
          </cell>
          <cell r="AE187">
            <v>0</v>
          </cell>
          <cell r="AI187">
            <v>0</v>
          </cell>
          <cell r="AM187">
            <v>0</v>
          </cell>
          <cell r="AQ187">
            <v>0</v>
          </cell>
          <cell r="AU187">
            <v>0</v>
          </cell>
          <cell r="AY187">
            <v>0</v>
          </cell>
          <cell r="BC187">
            <v>0</v>
          </cell>
        </row>
        <row r="188">
          <cell r="O188">
            <v>0</v>
          </cell>
          <cell r="S188">
            <v>0</v>
          </cell>
          <cell r="W188">
            <v>0</v>
          </cell>
          <cell r="AA188">
            <v>0</v>
          </cell>
          <cell r="AE188">
            <v>0</v>
          </cell>
          <cell r="AI188">
            <v>0</v>
          </cell>
          <cell r="AM188">
            <v>0</v>
          </cell>
          <cell r="AQ188">
            <v>0</v>
          </cell>
          <cell r="AU188">
            <v>0</v>
          </cell>
          <cell r="AY188">
            <v>0</v>
          </cell>
          <cell r="BC188">
            <v>0</v>
          </cell>
        </row>
        <row r="189">
          <cell r="O189">
            <v>0</v>
          </cell>
          <cell r="S189">
            <v>0</v>
          </cell>
          <cell r="W189">
            <v>0</v>
          </cell>
          <cell r="AA189">
            <v>0</v>
          </cell>
          <cell r="AE189">
            <v>0</v>
          </cell>
          <cell r="AI189">
            <v>0</v>
          </cell>
          <cell r="AM189">
            <v>0</v>
          </cell>
          <cell r="AQ189">
            <v>0</v>
          </cell>
          <cell r="AU189">
            <v>0</v>
          </cell>
          <cell r="AY189">
            <v>0</v>
          </cell>
          <cell r="BC189">
            <v>0</v>
          </cell>
        </row>
        <row r="190">
          <cell r="O190">
            <v>0</v>
          </cell>
          <cell r="S190">
            <v>0</v>
          </cell>
          <cell r="W190">
            <v>0</v>
          </cell>
          <cell r="AA190">
            <v>0</v>
          </cell>
          <cell r="AE190">
            <v>0</v>
          </cell>
          <cell r="AI190">
            <v>0</v>
          </cell>
          <cell r="AM190">
            <v>0</v>
          </cell>
          <cell r="AQ190">
            <v>0</v>
          </cell>
          <cell r="AU190">
            <v>0</v>
          </cell>
          <cell r="AY190">
            <v>0</v>
          </cell>
          <cell r="BC190">
            <v>0</v>
          </cell>
        </row>
        <row r="191">
          <cell r="O191">
            <v>0</v>
          </cell>
          <cell r="S191">
            <v>0</v>
          </cell>
          <cell r="W191">
            <v>0</v>
          </cell>
          <cell r="AA191">
            <v>0</v>
          </cell>
          <cell r="AE191">
            <v>0</v>
          </cell>
          <cell r="AI191">
            <v>0</v>
          </cell>
          <cell r="AM191">
            <v>0</v>
          </cell>
          <cell r="AQ191">
            <v>0</v>
          </cell>
          <cell r="AU191">
            <v>0</v>
          </cell>
          <cell r="AY191">
            <v>0</v>
          </cell>
          <cell r="BC191">
            <v>0</v>
          </cell>
        </row>
        <row r="192">
          <cell r="O192">
            <v>0</v>
          </cell>
          <cell r="S192">
            <v>0</v>
          </cell>
          <cell r="W192">
            <v>0</v>
          </cell>
          <cell r="AA192">
            <v>0</v>
          </cell>
          <cell r="AE192">
            <v>0</v>
          </cell>
          <cell r="AI192">
            <v>0</v>
          </cell>
          <cell r="AM192">
            <v>0</v>
          </cell>
          <cell r="AQ192">
            <v>0</v>
          </cell>
          <cell r="AU192">
            <v>0</v>
          </cell>
          <cell r="AY192">
            <v>0</v>
          </cell>
          <cell r="BC192">
            <v>0</v>
          </cell>
        </row>
        <row r="193">
          <cell r="O193">
            <v>0</v>
          </cell>
          <cell r="S193">
            <v>0</v>
          </cell>
          <cell r="W193">
            <v>0</v>
          </cell>
          <cell r="AA193">
            <v>0</v>
          </cell>
          <cell r="AE193">
            <v>0</v>
          </cell>
          <cell r="AI193">
            <v>0</v>
          </cell>
          <cell r="AM193">
            <v>0</v>
          </cell>
          <cell r="AQ193">
            <v>0</v>
          </cell>
          <cell r="AU193">
            <v>0</v>
          </cell>
          <cell r="AY193">
            <v>0</v>
          </cell>
          <cell r="BC193">
            <v>0</v>
          </cell>
        </row>
        <row r="194">
          <cell r="O194">
            <v>0</v>
          </cell>
          <cell r="S194">
            <v>0</v>
          </cell>
          <cell r="W194">
            <v>0</v>
          </cell>
          <cell r="AA194">
            <v>0</v>
          </cell>
          <cell r="AE194">
            <v>0</v>
          </cell>
          <cell r="AI194">
            <v>0</v>
          </cell>
          <cell r="AM194">
            <v>0</v>
          </cell>
          <cell r="AQ194">
            <v>0</v>
          </cell>
          <cell r="AU194">
            <v>0</v>
          </cell>
          <cell r="AY194">
            <v>0</v>
          </cell>
          <cell r="BC194">
            <v>0</v>
          </cell>
        </row>
        <row r="197">
          <cell r="I197">
            <v>18.196818164282028</v>
          </cell>
          <cell r="J197">
            <v>22.515071780533901</v>
          </cell>
          <cell r="K197">
            <v>0</v>
          </cell>
          <cell r="M197">
            <v>24.275481563604146</v>
          </cell>
          <cell r="N197">
            <v>18.515072</v>
          </cell>
          <cell r="O197">
            <v>0</v>
          </cell>
          <cell r="Q197">
            <v>22.196908164282018</v>
          </cell>
          <cell r="R197">
            <v>18.849871780533917</v>
          </cell>
          <cell r="S197">
            <v>0</v>
          </cell>
          <cell r="U197">
            <v>21.196818164282025</v>
          </cell>
          <cell r="V197">
            <v>19.515071780533916</v>
          </cell>
          <cell r="W197">
            <v>0</v>
          </cell>
          <cell r="Y197">
            <v>21.256818164282027</v>
          </cell>
          <cell r="Z197">
            <v>18.515071780533908</v>
          </cell>
          <cell r="AA197">
            <v>0</v>
          </cell>
          <cell r="AC197">
            <v>22</v>
          </cell>
          <cell r="AD197">
            <v>18</v>
          </cell>
          <cell r="AG197">
            <v>22</v>
          </cell>
          <cell r="AH197">
            <v>18</v>
          </cell>
          <cell r="AI197">
            <v>0</v>
          </cell>
          <cell r="AK197">
            <v>22</v>
          </cell>
          <cell r="AL197">
            <v>18</v>
          </cell>
          <cell r="AO197">
            <v>22</v>
          </cell>
          <cell r="AP197">
            <v>18</v>
          </cell>
          <cell r="AS197">
            <v>22</v>
          </cell>
          <cell r="AT197">
            <v>18</v>
          </cell>
          <cell r="AW197">
            <v>22</v>
          </cell>
          <cell r="AX197">
            <v>18</v>
          </cell>
          <cell r="BA197">
            <v>22</v>
          </cell>
          <cell r="BB197">
            <v>18</v>
          </cell>
        </row>
        <row r="198">
          <cell r="I198">
            <v>38.369564507351917</v>
          </cell>
          <cell r="J198">
            <v>2</v>
          </cell>
          <cell r="K198">
            <v>0</v>
          </cell>
          <cell r="M198">
            <v>36.869564507351917</v>
          </cell>
          <cell r="N198">
            <v>3.5</v>
          </cell>
          <cell r="O198">
            <v>0</v>
          </cell>
          <cell r="Q198">
            <v>40.369564507351917</v>
          </cell>
          <cell r="R198">
            <v>0</v>
          </cell>
          <cell r="S198">
            <v>0</v>
          </cell>
          <cell r="U198">
            <v>40.369564507351917</v>
          </cell>
          <cell r="V198">
            <v>0</v>
          </cell>
          <cell r="W198">
            <v>0</v>
          </cell>
          <cell r="Y198">
            <v>40.369564507351917</v>
          </cell>
          <cell r="Z198">
            <v>0</v>
          </cell>
          <cell r="AA198">
            <v>0</v>
          </cell>
          <cell r="AC198">
            <v>22</v>
          </cell>
          <cell r="AD198">
            <v>18</v>
          </cell>
          <cell r="AG198">
            <v>22</v>
          </cell>
          <cell r="AH198">
            <v>18</v>
          </cell>
          <cell r="AI198">
            <v>0</v>
          </cell>
          <cell r="AK198">
            <v>22</v>
          </cell>
          <cell r="AL198">
            <v>18</v>
          </cell>
          <cell r="AO198">
            <v>22</v>
          </cell>
          <cell r="AP198">
            <v>18</v>
          </cell>
          <cell r="AS198">
            <v>22</v>
          </cell>
          <cell r="AT198">
            <v>18</v>
          </cell>
          <cell r="AW198">
            <v>22</v>
          </cell>
          <cell r="AX198">
            <v>18</v>
          </cell>
          <cell r="BA198">
            <v>22</v>
          </cell>
          <cell r="BB198">
            <v>18</v>
          </cell>
        </row>
        <row r="199">
          <cell r="I199">
            <v>31.322653294796961</v>
          </cell>
          <cell r="J199">
            <v>9.8910744122344312</v>
          </cell>
          <cell r="K199">
            <v>0</v>
          </cell>
          <cell r="M199">
            <v>31.322653294796961</v>
          </cell>
          <cell r="N199">
            <v>9.8910744122344294</v>
          </cell>
          <cell r="O199">
            <v>0</v>
          </cell>
          <cell r="Q199">
            <v>31.322653294796961</v>
          </cell>
          <cell r="R199">
            <v>9.8910744122344312</v>
          </cell>
          <cell r="S199">
            <v>0</v>
          </cell>
          <cell r="U199">
            <v>42.322653294796993</v>
          </cell>
          <cell r="V199">
            <v>14.891074412234429</v>
          </cell>
          <cell r="W199">
            <v>0</v>
          </cell>
          <cell r="Y199">
            <v>66.322653294796993</v>
          </cell>
          <cell r="Z199">
            <v>9.8910744122344312</v>
          </cell>
          <cell r="AA199">
            <v>0</v>
          </cell>
          <cell r="AC199">
            <v>22</v>
          </cell>
          <cell r="AD199">
            <v>18</v>
          </cell>
          <cell r="AG199">
            <v>22</v>
          </cell>
          <cell r="AH199">
            <v>18</v>
          </cell>
          <cell r="AI199">
            <v>0</v>
          </cell>
          <cell r="AK199">
            <v>22</v>
          </cell>
          <cell r="AL199">
            <v>18</v>
          </cell>
          <cell r="AO199">
            <v>22</v>
          </cell>
          <cell r="AP199">
            <v>18</v>
          </cell>
          <cell r="AS199">
            <v>22</v>
          </cell>
          <cell r="AT199">
            <v>18</v>
          </cell>
          <cell r="AW199">
            <v>22</v>
          </cell>
          <cell r="AX199">
            <v>18</v>
          </cell>
          <cell r="BA199">
            <v>22</v>
          </cell>
          <cell r="BB199">
            <v>18</v>
          </cell>
        </row>
        <row r="200">
          <cell r="I200">
            <v>2.1955939258525103</v>
          </cell>
          <cell r="J200">
            <v>67</v>
          </cell>
          <cell r="K200">
            <v>0</v>
          </cell>
          <cell r="M200">
            <v>2.1955939258525103</v>
          </cell>
          <cell r="N200">
            <v>73.5</v>
          </cell>
          <cell r="O200">
            <v>0</v>
          </cell>
          <cell r="Q200">
            <v>0.89559392585251019</v>
          </cell>
          <cell r="R200">
            <v>79</v>
          </cell>
          <cell r="S200">
            <v>0</v>
          </cell>
          <cell r="U200">
            <v>2.1955939258525103</v>
          </cell>
          <cell r="V200">
            <v>75</v>
          </cell>
          <cell r="W200">
            <v>0</v>
          </cell>
          <cell r="Y200">
            <v>2.1955939258525103</v>
          </cell>
          <cell r="Z200">
            <v>79</v>
          </cell>
          <cell r="AA200">
            <v>0</v>
          </cell>
        </row>
        <row r="201">
          <cell r="I201">
            <v>12.627000000000001</v>
          </cell>
          <cell r="J201">
            <v>26.125</v>
          </cell>
          <cell r="K201">
            <v>0.81799999999999995</v>
          </cell>
          <cell r="M201">
            <v>12.627000000000001</v>
          </cell>
          <cell r="N201">
            <v>26.125</v>
          </cell>
          <cell r="O201">
            <v>1.089377</v>
          </cell>
          <cell r="Q201">
            <v>12.627000000000001</v>
          </cell>
          <cell r="R201">
            <v>25.125</v>
          </cell>
          <cell r="S201">
            <v>0.81799999999999995</v>
          </cell>
          <cell r="U201">
            <v>12.827</v>
          </cell>
          <cell r="V201">
            <v>26.125</v>
          </cell>
          <cell r="W201">
            <v>0.81799999999999995</v>
          </cell>
          <cell r="Y201">
            <v>12.627000000000001</v>
          </cell>
          <cell r="Z201">
            <v>26.125</v>
          </cell>
          <cell r="AA201">
            <v>0.81799999999999995</v>
          </cell>
        </row>
        <row r="202">
          <cell r="I202">
            <v>13.683342539651306</v>
          </cell>
          <cell r="J202">
            <v>26.1528198481396</v>
          </cell>
          <cell r="K202">
            <v>0</v>
          </cell>
          <cell r="M202">
            <v>13.683342539651306</v>
          </cell>
          <cell r="N202">
            <v>26.6528198481396</v>
          </cell>
          <cell r="O202">
            <v>0</v>
          </cell>
          <cell r="Q202">
            <v>13.683342539651306</v>
          </cell>
          <cell r="R202">
            <v>22.152819848139583</v>
          </cell>
          <cell r="S202">
            <v>0</v>
          </cell>
          <cell r="U202">
            <v>13.683342539651306</v>
          </cell>
          <cell r="V202">
            <v>22.152819848139583</v>
          </cell>
          <cell r="W202">
            <v>0</v>
          </cell>
          <cell r="Y202">
            <v>13.683342539651306</v>
          </cell>
          <cell r="Z202">
            <v>22.152819848139583</v>
          </cell>
          <cell r="AA202">
            <v>0</v>
          </cell>
        </row>
        <row r="203">
          <cell r="I203">
            <v>132.43427178080097</v>
          </cell>
          <cell r="J203">
            <v>169.23591234883884</v>
          </cell>
          <cell r="K203">
            <v>0</v>
          </cell>
          <cell r="M203">
            <v>128.434271780801</v>
          </cell>
          <cell r="N203">
            <v>173.23591234883884</v>
          </cell>
          <cell r="O203">
            <v>0</v>
          </cell>
          <cell r="Q203">
            <v>164.64996802711536</v>
          </cell>
          <cell r="R203">
            <v>135.45215341601744</v>
          </cell>
          <cell r="S203">
            <v>0</v>
          </cell>
          <cell r="U203">
            <v>164.64996802711536</v>
          </cell>
          <cell r="V203">
            <v>135.45215341601744</v>
          </cell>
          <cell r="W203">
            <v>0</v>
          </cell>
          <cell r="Y203">
            <v>164.64996802711536</v>
          </cell>
          <cell r="Z203">
            <v>135.45215341601744</v>
          </cell>
          <cell r="AA203">
            <v>0</v>
          </cell>
          <cell r="AC203">
            <v>55</v>
          </cell>
          <cell r="AD203">
            <v>45</v>
          </cell>
          <cell r="AG203">
            <v>165</v>
          </cell>
          <cell r="AH203">
            <v>135</v>
          </cell>
          <cell r="AI203">
            <v>0</v>
          </cell>
          <cell r="AK203">
            <v>165</v>
          </cell>
          <cell r="AL203">
            <v>135</v>
          </cell>
          <cell r="AO203">
            <v>165</v>
          </cell>
          <cell r="AP203">
            <v>135</v>
          </cell>
          <cell r="AS203">
            <v>165</v>
          </cell>
          <cell r="AT203">
            <v>135</v>
          </cell>
          <cell r="AW203">
            <v>165</v>
          </cell>
          <cell r="AX203">
            <v>135</v>
          </cell>
          <cell r="BA203">
            <v>165</v>
          </cell>
          <cell r="BB203">
            <v>135</v>
          </cell>
        </row>
        <row r="204">
          <cell r="I204">
            <v>137.00776582679995</v>
          </cell>
          <cell r="J204">
            <v>163.44559845532743</v>
          </cell>
          <cell r="K204">
            <v>0</v>
          </cell>
          <cell r="M204">
            <v>140.00776582679995</v>
          </cell>
          <cell r="N204">
            <v>160.4455984553274</v>
          </cell>
          <cell r="O204">
            <v>0</v>
          </cell>
          <cell r="Q204">
            <v>147.88736002711536</v>
          </cell>
          <cell r="R204">
            <v>152.42200985494961</v>
          </cell>
          <cell r="S204">
            <v>0</v>
          </cell>
          <cell r="U204">
            <v>147.88736002711536</v>
          </cell>
          <cell r="V204">
            <v>152.42200985494961</v>
          </cell>
          <cell r="W204">
            <v>0</v>
          </cell>
          <cell r="Y204">
            <v>148.88736002711536</v>
          </cell>
          <cell r="Z204">
            <v>152.42200985494961</v>
          </cell>
          <cell r="AA204">
            <v>0</v>
          </cell>
          <cell r="AC204">
            <v>85</v>
          </cell>
          <cell r="AD204">
            <v>65</v>
          </cell>
          <cell r="AG204">
            <v>165</v>
          </cell>
          <cell r="AH204">
            <v>135</v>
          </cell>
          <cell r="AI204">
            <v>0</v>
          </cell>
          <cell r="AK204">
            <v>165</v>
          </cell>
          <cell r="AL204">
            <v>135</v>
          </cell>
          <cell r="AO204">
            <v>165</v>
          </cell>
          <cell r="AP204">
            <v>135</v>
          </cell>
          <cell r="AS204">
            <v>165</v>
          </cell>
          <cell r="AT204">
            <v>135</v>
          </cell>
          <cell r="AW204">
            <v>165</v>
          </cell>
          <cell r="AX204">
            <v>135</v>
          </cell>
          <cell r="BA204">
            <v>165</v>
          </cell>
          <cell r="BB204">
            <v>135</v>
          </cell>
        </row>
        <row r="205">
          <cell r="I205">
            <v>67.5</v>
          </cell>
          <cell r="J205">
            <v>0</v>
          </cell>
          <cell r="K205">
            <v>0</v>
          </cell>
          <cell r="M205">
            <v>67.5</v>
          </cell>
          <cell r="N205">
            <v>0</v>
          </cell>
          <cell r="O205">
            <v>0</v>
          </cell>
          <cell r="Q205">
            <v>67.5</v>
          </cell>
          <cell r="R205">
            <v>0</v>
          </cell>
          <cell r="S205">
            <v>0</v>
          </cell>
          <cell r="U205">
            <v>67.5</v>
          </cell>
          <cell r="V205">
            <v>0</v>
          </cell>
          <cell r="W205">
            <v>0</v>
          </cell>
          <cell r="Y205">
            <v>67.5</v>
          </cell>
          <cell r="Z205">
            <v>0</v>
          </cell>
          <cell r="AA205">
            <v>0</v>
          </cell>
          <cell r="AC205">
            <v>15</v>
          </cell>
          <cell r="AG205">
            <v>15</v>
          </cell>
          <cell r="AI205">
            <v>0</v>
          </cell>
          <cell r="AK205">
            <v>15</v>
          </cell>
          <cell r="AO205">
            <v>10</v>
          </cell>
          <cell r="AS205">
            <v>10</v>
          </cell>
          <cell r="AW205">
            <v>10</v>
          </cell>
          <cell r="BA205">
            <v>10</v>
          </cell>
        </row>
        <row r="206">
          <cell r="I206">
            <v>54</v>
          </cell>
          <cell r="J206">
            <v>0</v>
          </cell>
          <cell r="K206">
            <v>0</v>
          </cell>
          <cell r="M206">
            <v>54</v>
          </cell>
          <cell r="N206">
            <v>0</v>
          </cell>
          <cell r="O206">
            <v>0</v>
          </cell>
          <cell r="Q206">
            <v>54</v>
          </cell>
          <cell r="R206">
            <v>0</v>
          </cell>
          <cell r="S206">
            <v>0</v>
          </cell>
          <cell r="U206">
            <v>54</v>
          </cell>
          <cell r="V206">
            <v>0</v>
          </cell>
          <cell r="W206">
            <v>0</v>
          </cell>
          <cell r="Y206">
            <v>54</v>
          </cell>
          <cell r="Z206">
            <v>0</v>
          </cell>
          <cell r="AA206">
            <v>0</v>
          </cell>
          <cell r="AC206">
            <v>16</v>
          </cell>
          <cell r="AD206">
            <v>24</v>
          </cell>
          <cell r="AG206">
            <v>16</v>
          </cell>
          <cell r="AH206">
            <v>24</v>
          </cell>
          <cell r="AI206">
            <v>0</v>
          </cell>
          <cell r="AK206">
            <v>16</v>
          </cell>
          <cell r="AL206">
            <v>24</v>
          </cell>
          <cell r="AO206">
            <v>16</v>
          </cell>
          <cell r="AP206">
            <v>24</v>
          </cell>
          <cell r="AS206">
            <v>16</v>
          </cell>
          <cell r="AT206">
            <v>24</v>
          </cell>
          <cell r="AW206">
            <v>16</v>
          </cell>
          <cell r="AX206">
            <v>24</v>
          </cell>
          <cell r="BA206">
            <v>16</v>
          </cell>
          <cell r="BB206">
            <v>24</v>
          </cell>
        </row>
        <row r="207">
          <cell r="I207">
            <v>37.019432618079499</v>
          </cell>
          <cell r="J207">
            <v>7.5104623476092902</v>
          </cell>
          <cell r="K207">
            <v>0</v>
          </cell>
          <cell r="M207">
            <v>36.973987583234063</v>
          </cell>
          <cell r="N207">
            <v>6.7024474378518111</v>
          </cell>
          <cell r="O207">
            <v>0</v>
          </cell>
          <cell r="Q207">
            <v>36.828153104953103</v>
          </cell>
          <cell r="R207">
            <v>7.6940121671137902</v>
          </cell>
          <cell r="S207">
            <v>0</v>
          </cell>
          <cell r="U207">
            <v>29.9797272368994</v>
          </cell>
          <cell r="V207">
            <v>6.5811577334277302</v>
          </cell>
          <cell r="W207">
            <v>0</v>
          </cell>
          <cell r="Y207">
            <v>34.656875699708998</v>
          </cell>
          <cell r="Z207">
            <v>6.5811577334277302</v>
          </cell>
          <cell r="AA207">
            <v>0</v>
          </cell>
          <cell r="AI207">
            <v>0</v>
          </cell>
        </row>
        <row r="208">
          <cell r="I208">
            <v>20.028704468369945</v>
          </cell>
          <cell r="J208">
            <v>0</v>
          </cell>
          <cell r="K208">
            <v>0</v>
          </cell>
          <cell r="M208">
            <v>17.628704468369939</v>
          </cell>
          <cell r="N208">
            <v>0</v>
          </cell>
          <cell r="O208">
            <v>0</v>
          </cell>
          <cell r="Q208">
            <v>19.028704468369945</v>
          </cell>
          <cell r="R208">
            <v>0</v>
          </cell>
          <cell r="S208">
            <v>0</v>
          </cell>
          <cell r="U208">
            <v>19.028704468369945</v>
          </cell>
          <cell r="V208">
            <v>0</v>
          </cell>
          <cell r="W208">
            <v>0</v>
          </cell>
          <cell r="Y208">
            <v>19.028704468369945</v>
          </cell>
          <cell r="Z208">
            <v>0</v>
          </cell>
          <cell r="AA208">
            <v>0</v>
          </cell>
          <cell r="AC208">
            <v>20</v>
          </cell>
          <cell r="AG208">
            <v>20</v>
          </cell>
          <cell r="AI208">
            <v>0</v>
          </cell>
          <cell r="AK208">
            <v>20</v>
          </cell>
          <cell r="AO208">
            <v>30</v>
          </cell>
          <cell r="AS208">
            <v>20</v>
          </cell>
          <cell r="AW208">
            <v>20</v>
          </cell>
          <cell r="BA208">
            <v>30</v>
          </cell>
        </row>
        <row r="209">
          <cell r="I209">
            <v>12</v>
          </cell>
          <cell r="J209">
            <v>0</v>
          </cell>
          <cell r="K209">
            <v>0</v>
          </cell>
          <cell r="M209">
            <v>12</v>
          </cell>
          <cell r="N209">
            <v>0</v>
          </cell>
          <cell r="O209">
            <v>0</v>
          </cell>
          <cell r="Q209">
            <v>12</v>
          </cell>
          <cell r="R209">
            <v>0</v>
          </cell>
          <cell r="S209">
            <v>0</v>
          </cell>
          <cell r="U209">
            <v>12</v>
          </cell>
          <cell r="V209">
            <v>0</v>
          </cell>
          <cell r="W209">
            <v>0</v>
          </cell>
          <cell r="Y209">
            <v>12</v>
          </cell>
          <cell r="Z209">
            <v>0</v>
          </cell>
          <cell r="AA209">
            <v>0</v>
          </cell>
          <cell r="AC209">
            <v>15</v>
          </cell>
          <cell r="AG209">
            <v>15</v>
          </cell>
          <cell r="AI209">
            <v>0</v>
          </cell>
          <cell r="AK209">
            <v>15</v>
          </cell>
          <cell r="AO209">
            <v>20</v>
          </cell>
          <cell r="AS209">
            <v>15</v>
          </cell>
          <cell r="AW209">
            <v>15</v>
          </cell>
          <cell r="BA209">
            <v>20</v>
          </cell>
        </row>
        <row r="210">
          <cell r="I210">
            <v>2</v>
          </cell>
          <cell r="J210">
            <v>3</v>
          </cell>
          <cell r="K210">
            <v>0</v>
          </cell>
          <cell r="M210">
            <v>2</v>
          </cell>
          <cell r="N210">
            <v>3</v>
          </cell>
          <cell r="O210">
            <v>0</v>
          </cell>
          <cell r="Q210">
            <v>2</v>
          </cell>
          <cell r="R210">
            <v>3</v>
          </cell>
          <cell r="S210">
            <v>0</v>
          </cell>
          <cell r="U210">
            <v>2</v>
          </cell>
          <cell r="V210">
            <v>3</v>
          </cell>
          <cell r="W210">
            <v>0</v>
          </cell>
          <cell r="Y210">
            <v>2</v>
          </cell>
          <cell r="Z210">
            <v>3</v>
          </cell>
          <cell r="AA210">
            <v>0</v>
          </cell>
          <cell r="AI210">
            <v>0</v>
          </cell>
        </row>
        <row r="211">
          <cell r="I211">
            <v>40.35</v>
          </cell>
          <cell r="J211">
            <v>0</v>
          </cell>
          <cell r="K211">
            <v>0</v>
          </cell>
          <cell r="M211">
            <v>40.35</v>
          </cell>
          <cell r="N211">
            <v>0</v>
          </cell>
          <cell r="O211">
            <v>0</v>
          </cell>
          <cell r="Q211">
            <v>20.350000000000001</v>
          </cell>
          <cell r="R211">
            <v>0</v>
          </cell>
          <cell r="S211">
            <v>0</v>
          </cell>
          <cell r="U211">
            <v>20.350000000000001</v>
          </cell>
          <cell r="V211">
            <v>0</v>
          </cell>
          <cell r="W211">
            <v>0</v>
          </cell>
          <cell r="Y211">
            <v>20.350000000000001</v>
          </cell>
          <cell r="Z211">
            <v>0</v>
          </cell>
          <cell r="AA211">
            <v>0</v>
          </cell>
          <cell r="AI211">
            <v>0</v>
          </cell>
        </row>
        <row r="212">
          <cell r="I212">
            <v>25</v>
          </cell>
          <cell r="J212">
            <v>0</v>
          </cell>
          <cell r="K212">
            <v>0</v>
          </cell>
          <cell r="M212">
            <v>25</v>
          </cell>
          <cell r="N212">
            <v>0</v>
          </cell>
          <cell r="O212">
            <v>0</v>
          </cell>
          <cell r="Q212">
            <v>25</v>
          </cell>
          <cell r="R212">
            <v>0</v>
          </cell>
          <cell r="S212">
            <v>0</v>
          </cell>
          <cell r="U212">
            <v>25</v>
          </cell>
          <cell r="V212">
            <v>0</v>
          </cell>
          <cell r="W212">
            <v>0</v>
          </cell>
          <cell r="Y212">
            <v>25</v>
          </cell>
          <cell r="Z212">
            <v>0</v>
          </cell>
          <cell r="AA212">
            <v>0</v>
          </cell>
          <cell r="AC212">
            <v>20</v>
          </cell>
          <cell r="AG212">
            <v>20</v>
          </cell>
          <cell r="AI212">
            <v>0</v>
          </cell>
          <cell r="AK212">
            <v>20</v>
          </cell>
          <cell r="AO212">
            <v>20</v>
          </cell>
          <cell r="AS212">
            <v>20</v>
          </cell>
          <cell r="AW212">
            <v>20</v>
          </cell>
          <cell r="BA212">
            <v>30</v>
          </cell>
        </row>
        <row r="213">
          <cell r="I213">
            <v>34.896710484357016</v>
          </cell>
          <cell r="J213">
            <v>5.12712920496105</v>
          </cell>
          <cell r="K213">
            <v>0</v>
          </cell>
          <cell r="M213">
            <v>32.616806484356992</v>
          </cell>
          <cell r="N213">
            <v>5.12712920496105</v>
          </cell>
          <cell r="O213">
            <v>0</v>
          </cell>
          <cell r="Q213">
            <v>32.551651151723853</v>
          </cell>
          <cell r="R213">
            <v>5.12712920496105</v>
          </cell>
          <cell r="S213">
            <v>0</v>
          </cell>
          <cell r="U213">
            <v>32.551651151723853</v>
          </cell>
          <cell r="V213">
            <v>5.12712920496105</v>
          </cell>
          <cell r="W213">
            <v>0</v>
          </cell>
          <cell r="Y213">
            <v>30.435575225092883</v>
          </cell>
          <cell r="Z213">
            <v>5.12712920496105</v>
          </cell>
          <cell r="AA213">
            <v>0</v>
          </cell>
          <cell r="AI213">
            <v>0</v>
          </cell>
        </row>
        <row r="214">
          <cell r="I214">
            <v>11.34380310213284</v>
          </cell>
          <cell r="J214">
            <v>21.271362255879545</v>
          </cell>
          <cell r="K214">
            <v>0</v>
          </cell>
          <cell r="M214">
            <v>11.34380310213284</v>
          </cell>
          <cell r="N214">
            <v>18.271362255879545</v>
          </cell>
          <cell r="O214">
            <v>0</v>
          </cell>
          <cell r="Q214">
            <v>21.343803102132846</v>
          </cell>
          <cell r="R214">
            <v>18.271362255879545</v>
          </cell>
          <cell r="S214">
            <v>0</v>
          </cell>
          <cell r="U214">
            <v>21.343803102132846</v>
          </cell>
          <cell r="V214">
            <v>18.271362255879545</v>
          </cell>
          <cell r="W214">
            <v>0</v>
          </cell>
          <cell r="Y214">
            <v>21.343803102132846</v>
          </cell>
          <cell r="Z214">
            <v>18.271362255879545</v>
          </cell>
          <cell r="AA214">
            <v>0</v>
          </cell>
          <cell r="AI214">
            <v>0</v>
          </cell>
        </row>
        <row r="215">
          <cell r="I215">
            <v>21.883374879275671</v>
          </cell>
          <cell r="J215">
            <v>18.000597873196998</v>
          </cell>
          <cell r="K215">
            <v>0</v>
          </cell>
          <cell r="M215">
            <v>21.883374879275671</v>
          </cell>
          <cell r="N215">
            <v>18.000597873196998</v>
          </cell>
          <cell r="O215">
            <v>0</v>
          </cell>
          <cell r="Q215">
            <v>21.883374879275671</v>
          </cell>
          <cell r="R215">
            <v>18.000597873196998</v>
          </cell>
          <cell r="S215">
            <v>0</v>
          </cell>
          <cell r="U215">
            <v>21.883374879275671</v>
          </cell>
          <cell r="V215">
            <v>18.000597873196998</v>
          </cell>
          <cell r="W215">
            <v>0</v>
          </cell>
          <cell r="Y215">
            <v>21.883374879275671</v>
          </cell>
          <cell r="Z215">
            <v>18.000597873196998</v>
          </cell>
          <cell r="AA215">
            <v>0</v>
          </cell>
          <cell r="AC215">
            <v>22</v>
          </cell>
          <cell r="AD215">
            <v>18</v>
          </cell>
          <cell r="AG215">
            <v>22</v>
          </cell>
          <cell r="AH215">
            <v>18</v>
          </cell>
          <cell r="AI215">
            <v>0</v>
          </cell>
          <cell r="AK215">
            <v>22</v>
          </cell>
          <cell r="AL215">
            <v>18</v>
          </cell>
          <cell r="AO215">
            <v>22</v>
          </cell>
          <cell r="AP215">
            <v>18</v>
          </cell>
          <cell r="AS215">
            <v>22</v>
          </cell>
          <cell r="AT215">
            <v>18</v>
          </cell>
          <cell r="AW215">
            <v>22</v>
          </cell>
          <cell r="AX215">
            <v>18</v>
          </cell>
          <cell r="BA215">
            <v>22</v>
          </cell>
          <cell r="BB215">
            <v>18</v>
          </cell>
        </row>
        <row r="216">
          <cell r="I216">
            <v>48</v>
          </cell>
          <cell r="J216">
            <v>0</v>
          </cell>
          <cell r="K216">
            <v>0</v>
          </cell>
          <cell r="M216">
            <v>48</v>
          </cell>
          <cell r="N216">
            <v>0</v>
          </cell>
          <cell r="O216">
            <v>0</v>
          </cell>
          <cell r="Q216">
            <v>48</v>
          </cell>
          <cell r="R216">
            <v>0</v>
          </cell>
          <cell r="S216">
            <v>0</v>
          </cell>
          <cell r="U216">
            <v>48</v>
          </cell>
          <cell r="V216">
            <v>0</v>
          </cell>
          <cell r="W216">
            <v>0</v>
          </cell>
          <cell r="Y216">
            <v>48</v>
          </cell>
          <cell r="Z216">
            <v>0</v>
          </cell>
          <cell r="AA216">
            <v>0</v>
          </cell>
          <cell r="AC216">
            <v>20</v>
          </cell>
          <cell r="AG216">
            <v>20</v>
          </cell>
          <cell r="AI216">
            <v>0</v>
          </cell>
          <cell r="AK216">
            <v>20</v>
          </cell>
          <cell r="AO216">
            <v>20</v>
          </cell>
          <cell r="AS216">
            <v>20</v>
          </cell>
          <cell r="AW216">
            <v>20</v>
          </cell>
          <cell r="BA216">
            <v>20</v>
          </cell>
        </row>
        <row r="217">
          <cell r="I217">
            <v>5</v>
          </cell>
          <cell r="J217">
            <v>0</v>
          </cell>
          <cell r="K217">
            <v>0</v>
          </cell>
          <cell r="M217">
            <v>5</v>
          </cell>
          <cell r="N217">
            <v>0</v>
          </cell>
          <cell r="O217">
            <v>0</v>
          </cell>
          <cell r="Q217">
            <v>5</v>
          </cell>
          <cell r="R217">
            <v>0</v>
          </cell>
          <cell r="S217">
            <v>0</v>
          </cell>
          <cell r="U217">
            <v>5</v>
          </cell>
          <cell r="V217">
            <v>0</v>
          </cell>
          <cell r="W217">
            <v>0</v>
          </cell>
          <cell r="Y217">
            <v>5</v>
          </cell>
          <cell r="Z217">
            <v>0</v>
          </cell>
          <cell r="AA217">
            <v>0</v>
          </cell>
          <cell r="AC217">
            <v>30</v>
          </cell>
          <cell r="AG217">
            <v>30</v>
          </cell>
          <cell r="AI217">
            <v>0</v>
          </cell>
          <cell r="AK217">
            <v>30</v>
          </cell>
          <cell r="AO217">
            <v>30</v>
          </cell>
          <cell r="AS217">
            <v>30</v>
          </cell>
          <cell r="AW217">
            <v>30</v>
          </cell>
          <cell r="BA217">
            <v>30</v>
          </cell>
        </row>
        <row r="218">
          <cell r="I218">
            <v>0</v>
          </cell>
          <cell r="J218">
            <v>0</v>
          </cell>
          <cell r="K218">
            <v>0</v>
          </cell>
          <cell r="M218">
            <v>0</v>
          </cell>
          <cell r="N218">
            <v>0</v>
          </cell>
          <cell r="O218">
            <v>0</v>
          </cell>
          <cell r="Q218">
            <v>100</v>
          </cell>
          <cell r="R218">
            <v>0</v>
          </cell>
          <cell r="S218">
            <v>0</v>
          </cell>
          <cell r="U218">
            <v>96</v>
          </cell>
          <cell r="V218">
            <v>0</v>
          </cell>
          <cell r="W218">
            <v>0</v>
          </cell>
          <cell r="Y218">
            <v>96</v>
          </cell>
          <cell r="Z218">
            <v>0</v>
          </cell>
          <cell r="AA218">
            <v>0</v>
          </cell>
          <cell r="AC218">
            <v>20</v>
          </cell>
          <cell r="AD218">
            <v>0</v>
          </cell>
          <cell r="AE218">
            <v>0</v>
          </cell>
          <cell r="AG218">
            <v>20</v>
          </cell>
          <cell r="AH218">
            <v>0</v>
          </cell>
          <cell r="AI218">
            <v>0</v>
          </cell>
          <cell r="AK218">
            <v>20</v>
          </cell>
          <cell r="AO218">
            <v>20</v>
          </cell>
          <cell r="AS218">
            <v>20</v>
          </cell>
          <cell r="AW218">
            <v>20</v>
          </cell>
          <cell r="BA218">
            <v>20</v>
          </cell>
        </row>
        <row r="219">
          <cell r="I219">
            <v>50</v>
          </cell>
          <cell r="J219">
            <v>0</v>
          </cell>
          <cell r="K219">
            <v>0</v>
          </cell>
          <cell r="M219">
            <v>50</v>
          </cell>
          <cell r="N219">
            <v>0</v>
          </cell>
          <cell r="O219">
            <v>0</v>
          </cell>
          <cell r="Q219">
            <v>70</v>
          </cell>
          <cell r="R219">
            <v>0</v>
          </cell>
          <cell r="S219">
            <v>0</v>
          </cell>
          <cell r="U219">
            <v>70</v>
          </cell>
          <cell r="V219">
            <v>0</v>
          </cell>
          <cell r="W219">
            <v>0</v>
          </cell>
          <cell r="Y219">
            <v>70</v>
          </cell>
          <cell r="Z219">
            <v>0</v>
          </cell>
          <cell r="AA219">
            <v>0</v>
          </cell>
          <cell r="AC219">
            <v>30</v>
          </cell>
          <cell r="AG219">
            <v>30</v>
          </cell>
          <cell r="AH219">
            <v>0</v>
          </cell>
          <cell r="AI219">
            <v>0</v>
          </cell>
          <cell r="AK219">
            <v>30</v>
          </cell>
          <cell r="AO219">
            <v>30</v>
          </cell>
          <cell r="AS219">
            <v>30</v>
          </cell>
          <cell r="AW219">
            <v>30</v>
          </cell>
          <cell r="BA219">
            <v>30</v>
          </cell>
        </row>
        <row r="220">
          <cell r="AC220">
            <v>10</v>
          </cell>
          <cell r="AE220">
            <v>0</v>
          </cell>
          <cell r="AG220">
            <v>10</v>
          </cell>
          <cell r="AI220">
            <v>0</v>
          </cell>
          <cell r="AK220">
            <v>10</v>
          </cell>
          <cell r="AM220">
            <v>0</v>
          </cell>
          <cell r="AO220">
            <v>10</v>
          </cell>
          <cell r="AQ220">
            <v>0</v>
          </cell>
          <cell r="AS220">
            <v>10</v>
          </cell>
          <cell r="AU220">
            <v>0</v>
          </cell>
          <cell r="AW220">
            <v>10</v>
          </cell>
          <cell r="AY220">
            <v>0</v>
          </cell>
          <cell r="BA220">
            <v>10</v>
          </cell>
          <cell r="BC220">
            <v>0</v>
          </cell>
        </row>
        <row r="221">
          <cell r="AC221">
            <v>22</v>
          </cell>
          <cell r="AD221">
            <v>18</v>
          </cell>
          <cell r="AE221">
            <v>0</v>
          </cell>
          <cell r="AG221">
            <v>22</v>
          </cell>
          <cell r="AH221">
            <v>18</v>
          </cell>
          <cell r="AI221">
            <v>0</v>
          </cell>
          <cell r="AK221">
            <v>22</v>
          </cell>
          <cell r="AL221">
            <v>18</v>
          </cell>
          <cell r="AM221">
            <v>0</v>
          </cell>
          <cell r="AO221">
            <v>22</v>
          </cell>
          <cell r="AP221">
            <v>18</v>
          </cell>
          <cell r="AQ221">
            <v>0</v>
          </cell>
          <cell r="AS221">
            <v>22</v>
          </cell>
          <cell r="AT221">
            <v>18</v>
          </cell>
          <cell r="AU221">
            <v>0</v>
          </cell>
          <cell r="AW221">
            <v>22</v>
          </cell>
          <cell r="AX221">
            <v>18</v>
          </cell>
          <cell r="AY221">
            <v>0</v>
          </cell>
          <cell r="BA221">
            <v>22</v>
          </cell>
          <cell r="BB221">
            <v>18</v>
          </cell>
          <cell r="BC221">
            <v>0</v>
          </cell>
        </row>
        <row r="222">
          <cell r="K222">
            <v>0</v>
          </cell>
          <cell r="O222">
            <v>0</v>
          </cell>
          <cell r="S222">
            <v>0</v>
          </cell>
          <cell r="W222">
            <v>0</v>
          </cell>
          <cell r="AA222">
            <v>0</v>
          </cell>
          <cell r="AC222">
            <v>22</v>
          </cell>
          <cell r="AD222">
            <v>18</v>
          </cell>
          <cell r="AE222">
            <v>0</v>
          </cell>
          <cell r="AG222">
            <v>22</v>
          </cell>
          <cell r="AH222">
            <v>18</v>
          </cell>
          <cell r="AI222">
            <v>0</v>
          </cell>
          <cell r="AK222">
            <v>22</v>
          </cell>
          <cell r="AL222">
            <v>18</v>
          </cell>
          <cell r="AM222">
            <v>0</v>
          </cell>
          <cell r="AO222">
            <v>22</v>
          </cell>
          <cell r="AP222">
            <v>18</v>
          </cell>
          <cell r="AQ222">
            <v>0</v>
          </cell>
          <cell r="AS222">
            <v>22</v>
          </cell>
          <cell r="AT222">
            <v>18</v>
          </cell>
          <cell r="AU222">
            <v>0</v>
          </cell>
          <cell r="AW222">
            <v>22</v>
          </cell>
          <cell r="AX222">
            <v>18</v>
          </cell>
          <cell r="AY222">
            <v>0</v>
          </cell>
          <cell r="BA222">
            <v>22</v>
          </cell>
          <cell r="BB222">
            <v>18</v>
          </cell>
          <cell r="BC222">
            <v>0</v>
          </cell>
        </row>
        <row r="223">
          <cell r="AC223">
            <v>83</v>
          </cell>
          <cell r="AD223">
            <v>67</v>
          </cell>
          <cell r="AE223">
            <v>0</v>
          </cell>
          <cell r="AG223">
            <v>165</v>
          </cell>
          <cell r="AH223">
            <v>135</v>
          </cell>
          <cell r="AI223">
            <v>0</v>
          </cell>
          <cell r="AK223">
            <v>165</v>
          </cell>
          <cell r="AL223">
            <v>135</v>
          </cell>
          <cell r="AM223">
            <v>0</v>
          </cell>
          <cell r="AO223">
            <v>165</v>
          </cell>
          <cell r="AP223">
            <v>135</v>
          </cell>
          <cell r="AQ223">
            <v>0</v>
          </cell>
          <cell r="AS223">
            <v>165</v>
          </cell>
          <cell r="AT223">
            <v>135</v>
          </cell>
          <cell r="AU223">
            <v>0</v>
          </cell>
          <cell r="AW223">
            <v>165</v>
          </cell>
          <cell r="AX223">
            <v>135</v>
          </cell>
          <cell r="AY223">
            <v>0</v>
          </cell>
          <cell r="BA223">
            <v>165</v>
          </cell>
          <cell r="BB223">
            <v>135</v>
          </cell>
          <cell r="BC223">
            <v>0</v>
          </cell>
        </row>
        <row r="224">
          <cell r="AC224">
            <v>66</v>
          </cell>
          <cell r="AD224">
            <v>54</v>
          </cell>
          <cell r="AE224">
            <v>0</v>
          </cell>
          <cell r="AG224">
            <v>165</v>
          </cell>
          <cell r="AH224">
            <v>135</v>
          </cell>
          <cell r="AI224">
            <v>0</v>
          </cell>
          <cell r="AK224">
            <v>165</v>
          </cell>
          <cell r="AL224">
            <v>135</v>
          </cell>
          <cell r="AM224">
            <v>0</v>
          </cell>
          <cell r="AO224">
            <v>165</v>
          </cell>
          <cell r="AP224">
            <v>135</v>
          </cell>
          <cell r="AQ224">
            <v>0</v>
          </cell>
          <cell r="AS224">
            <v>165</v>
          </cell>
          <cell r="AT224">
            <v>135</v>
          </cell>
          <cell r="AU224">
            <v>0</v>
          </cell>
          <cell r="AW224">
            <v>165</v>
          </cell>
          <cell r="AX224">
            <v>135</v>
          </cell>
          <cell r="AY224">
            <v>0</v>
          </cell>
          <cell r="BA224">
            <v>165</v>
          </cell>
          <cell r="BB224">
            <v>135</v>
          </cell>
          <cell r="BC224">
            <v>0</v>
          </cell>
        </row>
        <row r="225">
          <cell r="I225">
            <v>165.33913320441803</v>
          </cell>
          <cell r="J225">
            <v>134.69822801294274</v>
          </cell>
          <cell r="K225">
            <v>0</v>
          </cell>
          <cell r="M225">
            <v>165.33913320441803</v>
          </cell>
          <cell r="N225">
            <v>134.69822801294274</v>
          </cell>
          <cell r="O225">
            <v>0</v>
          </cell>
          <cell r="Q225">
            <v>165.03913320441802</v>
          </cell>
          <cell r="R225">
            <v>135.17822801294272</v>
          </cell>
          <cell r="S225">
            <v>0</v>
          </cell>
          <cell r="U225">
            <v>165.339133125334</v>
          </cell>
          <cell r="V225">
            <v>134.69822801294274</v>
          </cell>
          <cell r="W225">
            <v>0</v>
          </cell>
          <cell r="Y225">
            <v>165.03913320441802</v>
          </cell>
          <cell r="Z225">
            <v>134.99822801294272</v>
          </cell>
          <cell r="AA225">
            <v>0</v>
          </cell>
          <cell r="AC225">
            <v>158</v>
          </cell>
          <cell r="AD225">
            <v>130</v>
          </cell>
          <cell r="AE225">
            <v>0</v>
          </cell>
          <cell r="AG225">
            <v>165</v>
          </cell>
          <cell r="AH225">
            <v>135</v>
          </cell>
          <cell r="AI225">
            <v>0</v>
          </cell>
          <cell r="AK225">
            <v>165</v>
          </cell>
          <cell r="AL225">
            <v>135</v>
          </cell>
          <cell r="AM225">
            <v>0</v>
          </cell>
          <cell r="AO225">
            <v>165</v>
          </cell>
          <cell r="AP225">
            <v>135</v>
          </cell>
          <cell r="AQ225">
            <v>0</v>
          </cell>
          <cell r="AS225">
            <v>165</v>
          </cell>
          <cell r="AT225">
            <v>135</v>
          </cell>
          <cell r="AU225">
            <v>0</v>
          </cell>
          <cell r="AW225">
            <v>165</v>
          </cell>
          <cell r="AX225">
            <v>135</v>
          </cell>
          <cell r="AY225">
            <v>0</v>
          </cell>
          <cell r="BA225">
            <v>165</v>
          </cell>
          <cell r="BB225">
            <v>135</v>
          </cell>
          <cell r="BC225">
            <v>0</v>
          </cell>
        </row>
        <row r="226">
          <cell r="I226">
            <v>190.58151437376904</v>
          </cell>
          <cell r="J226">
            <v>110.41306237625777</v>
          </cell>
          <cell r="K226">
            <v>0</v>
          </cell>
          <cell r="M226">
            <v>190.58151437376904</v>
          </cell>
          <cell r="N226">
            <v>110.41306237625777</v>
          </cell>
          <cell r="O226">
            <v>0</v>
          </cell>
          <cell r="Q226">
            <v>190.88151437376902</v>
          </cell>
          <cell r="R226">
            <v>110.11306237625777</v>
          </cell>
          <cell r="S226">
            <v>0</v>
          </cell>
          <cell r="U226">
            <v>190.88151437376902</v>
          </cell>
          <cell r="V226">
            <v>110.41306237625777</v>
          </cell>
          <cell r="W226">
            <v>0</v>
          </cell>
          <cell r="Y226">
            <v>190.88151437376902</v>
          </cell>
          <cell r="Z226">
            <v>110.11306237625777</v>
          </cell>
          <cell r="AA226">
            <v>0</v>
          </cell>
          <cell r="AC226">
            <v>158</v>
          </cell>
          <cell r="AD226">
            <v>130</v>
          </cell>
          <cell r="AE226">
            <v>0</v>
          </cell>
          <cell r="AG226">
            <v>165</v>
          </cell>
          <cell r="AH226">
            <v>135</v>
          </cell>
          <cell r="AI226">
            <v>0</v>
          </cell>
          <cell r="AK226">
            <v>165</v>
          </cell>
          <cell r="AL226">
            <v>135</v>
          </cell>
          <cell r="AM226">
            <v>0</v>
          </cell>
          <cell r="AO226">
            <v>165</v>
          </cell>
          <cell r="AP226">
            <v>135</v>
          </cell>
          <cell r="AQ226">
            <v>0</v>
          </cell>
          <cell r="AS226">
            <v>165</v>
          </cell>
          <cell r="AT226">
            <v>135</v>
          </cell>
          <cell r="AU226">
            <v>0</v>
          </cell>
          <cell r="AW226">
            <v>165</v>
          </cell>
          <cell r="AX226">
            <v>135</v>
          </cell>
          <cell r="AY226">
            <v>0</v>
          </cell>
          <cell r="BA226">
            <v>165</v>
          </cell>
          <cell r="BB226">
            <v>135</v>
          </cell>
          <cell r="BC226">
            <v>0</v>
          </cell>
        </row>
        <row r="228">
          <cell r="I228">
            <v>60.025674931856699</v>
          </cell>
          <cell r="J228">
            <v>0</v>
          </cell>
          <cell r="K228">
            <v>0</v>
          </cell>
          <cell r="M228">
            <v>61.525674931856699</v>
          </cell>
          <cell r="N228">
            <v>0</v>
          </cell>
          <cell r="O228">
            <v>0</v>
          </cell>
          <cell r="Q228">
            <v>61.525674931856699</v>
          </cell>
          <cell r="R228">
            <v>0</v>
          </cell>
          <cell r="S228">
            <v>0</v>
          </cell>
          <cell r="U228">
            <v>61.525674931856699</v>
          </cell>
          <cell r="V228">
            <v>0</v>
          </cell>
          <cell r="W228">
            <v>0</v>
          </cell>
          <cell r="Y228">
            <v>70.025674931856699</v>
          </cell>
          <cell r="Z228">
            <v>0</v>
          </cell>
          <cell r="AA228">
            <v>0</v>
          </cell>
          <cell r="AC228">
            <v>33</v>
          </cell>
          <cell r="AD228">
            <v>27</v>
          </cell>
          <cell r="AG228">
            <v>33</v>
          </cell>
          <cell r="AH228">
            <v>27</v>
          </cell>
          <cell r="AK228">
            <v>33</v>
          </cell>
          <cell r="AL228">
            <v>27</v>
          </cell>
          <cell r="AO228">
            <v>33</v>
          </cell>
          <cell r="AP228">
            <v>27</v>
          </cell>
          <cell r="AS228">
            <v>33</v>
          </cell>
          <cell r="AT228">
            <v>27</v>
          </cell>
          <cell r="AW228">
            <v>33</v>
          </cell>
          <cell r="AX228">
            <v>27</v>
          </cell>
          <cell r="BA228">
            <v>33</v>
          </cell>
          <cell r="BB228">
            <v>27</v>
          </cell>
        </row>
        <row r="229">
          <cell r="I229">
            <v>19.599999999999998</v>
          </cell>
          <cell r="J229">
            <v>6.3840000000000003</v>
          </cell>
          <cell r="K229">
            <v>0</v>
          </cell>
          <cell r="M229">
            <v>29.4</v>
          </cell>
          <cell r="N229">
            <v>6.5840000000000005</v>
          </cell>
          <cell r="O229">
            <v>0</v>
          </cell>
          <cell r="Q229">
            <v>29.4</v>
          </cell>
          <cell r="R229">
            <v>6.0840000000000005</v>
          </cell>
          <cell r="S229">
            <v>0</v>
          </cell>
          <cell r="U229">
            <v>41.000000000000007</v>
          </cell>
          <cell r="V229">
            <v>6.0840000000000005</v>
          </cell>
          <cell r="W229">
            <v>0</v>
          </cell>
          <cell r="Y229">
            <v>20.9</v>
          </cell>
          <cell r="Z229">
            <v>6.0840000000000005</v>
          </cell>
          <cell r="AA229">
            <v>0</v>
          </cell>
        </row>
        <row r="230">
          <cell r="I230">
            <v>0</v>
          </cell>
          <cell r="J230">
            <v>40.999999999999901</v>
          </cell>
          <cell r="K230">
            <v>0</v>
          </cell>
          <cell r="M230">
            <v>0</v>
          </cell>
          <cell r="N230">
            <v>44.999999999999901</v>
          </cell>
          <cell r="O230">
            <v>0</v>
          </cell>
          <cell r="Q230">
            <v>0</v>
          </cell>
          <cell r="R230">
            <v>44.999999999999901</v>
          </cell>
          <cell r="S230">
            <v>0</v>
          </cell>
          <cell r="U230">
            <v>0</v>
          </cell>
          <cell r="V230">
            <v>44.999999999999901</v>
          </cell>
          <cell r="W230">
            <v>0</v>
          </cell>
          <cell r="Y230">
            <v>0</v>
          </cell>
          <cell r="Z230">
            <v>44.999999999999901</v>
          </cell>
          <cell r="AA230">
            <v>0</v>
          </cell>
          <cell r="AC230">
            <v>22</v>
          </cell>
          <cell r="AD230">
            <v>18</v>
          </cell>
          <cell r="AG230">
            <v>22</v>
          </cell>
          <cell r="AH230">
            <v>18</v>
          </cell>
          <cell r="AK230">
            <v>22</v>
          </cell>
          <cell r="AL230">
            <v>18</v>
          </cell>
          <cell r="AO230">
            <v>22</v>
          </cell>
          <cell r="AP230">
            <v>18</v>
          </cell>
          <cell r="AS230">
            <v>22</v>
          </cell>
          <cell r="AT230">
            <v>18</v>
          </cell>
          <cell r="AW230">
            <v>22</v>
          </cell>
          <cell r="AX230">
            <v>18</v>
          </cell>
          <cell r="BA230">
            <v>22</v>
          </cell>
          <cell r="BB230">
            <v>18</v>
          </cell>
        </row>
        <row r="231">
          <cell r="I231">
            <v>19.292514481404901</v>
          </cell>
          <cell r="J231">
            <v>20.777576671859901</v>
          </cell>
          <cell r="K231">
            <v>0</v>
          </cell>
          <cell r="M231">
            <v>31.19448262894695</v>
          </cell>
          <cell r="N231">
            <v>15.833828291399467</v>
          </cell>
          <cell r="O231">
            <v>0</v>
          </cell>
          <cell r="Q231">
            <v>24.792514481404893</v>
          </cell>
          <cell r="R231">
            <v>15.833828291399463</v>
          </cell>
          <cell r="S231">
            <v>0</v>
          </cell>
          <cell r="U231">
            <v>27.992514481404896</v>
          </cell>
          <cell r="V231">
            <v>15.833828291399463</v>
          </cell>
          <cell r="W231">
            <v>0</v>
          </cell>
          <cell r="Y231">
            <v>18.792514481404897</v>
          </cell>
          <cell r="Z231">
            <v>15.833828291399463</v>
          </cell>
          <cell r="AA231">
            <v>0</v>
          </cell>
        </row>
        <row r="232">
          <cell r="I232">
            <v>25.720840218726423</v>
          </cell>
          <cell r="J232">
            <v>18.956271818428799</v>
          </cell>
          <cell r="K232">
            <v>0</v>
          </cell>
          <cell r="M232">
            <v>17.941595774281986</v>
          </cell>
          <cell r="N232">
            <v>22.291071818428801</v>
          </cell>
          <cell r="O232">
            <v>0</v>
          </cell>
          <cell r="Q232">
            <v>17.941595774281986</v>
          </cell>
          <cell r="R232">
            <v>21.291071818428826</v>
          </cell>
          <cell r="S232">
            <v>0</v>
          </cell>
          <cell r="U232">
            <v>17.941595774281986</v>
          </cell>
          <cell r="V232">
            <v>21.291071818428826</v>
          </cell>
          <cell r="W232">
            <v>0</v>
          </cell>
          <cell r="Y232">
            <v>17.941595774281986</v>
          </cell>
          <cell r="Z232">
            <v>21.291071818428826</v>
          </cell>
          <cell r="AA232">
            <v>0</v>
          </cell>
          <cell r="AC232">
            <v>22</v>
          </cell>
          <cell r="AD232">
            <v>18</v>
          </cell>
          <cell r="AG232">
            <v>22</v>
          </cell>
          <cell r="AH232">
            <v>18</v>
          </cell>
          <cell r="AK232">
            <v>22</v>
          </cell>
          <cell r="AL232">
            <v>18</v>
          </cell>
          <cell r="AO232">
            <v>22</v>
          </cell>
          <cell r="AP232">
            <v>18</v>
          </cell>
          <cell r="AS232">
            <v>22</v>
          </cell>
          <cell r="AT232">
            <v>18</v>
          </cell>
          <cell r="AW232">
            <v>22</v>
          </cell>
          <cell r="AX232">
            <v>18</v>
          </cell>
          <cell r="BA232">
            <v>22</v>
          </cell>
          <cell r="BB232">
            <v>18</v>
          </cell>
        </row>
        <row r="233">
          <cell r="I233">
            <v>9.0122554153602472</v>
          </cell>
          <cell r="J233">
            <v>32.635646024805098</v>
          </cell>
          <cell r="K233">
            <v>0</v>
          </cell>
          <cell r="M233">
            <v>9.0122554153602472</v>
          </cell>
          <cell r="N233">
            <v>33.135646024805197</v>
          </cell>
          <cell r="O233">
            <v>0</v>
          </cell>
          <cell r="Q233">
            <v>9.0122554153602472</v>
          </cell>
          <cell r="R233">
            <v>38.635646024805183</v>
          </cell>
          <cell r="S233">
            <v>0</v>
          </cell>
          <cell r="U233">
            <v>9.0122554153602472</v>
          </cell>
          <cell r="V233">
            <v>38.635646024805183</v>
          </cell>
          <cell r="W233">
            <v>0</v>
          </cell>
          <cell r="Y233">
            <v>9.0122554153602472</v>
          </cell>
          <cell r="Z233">
            <v>40.635646024805226</v>
          </cell>
          <cell r="AA233">
            <v>0</v>
          </cell>
        </row>
        <row r="234">
          <cell r="I234">
            <v>0</v>
          </cell>
          <cell r="J234">
            <v>0</v>
          </cell>
          <cell r="K234">
            <v>0</v>
          </cell>
          <cell r="M234">
            <v>0</v>
          </cell>
          <cell r="N234">
            <v>0</v>
          </cell>
          <cell r="O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I235">
            <v>51.391222562206536</v>
          </cell>
          <cell r="J235">
            <v>9.0673274356586404</v>
          </cell>
          <cell r="K235">
            <v>0</v>
          </cell>
          <cell r="M235">
            <v>45.963982562206532</v>
          </cell>
          <cell r="N235">
            <v>8.467327435658639</v>
          </cell>
          <cell r="O235">
            <v>0</v>
          </cell>
          <cell r="Q235">
            <v>170.00776582679995</v>
          </cell>
          <cell r="R235">
            <v>131.44559845532746</v>
          </cell>
          <cell r="S235">
            <v>0</v>
          </cell>
          <cell r="U235">
            <v>150.37695590857192</v>
          </cell>
          <cell r="V235">
            <v>149.69985686524956</v>
          </cell>
          <cell r="W235">
            <v>0</v>
          </cell>
          <cell r="Y235">
            <v>129.04614616297346</v>
          </cell>
          <cell r="Z235">
            <v>170.95411562097826</v>
          </cell>
          <cell r="AA235">
            <v>0</v>
          </cell>
          <cell r="AC235">
            <v>165</v>
          </cell>
          <cell r="AD235">
            <v>135</v>
          </cell>
          <cell r="AG235">
            <v>165</v>
          </cell>
          <cell r="AH235">
            <v>135</v>
          </cell>
          <cell r="AK235">
            <v>165</v>
          </cell>
          <cell r="AL235">
            <v>135</v>
          </cell>
          <cell r="AO235">
            <v>165</v>
          </cell>
          <cell r="AP235">
            <v>135</v>
          </cell>
          <cell r="AS235">
            <v>165</v>
          </cell>
          <cell r="AT235">
            <v>135</v>
          </cell>
          <cell r="AW235">
            <v>165</v>
          </cell>
          <cell r="AX235">
            <v>135</v>
          </cell>
          <cell r="BA235">
            <v>165</v>
          </cell>
          <cell r="BB235">
            <v>135</v>
          </cell>
        </row>
        <row r="236">
          <cell r="I236">
            <v>32.128989414609229</v>
          </cell>
          <cell r="J236">
            <v>11.929409278241931</v>
          </cell>
          <cell r="K236">
            <v>0</v>
          </cell>
          <cell r="M236">
            <v>32.128989414609229</v>
          </cell>
          <cell r="N236">
            <v>13.929409278241931</v>
          </cell>
          <cell r="O236">
            <v>0</v>
          </cell>
          <cell r="Q236">
            <v>143.81044878080101</v>
          </cell>
          <cell r="R236">
            <v>156.23591034883887</v>
          </cell>
          <cell r="S236">
            <v>0</v>
          </cell>
          <cell r="U236">
            <v>131.83427178080095</v>
          </cell>
          <cell r="V236">
            <v>168.23591234883884</v>
          </cell>
          <cell r="W236">
            <v>0</v>
          </cell>
          <cell r="Y236">
            <v>126.9342713259469</v>
          </cell>
          <cell r="Z236">
            <v>173.23591234883884</v>
          </cell>
          <cell r="AA236">
            <v>0</v>
          </cell>
          <cell r="AC236">
            <v>165</v>
          </cell>
          <cell r="AD236">
            <v>135</v>
          </cell>
          <cell r="AG236">
            <v>165</v>
          </cell>
          <cell r="AH236">
            <v>135</v>
          </cell>
          <cell r="AK236">
            <v>165</v>
          </cell>
          <cell r="AL236">
            <v>135</v>
          </cell>
          <cell r="AO236">
            <v>165</v>
          </cell>
          <cell r="AP236">
            <v>135</v>
          </cell>
          <cell r="AS236">
            <v>165</v>
          </cell>
          <cell r="AT236">
            <v>135</v>
          </cell>
          <cell r="AW236">
            <v>165</v>
          </cell>
          <cell r="AX236">
            <v>135</v>
          </cell>
          <cell r="BA236">
            <v>165</v>
          </cell>
          <cell r="BB236">
            <v>135</v>
          </cell>
        </row>
        <row r="241">
          <cell r="I241">
            <v>13.3669667112675</v>
          </cell>
          <cell r="J241">
            <v>31.605502463737402</v>
          </cell>
          <cell r="K241">
            <v>0</v>
          </cell>
          <cell r="M241">
            <v>13.3669667112675</v>
          </cell>
          <cell r="N241">
            <v>31.605502463737402</v>
          </cell>
          <cell r="O241">
            <v>0</v>
          </cell>
          <cell r="Q241">
            <v>13.3669667112675</v>
          </cell>
          <cell r="R241">
            <v>31.605502463737359</v>
          </cell>
          <cell r="S241">
            <v>0</v>
          </cell>
          <cell r="U241">
            <v>13.3669667112675</v>
          </cell>
          <cell r="V241">
            <v>31.605502463737402</v>
          </cell>
          <cell r="W241">
            <v>0</v>
          </cell>
          <cell r="Y241">
            <v>13.3669667112675</v>
          </cell>
          <cell r="Z241">
            <v>31.605502463737402</v>
          </cell>
          <cell r="AA241">
            <v>0</v>
          </cell>
        </row>
        <row r="242">
          <cell r="I242">
            <v>29.397086877343355</v>
          </cell>
          <cell r="J242">
            <v>16.254258409922091</v>
          </cell>
          <cell r="K242">
            <v>0</v>
          </cell>
          <cell r="M242">
            <v>29.797086877343354</v>
          </cell>
          <cell r="N242">
            <v>16.254258409922091</v>
          </cell>
          <cell r="O242">
            <v>0</v>
          </cell>
          <cell r="Q242">
            <v>31.397086877343369</v>
          </cell>
          <cell r="R242">
            <v>16.254258409922091</v>
          </cell>
          <cell r="S242">
            <v>0</v>
          </cell>
          <cell r="U242">
            <v>29.797086877343357</v>
          </cell>
          <cell r="V242">
            <v>16.254258409922091</v>
          </cell>
          <cell r="W242">
            <v>0</v>
          </cell>
          <cell r="Y242">
            <v>29.397086877343369</v>
          </cell>
          <cell r="Z242">
            <v>16.254258409922091</v>
          </cell>
          <cell r="AA242">
            <v>0</v>
          </cell>
        </row>
        <row r="243">
          <cell r="I243">
            <v>13.711946318169121</v>
          </cell>
          <cell r="J243">
            <v>35.673275113117384</v>
          </cell>
          <cell r="K243">
            <v>0</v>
          </cell>
          <cell r="M243">
            <v>13.711946318169121</v>
          </cell>
          <cell r="N243">
            <v>35.673275113117384</v>
          </cell>
          <cell r="O243">
            <v>0</v>
          </cell>
          <cell r="Q243">
            <v>13.711946318169121</v>
          </cell>
          <cell r="R243">
            <v>35.673275113117384</v>
          </cell>
          <cell r="S243">
            <v>0</v>
          </cell>
          <cell r="U243">
            <v>13.711946318169121</v>
          </cell>
          <cell r="V243">
            <v>35.673275113117384</v>
          </cell>
          <cell r="W243">
            <v>0</v>
          </cell>
          <cell r="Y243">
            <v>13.711946318169121</v>
          </cell>
          <cell r="Z243">
            <v>35.673275113117384</v>
          </cell>
          <cell r="AA243">
            <v>0</v>
          </cell>
        </row>
        <row r="244">
          <cell r="I244">
            <v>51.027525362919434</v>
          </cell>
          <cell r="J244">
            <v>12.224114848854265</v>
          </cell>
          <cell r="K244">
            <v>0</v>
          </cell>
          <cell r="M244">
            <v>51.027525362919434</v>
          </cell>
          <cell r="N244">
            <v>30.884665095227859</v>
          </cell>
          <cell r="O244">
            <v>0</v>
          </cell>
          <cell r="Q244">
            <v>51.027525362919434</v>
          </cell>
          <cell r="R244">
            <v>30.884665095227856</v>
          </cell>
          <cell r="S244">
            <v>0</v>
          </cell>
          <cell r="U244">
            <v>44.297525362919437</v>
          </cell>
          <cell r="V244">
            <v>30.884665095227856</v>
          </cell>
          <cell r="W244">
            <v>0</v>
          </cell>
          <cell r="Y244">
            <v>42.697525362919443</v>
          </cell>
          <cell r="Z244">
            <v>9.7074043281479163</v>
          </cell>
          <cell r="AA244">
            <v>0</v>
          </cell>
          <cell r="AC244">
            <v>22</v>
          </cell>
          <cell r="AD244">
            <v>18</v>
          </cell>
          <cell r="AG244">
            <v>22</v>
          </cell>
          <cell r="AH244">
            <v>18</v>
          </cell>
          <cell r="AK244">
            <v>30</v>
          </cell>
          <cell r="AL244">
            <v>20</v>
          </cell>
          <cell r="AO244">
            <v>22</v>
          </cell>
          <cell r="AP244">
            <v>18</v>
          </cell>
          <cell r="AS244">
            <v>22</v>
          </cell>
          <cell r="AT244">
            <v>18</v>
          </cell>
        </row>
        <row r="245">
          <cell r="I245">
            <v>16.708708389084375</v>
          </cell>
          <cell r="J245">
            <v>33.86303835400436</v>
          </cell>
          <cell r="K245">
            <v>0</v>
          </cell>
          <cell r="M245">
            <v>16.708708389084375</v>
          </cell>
          <cell r="N245">
            <v>33.86303835400436</v>
          </cell>
          <cell r="O245">
            <v>0</v>
          </cell>
          <cell r="Q245">
            <v>16.708708389084375</v>
          </cell>
          <cell r="R245">
            <v>33.86303835400436</v>
          </cell>
          <cell r="S245">
            <v>0</v>
          </cell>
          <cell r="U245">
            <v>0</v>
          </cell>
          <cell r="V245">
            <v>58.150717805339198</v>
          </cell>
          <cell r="W245">
            <v>0</v>
          </cell>
          <cell r="Y245">
            <v>0</v>
          </cell>
          <cell r="Z245">
            <v>50.150717805339184</v>
          </cell>
          <cell r="AA245">
            <v>0</v>
          </cell>
        </row>
        <row r="246">
          <cell r="I246">
            <v>14.366543984120458</v>
          </cell>
          <cell r="J246">
            <v>12.628832568929884</v>
          </cell>
          <cell r="K246">
            <v>0</v>
          </cell>
          <cell r="M246">
            <v>14.366543984120458</v>
          </cell>
          <cell r="N246">
            <v>10.628832568929891</v>
          </cell>
          <cell r="O246">
            <v>0</v>
          </cell>
          <cell r="Q246">
            <v>14.366543984120458</v>
          </cell>
          <cell r="R246">
            <v>10.628832568929887</v>
          </cell>
          <cell r="S246">
            <v>0</v>
          </cell>
          <cell r="U246">
            <v>26.366543984120458</v>
          </cell>
          <cell r="V246">
            <v>10.628832568929887</v>
          </cell>
          <cell r="W246">
            <v>0</v>
          </cell>
          <cell r="Y246">
            <v>29.366543984120415</v>
          </cell>
          <cell r="Z246">
            <v>10.628832568929887</v>
          </cell>
          <cell r="AA246">
            <v>0</v>
          </cell>
        </row>
        <row r="247"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  <cell r="Q247">
            <v>0</v>
          </cell>
          <cell r="R247">
            <v>0</v>
          </cell>
          <cell r="S247">
            <v>0</v>
          </cell>
          <cell r="U247">
            <v>163.71573592061532</v>
          </cell>
          <cell r="V247">
            <v>135.29513914517452</v>
          </cell>
          <cell r="W247">
            <v>1</v>
          </cell>
          <cell r="Y247">
            <v>163.71573592061532</v>
          </cell>
          <cell r="Z247">
            <v>135.29513914517452</v>
          </cell>
          <cell r="AA247">
            <v>1</v>
          </cell>
          <cell r="AC247">
            <v>22</v>
          </cell>
          <cell r="AD247">
            <v>18</v>
          </cell>
          <cell r="AG247">
            <v>33</v>
          </cell>
          <cell r="AH247">
            <v>27</v>
          </cell>
          <cell r="AK247">
            <v>33</v>
          </cell>
          <cell r="AL247">
            <v>27</v>
          </cell>
          <cell r="AO247">
            <v>22</v>
          </cell>
          <cell r="AP247">
            <v>18</v>
          </cell>
          <cell r="AS247">
            <v>22</v>
          </cell>
          <cell r="AT247">
            <v>18</v>
          </cell>
          <cell r="AW247">
            <v>22</v>
          </cell>
          <cell r="AX247">
            <v>18</v>
          </cell>
          <cell r="BA247">
            <v>33</v>
          </cell>
          <cell r="BB247">
            <v>27</v>
          </cell>
        </row>
        <row r="248">
          <cell r="I248">
            <v>9.3890387749040638</v>
          </cell>
          <cell r="J248">
            <v>17.641943770227577</v>
          </cell>
          <cell r="K248">
            <v>0</v>
          </cell>
          <cell r="M248">
            <v>9.3890387749040638</v>
          </cell>
          <cell r="N248">
            <v>17.641943770227577</v>
          </cell>
          <cell r="O248">
            <v>0</v>
          </cell>
          <cell r="Q248">
            <v>9.3890387749040638</v>
          </cell>
          <cell r="R248">
            <v>17.641943770227577</v>
          </cell>
          <cell r="S248">
            <v>0</v>
          </cell>
          <cell r="U248">
            <v>88.669313127581404</v>
          </cell>
          <cell r="V248">
            <v>211.7033252427309</v>
          </cell>
          <cell r="W248">
            <v>0</v>
          </cell>
          <cell r="Y248">
            <v>88.669313127581404</v>
          </cell>
          <cell r="Z248">
            <v>211.7033252427309</v>
          </cell>
          <cell r="AA248">
            <v>0</v>
          </cell>
          <cell r="AC248">
            <v>33</v>
          </cell>
          <cell r="AD248">
            <v>27</v>
          </cell>
          <cell r="AG248">
            <v>22</v>
          </cell>
          <cell r="AH248">
            <v>18</v>
          </cell>
          <cell r="AK248">
            <v>22</v>
          </cell>
          <cell r="AL248">
            <v>18</v>
          </cell>
          <cell r="AO248">
            <v>22</v>
          </cell>
          <cell r="AP248">
            <v>18</v>
          </cell>
          <cell r="AS248">
            <v>22</v>
          </cell>
          <cell r="AT248">
            <v>18</v>
          </cell>
          <cell r="AW248">
            <v>33</v>
          </cell>
          <cell r="AX248">
            <v>27</v>
          </cell>
          <cell r="BA248">
            <v>22</v>
          </cell>
          <cell r="BB248">
            <v>18</v>
          </cell>
        </row>
        <row r="249">
          <cell r="I249">
            <v>30.653453398609031</v>
          </cell>
          <cell r="J249">
            <v>12.136512946075166</v>
          </cell>
          <cell r="K249">
            <v>2.4000000000000004</v>
          </cell>
          <cell r="M249">
            <v>30.653453398609031</v>
          </cell>
          <cell r="N249">
            <v>12.136512946075161</v>
          </cell>
          <cell r="O249">
            <v>2.4000000000000004</v>
          </cell>
          <cell r="Q249">
            <v>30.653453398609031</v>
          </cell>
          <cell r="R249">
            <v>12.136512946075161</v>
          </cell>
          <cell r="S249">
            <v>2.4000000000000004</v>
          </cell>
          <cell r="U249">
            <v>43.5</v>
          </cell>
          <cell r="V249">
            <v>11.636172273281394</v>
          </cell>
          <cell r="W249">
            <v>12</v>
          </cell>
          <cell r="Y249">
            <v>43.5</v>
          </cell>
          <cell r="Z249">
            <v>14.836172273281393</v>
          </cell>
          <cell r="AA249">
            <v>12</v>
          </cell>
          <cell r="AC249">
            <v>22</v>
          </cell>
          <cell r="AD249">
            <v>18</v>
          </cell>
          <cell r="AG249">
            <v>22</v>
          </cell>
          <cell r="AH249">
            <v>18</v>
          </cell>
          <cell r="AK249">
            <v>22</v>
          </cell>
          <cell r="AL249">
            <v>18</v>
          </cell>
          <cell r="AO249">
            <v>33</v>
          </cell>
          <cell r="AP249">
            <v>27</v>
          </cell>
          <cell r="AS249">
            <v>33</v>
          </cell>
          <cell r="AT249">
            <v>27</v>
          </cell>
          <cell r="AW249">
            <v>22</v>
          </cell>
          <cell r="AX249">
            <v>18</v>
          </cell>
          <cell r="BA249">
            <v>22</v>
          </cell>
          <cell r="BB249">
            <v>18</v>
          </cell>
        </row>
        <row r="250">
          <cell r="I250">
            <v>0</v>
          </cell>
          <cell r="J250">
            <v>0</v>
          </cell>
          <cell r="K250">
            <v>0</v>
          </cell>
          <cell r="M250">
            <v>0</v>
          </cell>
          <cell r="N250">
            <v>0</v>
          </cell>
          <cell r="O250">
            <v>0</v>
          </cell>
          <cell r="Q250">
            <v>0</v>
          </cell>
          <cell r="R250">
            <v>0</v>
          </cell>
          <cell r="S250">
            <v>0</v>
          </cell>
          <cell r="U250">
            <v>0</v>
          </cell>
          <cell r="V250">
            <v>0</v>
          </cell>
          <cell r="W250">
            <v>0</v>
          </cell>
          <cell r="Y250">
            <v>66</v>
          </cell>
          <cell r="Z250">
            <v>0</v>
          </cell>
          <cell r="AA250">
            <v>0</v>
          </cell>
        </row>
        <row r="251"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30</v>
          </cell>
          <cell r="V251">
            <v>30</v>
          </cell>
          <cell r="W251">
            <v>0</v>
          </cell>
          <cell r="Y251">
            <v>30</v>
          </cell>
          <cell r="Z251">
            <v>30</v>
          </cell>
          <cell r="AA251">
            <v>0</v>
          </cell>
        </row>
        <row r="252">
          <cell r="I252">
            <v>50</v>
          </cell>
          <cell r="J252">
            <v>0</v>
          </cell>
          <cell r="K252">
            <v>0</v>
          </cell>
          <cell r="M252">
            <v>60</v>
          </cell>
          <cell r="N252">
            <v>0</v>
          </cell>
          <cell r="O252">
            <v>0</v>
          </cell>
          <cell r="Q252">
            <v>60</v>
          </cell>
          <cell r="R252">
            <v>0</v>
          </cell>
          <cell r="S252">
            <v>0</v>
          </cell>
          <cell r="U252">
            <v>60</v>
          </cell>
          <cell r="V252">
            <v>0</v>
          </cell>
          <cell r="W252">
            <v>0</v>
          </cell>
          <cell r="Y252">
            <v>60</v>
          </cell>
          <cell r="Z252">
            <v>0</v>
          </cell>
          <cell r="AA252">
            <v>0</v>
          </cell>
        </row>
        <row r="253">
          <cell r="I253">
            <v>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O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Y253">
            <v>0</v>
          </cell>
          <cell r="Z253">
            <v>0</v>
          </cell>
          <cell r="AA253">
            <v>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189E-EBF5-4FB8-9D0E-5D9F398D76D7}">
  <sheetPr>
    <tabColor rgb="FFFF0000"/>
  </sheetPr>
  <dimension ref="A1:CA3947"/>
  <sheetViews>
    <sheetView tabSelected="1" zoomScale="60" zoomScaleNormal="60" workbookViewId="0">
      <pane xSplit="7" ySplit="7" topLeftCell="H36" activePane="bottomRight" state="frozen"/>
      <selection pane="topRight" activeCell="H1" sqref="H1"/>
      <selection pane="bottomLeft" activeCell="A8" sqref="A8"/>
      <selection pane="bottomRight" activeCell="AQ122" sqref="AQ122"/>
    </sheetView>
  </sheetViews>
  <sheetFormatPr defaultColWidth="9" defaultRowHeight="15" outlineLevelRow="1" outlineLevelCol="1"/>
  <cols>
    <col min="1" max="1" width="20.5" style="1" customWidth="1"/>
    <col min="2" max="2" width="14.8984375" style="1" customWidth="1"/>
    <col min="3" max="3" width="11.8984375" style="1" customWidth="1"/>
    <col min="4" max="4" width="21.8984375" style="1" customWidth="1"/>
    <col min="5" max="5" width="24.09765625" style="1" customWidth="1"/>
    <col min="6" max="7" width="22.59765625" style="1" customWidth="1"/>
    <col min="8" max="8" width="9.59765625" style="1" customWidth="1"/>
    <col min="9" max="9" width="12.59765625" style="1" hidden="1" customWidth="1" outlineLevel="1"/>
    <col min="10" max="10" width="13.09765625" style="1" hidden="1" customWidth="1" outlineLevel="1"/>
    <col min="11" max="12" width="11.09765625" style="2" hidden="1" customWidth="1" outlineLevel="1"/>
    <col min="13" max="13" width="12.09765625" style="2" hidden="1" customWidth="1" outlineLevel="1"/>
    <col min="14" max="17" width="11.09765625" style="2" hidden="1" customWidth="1" outlineLevel="1"/>
    <col min="18" max="18" width="14.59765625" style="2" hidden="1" customWidth="1" outlineLevel="1"/>
    <col min="19" max="19" width="11.09765625" style="2" hidden="1" customWidth="1" outlineLevel="1"/>
    <col min="20" max="23" width="13.09765625" style="2" hidden="1" customWidth="1" outlineLevel="1"/>
    <col min="24" max="27" width="11.09765625" style="2" hidden="1" customWidth="1" outlineLevel="1"/>
    <col min="28" max="28" width="12.8984375" style="2" hidden="1" customWidth="1" outlineLevel="1"/>
    <col min="29" max="29" width="11.09765625" style="2" hidden="1" customWidth="1" outlineLevel="1"/>
    <col min="30" max="32" width="14.59765625" style="2" hidden="1" customWidth="1" outlineLevel="1"/>
    <col min="33" max="33" width="13.09765625" style="2" hidden="1" customWidth="1" outlineLevel="1"/>
    <col min="34" max="37" width="11.09765625" style="2" hidden="1" customWidth="1" outlineLevel="1"/>
    <col min="38" max="38" width="13.59765625" style="2" hidden="1" customWidth="1" outlineLevel="1"/>
    <col min="39" max="39" width="11.09765625" style="2" customWidth="1" outlineLevel="1"/>
    <col min="40" max="42" width="13.3984375" style="2" customWidth="1" outlineLevel="1"/>
    <col min="43" max="44" width="11.09765625" style="2" customWidth="1" outlineLevel="1"/>
    <col min="45" max="47" width="12.59765625" style="2" customWidth="1" outlineLevel="1"/>
    <col min="48" max="48" width="11.09765625" style="2" customWidth="1" outlineLevel="1"/>
    <col min="49" max="49" width="12.59765625" style="2" customWidth="1" outlineLevel="1"/>
    <col min="50" max="52" width="14.3984375" style="2" customWidth="1" outlineLevel="1"/>
    <col min="53" max="57" width="11.09765625" style="2" customWidth="1" outlineLevel="1"/>
    <col min="58" max="58" width="14.8984375" style="2" customWidth="1" outlineLevel="1"/>
    <col min="59" max="59" width="11.09765625" style="2" customWidth="1" outlineLevel="1"/>
    <col min="60" max="62" width="13.8984375" style="2" customWidth="1" outlineLevel="1"/>
    <col min="63" max="67" width="12.3984375" style="2" customWidth="1" outlineLevel="1"/>
    <col min="68" max="68" width="11.09765625" style="2" customWidth="1" outlineLevel="1"/>
    <col min="69" max="69" width="13.5" style="2" customWidth="1" outlineLevel="1"/>
    <col min="70" max="72" width="12.8984375" style="2" customWidth="1" outlineLevel="1"/>
    <col min="73" max="73" width="15.09765625" style="2" customWidth="1"/>
    <col min="74" max="16384" width="9" style="1"/>
  </cols>
  <sheetData>
    <row r="1" spans="1:73">
      <c r="I1" s="1" t="s">
        <v>0</v>
      </c>
      <c r="J1" s="1" t="s">
        <v>1</v>
      </c>
      <c r="K1" s="2" t="s">
        <v>2</v>
      </c>
      <c r="L1" s="2" t="s">
        <v>2</v>
      </c>
      <c r="M1" s="2" t="s">
        <v>2</v>
      </c>
      <c r="N1" s="2" t="s">
        <v>0</v>
      </c>
      <c r="O1" s="2" t="s">
        <v>1</v>
      </c>
      <c r="P1" s="2" t="s">
        <v>1</v>
      </c>
      <c r="Q1" s="2" t="s">
        <v>1</v>
      </c>
      <c r="R1" s="2" t="s">
        <v>2</v>
      </c>
      <c r="S1" s="2" t="s">
        <v>0</v>
      </c>
      <c r="T1" s="2" t="s">
        <v>1</v>
      </c>
      <c r="U1" s="2" t="s">
        <v>1</v>
      </c>
      <c r="V1" s="2" t="s">
        <v>1</v>
      </c>
      <c r="W1" s="2" t="s">
        <v>2</v>
      </c>
      <c r="X1" s="2" t="s">
        <v>0</v>
      </c>
      <c r="Y1" s="2" t="s">
        <v>1</v>
      </c>
      <c r="Z1" s="2" t="s">
        <v>1</v>
      </c>
      <c r="AA1" s="2" t="s">
        <v>1</v>
      </c>
      <c r="AB1" s="2" t="s">
        <v>2</v>
      </c>
      <c r="AC1" s="2" t="s">
        <v>0</v>
      </c>
      <c r="AD1" s="2" t="s">
        <v>1</v>
      </c>
      <c r="AE1" s="2" t="s">
        <v>1</v>
      </c>
      <c r="AF1" s="2" t="s">
        <v>1</v>
      </c>
      <c r="AG1" s="2" t="s">
        <v>2</v>
      </c>
      <c r="AH1" s="2" t="s">
        <v>0</v>
      </c>
      <c r="AI1" s="2" t="s">
        <v>1</v>
      </c>
      <c r="AJ1" s="2" t="s">
        <v>1</v>
      </c>
      <c r="AK1" s="2" t="s">
        <v>1</v>
      </c>
      <c r="AL1" s="2" t="s">
        <v>2</v>
      </c>
      <c r="AM1" s="2" t="s">
        <v>0</v>
      </c>
      <c r="AN1" s="2" t="s">
        <v>1</v>
      </c>
      <c r="AO1" s="2" t="s">
        <v>1</v>
      </c>
      <c r="AP1" s="2" t="s">
        <v>1</v>
      </c>
      <c r="AQ1" s="2" t="s">
        <v>2</v>
      </c>
      <c r="AR1" s="2" t="s">
        <v>0</v>
      </c>
      <c r="AS1" s="2" t="s">
        <v>1</v>
      </c>
      <c r="AT1" s="2" t="s">
        <v>1</v>
      </c>
      <c r="AU1" s="2" t="s">
        <v>1</v>
      </c>
      <c r="AV1" s="2" t="s">
        <v>2</v>
      </c>
      <c r="AW1" s="2" t="s">
        <v>0</v>
      </c>
      <c r="AX1" s="2" t="s">
        <v>1</v>
      </c>
      <c r="AY1" s="2" t="s">
        <v>1</v>
      </c>
      <c r="AZ1" s="2" t="s">
        <v>1</v>
      </c>
      <c r="BA1" s="2" t="s">
        <v>2</v>
      </c>
      <c r="BB1" s="2" t="s">
        <v>0</v>
      </c>
      <c r="BC1" s="2" t="s">
        <v>1</v>
      </c>
      <c r="BD1" s="2" t="s">
        <v>1</v>
      </c>
      <c r="BE1" s="2" t="s">
        <v>1</v>
      </c>
      <c r="BF1" s="2" t="s">
        <v>2</v>
      </c>
      <c r="BG1" s="2" t="s">
        <v>0</v>
      </c>
      <c r="BH1" s="2" t="s">
        <v>1</v>
      </c>
      <c r="BI1" s="2" t="s">
        <v>1</v>
      </c>
      <c r="BJ1" s="2" t="s">
        <v>1</v>
      </c>
      <c r="BK1" s="2" t="s">
        <v>2</v>
      </c>
      <c r="BL1" s="2" t="s">
        <v>0</v>
      </c>
      <c r="BM1" s="2" t="s">
        <v>1</v>
      </c>
      <c r="BN1" s="2" t="s">
        <v>1</v>
      </c>
      <c r="BO1" s="2" t="s">
        <v>1</v>
      </c>
      <c r="BP1" s="2" t="s">
        <v>2</v>
      </c>
      <c r="BQ1" s="2" t="s">
        <v>0</v>
      </c>
      <c r="BR1" s="2" t="s">
        <v>1</v>
      </c>
      <c r="BS1" s="2" t="s">
        <v>1</v>
      </c>
      <c r="BT1" s="2" t="s">
        <v>1</v>
      </c>
      <c r="BU1" s="2" t="s">
        <v>2</v>
      </c>
    </row>
    <row r="2" spans="1:73">
      <c r="A2" s="3" t="s">
        <v>3</v>
      </c>
      <c r="B2" s="3"/>
      <c r="C2" s="3"/>
      <c r="D2" s="3"/>
      <c r="E2" s="3"/>
      <c r="G2" s="1">
        <v>1</v>
      </c>
      <c r="H2" s="1">
        <v>2</v>
      </c>
      <c r="I2" s="1">
        <f>H2+1</f>
        <v>3</v>
      </c>
      <c r="J2" s="1">
        <f t="shared" ref="J2:BQ2" si="0">I2+1</f>
        <v>4</v>
      </c>
      <c r="K2" s="1" t="e">
        <f>#REF!+1</f>
        <v>#REF!</v>
      </c>
      <c r="L2" s="1" t="e">
        <f>#REF!+1</f>
        <v>#REF!</v>
      </c>
      <c r="M2" s="1" t="e">
        <f>#REF!+1</f>
        <v>#REF!</v>
      </c>
      <c r="N2" s="1" t="e">
        <f t="shared" si="0"/>
        <v>#REF!</v>
      </c>
      <c r="O2" s="1" t="e">
        <f>M2+1</f>
        <v>#REF!</v>
      </c>
      <c r="P2" s="1" t="e">
        <f>M2+1</f>
        <v>#REF!</v>
      </c>
      <c r="Q2" s="1" t="e">
        <f>N2+1</f>
        <v>#REF!</v>
      </c>
      <c r="R2" s="1" t="e">
        <f>#REF!+1</f>
        <v>#REF!</v>
      </c>
      <c r="S2" s="1" t="e">
        <f t="shared" si="0"/>
        <v>#REF!</v>
      </c>
      <c r="T2" s="1" t="e">
        <f>R2+1</f>
        <v>#REF!</v>
      </c>
      <c r="U2" s="1" t="e">
        <f>R2+1</f>
        <v>#REF!</v>
      </c>
      <c r="V2" s="1" t="e">
        <f>S2+1</f>
        <v>#REF!</v>
      </c>
      <c r="W2" s="1" t="e">
        <f>#REF!+1</f>
        <v>#REF!</v>
      </c>
      <c r="X2" s="1" t="e">
        <f t="shared" si="0"/>
        <v>#REF!</v>
      </c>
      <c r="Y2" s="1" t="e">
        <f>W2+1</f>
        <v>#REF!</v>
      </c>
      <c r="Z2" s="1" t="e">
        <f>W2+1</f>
        <v>#REF!</v>
      </c>
      <c r="AA2" s="1" t="e">
        <f>X2+1</f>
        <v>#REF!</v>
      </c>
      <c r="AB2" s="1" t="e">
        <f>#REF!+1</f>
        <v>#REF!</v>
      </c>
      <c r="AC2" s="1" t="e">
        <f t="shared" si="0"/>
        <v>#REF!</v>
      </c>
      <c r="AD2" s="1" t="e">
        <f>AB2+1</f>
        <v>#REF!</v>
      </c>
      <c r="AE2" s="1" t="e">
        <f>AB2+1</f>
        <v>#REF!</v>
      </c>
      <c r="AF2" s="1" t="e">
        <f>AC2+1</f>
        <v>#REF!</v>
      </c>
      <c r="AG2" s="1" t="e">
        <f>#REF!+1</f>
        <v>#REF!</v>
      </c>
      <c r="AH2" s="1" t="e">
        <f t="shared" si="0"/>
        <v>#REF!</v>
      </c>
      <c r="AI2" s="1" t="e">
        <f>AG2+1</f>
        <v>#REF!</v>
      </c>
      <c r="AJ2" s="1" t="e">
        <f>AG2+1</f>
        <v>#REF!</v>
      </c>
      <c r="AK2" s="1" t="e">
        <f>AH2+1</f>
        <v>#REF!</v>
      </c>
      <c r="AL2" s="1" t="e">
        <f>#REF!+1</f>
        <v>#REF!</v>
      </c>
      <c r="AM2" s="1" t="e">
        <f t="shared" si="0"/>
        <v>#REF!</v>
      </c>
      <c r="AN2" s="1" t="e">
        <f>AL2+1</f>
        <v>#REF!</v>
      </c>
      <c r="AO2" s="1" t="e">
        <f>AL2+1</f>
        <v>#REF!</v>
      </c>
      <c r="AP2" s="1" t="e">
        <f>AM2+1</f>
        <v>#REF!</v>
      </c>
      <c r="AQ2" s="1" t="e">
        <f>#REF!+1</f>
        <v>#REF!</v>
      </c>
      <c r="AR2" s="1" t="e">
        <f t="shared" si="0"/>
        <v>#REF!</v>
      </c>
      <c r="AS2" s="1" t="e">
        <f>AQ2+1</f>
        <v>#REF!</v>
      </c>
      <c r="AT2" s="1" t="e">
        <f>AQ2+1</f>
        <v>#REF!</v>
      </c>
      <c r="AU2" s="1" t="e">
        <f>AR2+1</f>
        <v>#REF!</v>
      </c>
      <c r="AV2" s="1" t="e">
        <f>#REF!+1</f>
        <v>#REF!</v>
      </c>
      <c r="AW2" s="1" t="e">
        <f t="shared" si="0"/>
        <v>#REF!</v>
      </c>
      <c r="AX2" s="1" t="e">
        <f>AV2+1</f>
        <v>#REF!</v>
      </c>
      <c r="AY2" s="1" t="e">
        <f>AV2+1</f>
        <v>#REF!</v>
      </c>
      <c r="AZ2" s="1" t="e">
        <f>AW2+1</f>
        <v>#REF!</v>
      </c>
      <c r="BA2" s="1" t="e">
        <f>#REF!+1</f>
        <v>#REF!</v>
      </c>
      <c r="BB2" s="1" t="e">
        <f t="shared" si="0"/>
        <v>#REF!</v>
      </c>
      <c r="BC2" s="1" t="e">
        <f>BA2+1</f>
        <v>#REF!</v>
      </c>
      <c r="BD2" s="1" t="e">
        <f>BA2+1</f>
        <v>#REF!</v>
      </c>
      <c r="BE2" s="1" t="e">
        <f>BB2+1</f>
        <v>#REF!</v>
      </c>
      <c r="BF2" s="1" t="e">
        <f>#REF!+1</f>
        <v>#REF!</v>
      </c>
      <c r="BG2" s="1" t="e">
        <f t="shared" si="0"/>
        <v>#REF!</v>
      </c>
      <c r="BH2" s="1" t="e">
        <f>BF2+1</f>
        <v>#REF!</v>
      </c>
      <c r="BI2" s="1" t="e">
        <f>BF2+1</f>
        <v>#REF!</v>
      </c>
      <c r="BJ2" s="1" t="e">
        <f>BG2+1</f>
        <v>#REF!</v>
      </c>
      <c r="BK2" s="1" t="e">
        <f>#REF!+1</f>
        <v>#REF!</v>
      </c>
      <c r="BL2" s="1" t="e">
        <f t="shared" si="0"/>
        <v>#REF!</v>
      </c>
      <c r="BM2" s="1" t="e">
        <f>BK2+1</f>
        <v>#REF!</v>
      </c>
      <c r="BN2" s="1" t="e">
        <f>BK2+1</f>
        <v>#REF!</v>
      </c>
      <c r="BO2" s="1" t="e">
        <f>BL2+1</f>
        <v>#REF!</v>
      </c>
      <c r="BP2" s="1" t="e">
        <f>#REF!+1</f>
        <v>#REF!</v>
      </c>
      <c r="BQ2" s="1" t="e">
        <f t="shared" si="0"/>
        <v>#REF!</v>
      </c>
      <c r="BR2" s="1" t="e">
        <f>BP2+1</f>
        <v>#REF!</v>
      </c>
      <c r="BS2" s="1" t="e">
        <f>BP2+1</f>
        <v>#REF!</v>
      </c>
      <c r="BT2" s="1" t="e">
        <f>BQ2+1</f>
        <v>#REF!</v>
      </c>
      <c r="BU2" s="1" t="e">
        <f>#REF!+1</f>
        <v>#REF!</v>
      </c>
    </row>
    <row r="3" spans="1:73">
      <c r="A3" s="3" t="s">
        <v>4</v>
      </c>
      <c r="B3" s="3"/>
      <c r="C3" s="3"/>
      <c r="D3" s="3"/>
      <c r="E3" s="2">
        <f>+AG198+AG199</f>
        <v>80.141454452167864</v>
      </c>
      <c r="F3" s="2"/>
      <c r="G3" s="2"/>
      <c r="H3" s="2"/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f>+I3+1</f>
        <v>2</v>
      </c>
      <c r="O3" s="2">
        <f>+I3+1</f>
        <v>2</v>
      </c>
      <c r="P3" s="2">
        <f>+I3+1</f>
        <v>2</v>
      </c>
      <c r="Q3" s="2">
        <f>+J3+1</f>
        <v>2</v>
      </c>
      <c r="R3" s="2">
        <f t="shared" ref="R3:BU3" si="1">+M3+1</f>
        <v>2</v>
      </c>
      <c r="S3" s="2">
        <f t="shared" si="1"/>
        <v>3</v>
      </c>
      <c r="T3" s="2">
        <f t="shared" si="1"/>
        <v>3</v>
      </c>
      <c r="U3" s="2">
        <f t="shared" si="1"/>
        <v>3</v>
      </c>
      <c r="V3" s="2">
        <f t="shared" si="1"/>
        <v>3</v>
      </c>
      <c r="W3" s="2">
        <f t="shared" si="1"/>
        <v>3</v>
      </c>
      <c r="X3" s="2">
        <f t="shared" si="1"/>
        <v>4</v>
      </c>
      <c r="Y3" s="2">
        <f t="shared" si="1"/>
        <v>4</v>
      </c>
      <c r="Z3" s="2">
        <f t="shared" si="1"/>
        <v>4</v>
      </c>
      <c r="AA3" s="2">
        <f t="shared" si="1"/>
        <v>4</v>
      </c>
      <c r="AB3" s="2">
        <f t="shared" si="1"/>
        <v>4</v>
      </c>
      <c r="AC3" s="2">
        <f t="shared" si="1"/>
        <v>5</v>
      </c>
      <c r="AD3" s="2">
        <f t="shared" si="1"/>
        <v>5</v>
      </c>
      <c r="AE3" s="2">
        <f t="shared" si="1"/>
        <v>5</v>
      </c>
      <c r="AF3" s="2">
        <f t="shared" si="1"/>
        <v>5</v>
      </c>
      <c r="AG3" s="2">
        <f t="shared" si="1"/>
        <v>5</v>
      </c>
      <c r="AH3" s="2">
        <f t="shared" si="1"/>
        <v>6</v>
      </c>
      <c r="AI3" s="2">
        <f t="shared" si="1"/>
        <v>6</v>
      </c>
      <c r="AJ3" s="2">
        <f t="shared" si="1"/>
        <v>6</v>
      </c>
      <c r="AK3" s="2">
        <f t="shared" si="1"/>
        <v>6</v>
      </c>
      <c r="AL3" s="2">
        <f t="shared" si="1"/>
        <v>6</v>
      </c>
      <c r="AM3" s="2">
        <f t="shared" si="1"/>
        <v>7</v>
      </c>
      <c r="AN3" s="2">
        <f t="shared" si="1"/>
        <v>7</v>
      </c>
      <c r="AO3" s="2">
        <f t="shared" si="1"/>
        <v>7</v>
      </c>
      <c r="AP3" s="2">
        <f t="shared" si="1"/>
        <v>7</v>
      </c>
      <c r="AQ3" s="2">
        <f t="shared" si="1"/>
        <v>7</v>
      </c>
      <c r="AR3" s="2">
        <f t="shared" si="1"/>
        <v>8</v>
      </c>
      <c r="AS3" s="2">
        <f t="shared" si="1"/>
        <v>8</v>
      </c>
      <c r="AT3" s="2">
        <f t="shared" si="1"/>
        <v>8</v>
      </c>
      <c r="AU3" s="2">
        <f t="shared" si="1"/>
        <v>8</v>
      </c>
      <c r="AV3" s="2">
        <f t="shared" si="1"/>
        <v>8</v>
      </c>
      <c r="AW3" s="2">
        <f t="shared" si="1"/>
        <v>9</v>
      </c>
      <c r="AX3" s="2">
        <f t="shared" si="1"/>
        <v>9</v>
      </c>
      <c r="AY3" s="2">
        <f t="shared" si="1"/>
        <v>9</v>
      </c>
      <c r="AZ3" s="2">
        <f t="shared" si="1"/>
        <v>9</v>
      </c>
      <c r="BA3" s="2">
        <f t="shared" si="1"/>
        <v>9</v>
      </c>
      <c r="BB3" s="2">
        <f t="shared" si="1"/>
        <v>10</v>
      </c>
      <c r="BC3" s="2">
        <f t="shared" si="1"/>
        <v>10</v>
      </c>
      <c r="BD3" s="2">
        <f t="shared" si="1"/>
        <v>10</v>
      </c>
      <c r="BE3" s="2">
        <f t="shared" si="1"/>
        <v>10</v>
      </c>
      <c r="BF3" s="2">
        <f t="shared" si="1"/>
        <v>10</v>
      </c>
      <c r="BG3" s="2">
        <f t="shared" si="1"/>
        <v>11</v>
      </c>
      <c r="BH3" s="2">
        <f t="shared" si="1"/>
        <v>11</v>
      </c>
      <c r="BI3" s="2">
        <f t="shared" si="1"/>
        <v>11</v>
      </c>
      <c r="BJ3" s="2">
        <f t="shared" si="1"/>
        <v>11</v>
      </c>
      <c r="BK3" s="2">
        <f t="shared" si="1"/>
        <v>11</v>
      </c>
      <c r="BL3" s="2">
        <f t="shared" si="1"/>
        <v>12</v>
      </c>
      <c r="BM3" s="2">
        <f t="shared" si="1"/>
        <v>12</v>
      </c>
      <c r="BN3" s="2">
        <f t="shared" si="1"/>
        <v>12</v>
      </c>
      <c r="BO3" s="2">
        <f t="shared" si="1"/>
        <v>12</v>
      </c>
      <c r="BP3" s="2">
        <f t="shared" si="1"/>
        <v>12</v>
      </c>
      <c r="BQ3" s="2">
        <f t="shared" si="1"/>
        <v>13</v>
      </c>
      <c r="BR3" s="2">
        <f t="shared" si="1"/>
        <v>13</v>
      </c>
      <c r="BS3" s="2">
        <f t="shared" si="1"/>
        <v>13</v>
      </c>
      <c r="BT3" s="2">
        <f t="shared" si="1"/>
        <v>13</v>
      </c>
      <c r="BU3" s="2">
        <f t="shared" si="1"/>
        <v>13</v>
      </c>
    </row>
    <row r="4" spans="1:73">
      <c r="A4" s="3" t="s">
        <v>5</v>
      </c>
      <c r="B4" s="3"/>
      <c r="C4" s="3"/>
      <c r="D4" s="3"/>
      <c r="E4" s="4">
        <f>+AG233+AG234</f>
        <v>88.880569032876281</v>
      </c>
      <c r="F4" s="4">
        <f>225-R169</f>
        <v>225</v>
      </c>
      <c r="G4" s="4">
        <f>+R149+R152+R153+R154</f>
        <v>223</v>
      </c>
      <c r="H4" s="4"/>
      <c r="I4" s="5" t="s">
        <v>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6"/>
    </row>
    <row r="5" spans="1:73">
      <c r="B5" s="3"/>
      <c r="C5" s="3"/>
      <c r="D5" s="2"/>
      <c r="E5" s="4"/>
      <c r="F5" s="4"/>
      <c r="G5" s="4"/>
      <c r="H5" s="4"/>
      <c r="I5" s="7" t="s">
        <v>7</v>
      </c>
      <c r="J5" s="8"/>
      <c r="K5" s="8"/>
      <c r="L5" s="8"/>
      <c r="M5" s="9"/>
      <c r="N5" s="10" t="s">
        <v>8</v>
      </c>
      <c r="O5" s="10"/>
      <c r="P5" s="10"/>
      <c r="Q5" s="10"/>
      <c r="R5" s="10"/>
      <c r="S5" s="7" t="s">
        <v>9</v>
      </c>
      <c r="T5" s="8"/>
      <c r="U5" s="8"/>
      <c r="V5" s="8"/>
      <c r="W5" s="9"/>
      <c r="X5" s="10" t="s">
        <v>10</v>
      </c>
      <c r="Y5" s="10"/>
      <c r="Z5" s="10"/>
      <c r="AA5" s="10"/>
      <c r="AB5" s="10"/>
      <c r="AC5" s="10" t="s">
        <v>11</v>
      </c>
      <c r="AD5" s="10"/>
      <c r="AE5" s="10"/>
      <c r="AF5" s="10"/>
      <c r="AG5" s="10"/>
      <c r="AH5" s="10" t="s">
        <v>12</v>
      </c>
      <c r="AI5" s="10"/>
      <c r="AJ5" s="10"/>
      <c r="AK5" s="10"/>
      <c r="AL5" s="10"/>
      <c r="AM5" s="10" t="s">
        <v>13</v>
      </c>
      <c r="AN5" s="10"/>
      <c r="AO5" s="10"/>
      <c r="AP5" s="10"/>
      <c r="AQ5" s="10"/>
      <c r="AR5" s="10" t="s">
        <v>14</v>
      </c>
      <c r="AS5" s="10"/>
      <c r="AT5" s="10"/>
      <c r="AU5" s="10"/>
      <c r="AV5" s="10"/>
      <c r="AW5" s="10" t="s">
        <v>15</v>
      </c>
      <c r="AX5" s="10"/>
      <c r="AY5" s="10"/>
      <c r="AZ5" s="10"/>
      <c r="BA5" s="10"/>
      <c r="BB5" s="10" t="s">
        <v>16</v>
      </c>
      <c r="BC5" s="10"/>
      <c r="BD5" s="10"/>
      <c r="BE5" s="10"/>
      <c r="BF5" s="10"/>
      <c r="BG5" s="10" t="s">
        <v>17</v>
      </c>
      <c r="BH5" s="10"/>
      <c r="BI5" s="10"/>
      <c r="BJ5" s="10"/>
      <c r="BK5" s="10"/>
      <c r="BL5" s="7" t="s">
        <v>18</v>
      </c>
      <c r="BM5" s="8"/>
      <c r="BN5" s="8"/>
      <c r="BO5" s="8"/>
      <c r="BP5" s="9"/>
      <c r="BQ5" s="7" t="s">
        <v>19</v>
      </c>
      <c r="BR5" s="8"/>
      <c r="BS5" s="8"/>
      <c r="BT5" s="8"/>
      <c r="BU5" s="9"/>
    </row>
    <row r="6" spans="1:73" s="13" customFormat="1" ht="30">
      <c r="A6" s="11" t="s">
        <v>20</v>
      </c>
      <c r="B6" s="11" t="s">
        <v>21</v>
      </c>
      <c r="C6" s="11" t="s">
        <v>22</v>
      </c>
      <c r="D6" s="12" t="s">
        <v>23</v>
      </c>
      <c r="E6" s="11" t="s">
        <v>24</v>
      </c>
      <c r="F6" s="11" t="s">
        <v>25</v>
      </c>
      <c r="G6" s="11" t="s">
        <v>26</v>
      </c>
      <c r="H6" s="11" t="s">
        <v>27</v>
      </c>
      <c r="I6" s="11" t="s">
        <v>28</v>
      </c>
      <c r="J6" s="11" t="s">
        <v>29</v>
      </c>
      <c r="K6" s="11" t="s">
        <v>30</v>
      </c>
      <c r="L6" s="11" t="s">
        <v>31</v>
      </c>
      <c r="M6" s="11" t="s">
        <v>32</v>
      </c>
      <c r="N6" s="11" t="s">
        <v>28</v>
      </c>
      <c r="O6" s="11" t="s">
        <v>29</v>
      </c>
      <c r="P6" s="11" t="s">
        <v>30</v>
      </c>
      <c r="Q6" s="11" t="s">
        <v>31</v>
      </c>
      <c r="R6" s="11" t="s">
        <v>32</v>
      </c>
      <c r="S6" s="11" t="s">
        <v>28</v>
      </c>
      <c r="T6" s="11" t="s">
        <v>29</v>
      </c>
      <c r="U6" s="11" t="s">
        <v>30</v>
      </c>
      <c r="V6" s="11" t="s">
        <v>31</v>
      </c>
      <c r="W6" s="11" t="s">
        <v>32</v>
      </c>
      <c r="X6" s="11" t="s">
        <v>28</v>
      </c>
      <c r="Y6" s="11" t="s">
        <v>29</v>
      </c>
      <c r="Z6" s="11" t="s">
        <v>30</v>
      </c>
      <c r="AA6" s="11" t="s">
        <v>31</v>
      </c>
      <c r="AB6" s="11" t="s">
        <v>32</v>
      </c>
      <c r="AC6" s="11" t="s">
        <v>28</v>
      </c>
      <c r="AD6" s="11" t="s">
        <v>29</v>
      </c>
      <c r="AE6" s="11" t="s">
        <v>30</v>
      </c>
      <c r="AF6" s="11" t="s">
        <v>31</v>
      </c>
      <c r="AG6" s="11" t="s">
        <v>32</v>
      </c>
      <c r="AH6" s="11" t="s">
        <v>28</v>
      </c>
      <c r="AI6" s="11" t="s">
        <v>29</v>
      </c>
      <c r="AJ6" s="11" t="s">
        <v>30</v>
      </c>
      <c r="AK6" s="11" t="s">
        <v>31</v>
      </c>
      <c r="AL6" s="11" t="s">
        <v>32</v>
      </c>
      <c r="AM6" s="11" t="s">
        <v>28</v>
      </c>
      <c r="AN6" s="11" t="s">
        <v>29</v>
      </c>
      <c r="AO6" s="11" t="s">
        <v>30</v>
      </c>
      <c r="AP6" s="11" t="s">
        <v>31</v>
      </c>
      <c r="AQ6" s="11" t="s">
        <v>32</v>
      </c>
      <c r="AR6" s="11" t="s">
        <v>28</v>
      </c>
      <c r="AS6" s="11" t="s">
        <v>29</v>
      </c>
      <c r="AT6" s="11" t="s">
        <v>30</v>
      </c>
      <c r="AU6" s="11" t="s">
        <v>31</v>
      </c>
      <c r="AV6" s="11" t="s">
        <v>32</v>
      </c>
      <c r="AW6" s="11" t="s">
        <v>28</v>
      </c>
      <c r="AX6" s="11" t="s">
        <v>29</v>
      </c>
      <c r="AY6" s="11" t="s">
        <v>30</v>
      </c>
      <c r="AZ6" s="11" t="s">
        <v>31</v>
      </c>
      <c r="BA6" s="11" t="s">
        <v>32</v>
      </c>
      <c r="BB6" s="11" t="s">
        <v>28</v>
      </c>
      <c r="BC6" s="11" t="s">
        <v>29</v>
      </c>
      <c r="BD6" s="11" t="s">
        <v>30</v>
      </c>
      <c r="BE6" s="11" t="s">
        <v>31</v>
      </c>
      <c r="BF6" s="11" t="s">
        <v>32</v>
      </c>
      <c r="BG6" s="11" t="s">
        <v>28</v>
      </c>
      <c r="BH6" s="11" t="s">
        <v>29</v>
      </c>
      <c r="BI6" s="11" t="s">
        <v>30</v>
      </c>
      <c r="BJ6" s="11" t="s">
        <v>31</v>
      </c>
      <c r="BK6" s="11" t="s">
        <v>32</v>
      </c>
      <c r="BL6" s="11" t="s">
        <v>28</v>
      </c>
      <c r="BM6" s="11" t="s">
        <v>29</v>
      </c>
      <c r="BN6" s="11" t="s">
        <v>30</v>
      </c>
      <c r="BO6" s="11" t="s">
        <v>31</v>
      </c>
      <c r="BP6" s="11" t="s">
        <v>32</v>
      </c>
      <c r="BQ6" s="11" t="s">
        <v>28</v>
      </c>
      <c r="BR6" s="11" t="s">
        <v>29</v>
      </c>
      <c r="BS6" s="11" t="s">
        <v>30</v>
      </c>
      <c r="BT6" s="11" t="s">
        <v>31</v>
      </c>
      <c r="BU6" s="11" t="s">
        <v>32</v>
      </c>
    </row>
    <row r="7" spans="1:73" s="13" customFormat="1" ht="30">
      <c r="A7" s="14" t="s">
        <v>20</v>
      </c>
      <c r="B7" s="11" t="s">
        <v>21</v>
      </c>
      <c r="C7" s="11" t="s">
        <v>22</v>
      </c>
      <c r="D7" s="12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5" t="str">
        <f>+I6&amp;" "&amp;I3</f>
        <v>VIKODA 1</v>
      </c>
      <c r="J7" s="15" t="str">
        <f t="shared" ref="J7:BU7" si="2">+J6&amp;" "&amp;J3</f>
        <v>ĐẢNH THẠNH 1</v>
      </c>
      <c r="K7" s="15" t="str">
        <f t="shared" si="2"/>
        <v>SUMO 1</v>
      </c>
      <c r="L7" s="15" t="str">
        <f t="shared" si="2"/>
        <v>KDT 1</v>
      </c>
      <c r="M7" s="15" t="str">
        <f t="shared" si="2"/>
        <v>TỔNG CỘNG 1</v>
      </c>
      <c r="N7" s="15" t="str">
        <f t="shared" si="2"/>
        <v>VIKODA 2</v>
      </c>
      <c r="O7" s="15" t="str">
        <f t="shared" si="2"/>
        <v>ĐẢNH THẠNH 2</v>
      </c>
      <c r="P7" s="15" t="str">
        <f t="shared" si="2"/>
        <v>SUMO 2</v>
      </c>
      <c r="Q7" s="15" t="str">
        <f t="shared" si="2"/>
        <v>KDT 2</v>
      </c>
      <c r="R7" s="15" t="str">
        <f t="shared" si="2"/>
        <v>TỔNG CỘNG 2</v>
      </c>
      <c r="S7" s="15" t="str">
        <f t="shared" si="2"/>
        <v>VIKODA 3</v>
      </c>
      <c r="T7" s="15" t="str">
        <f t="shared" si="2"/>
        <v>ĐẢNH THẠNH 3</v>
      </c>
      <c r="U7" s="15" t="str">
        <f t="shared" si="2"/>
        <v>SUMO 3</v>
      </c>
      <c r="V7" s="15" t="str">
        <f t="shared" si="2"/>
        <v>KDT 3</v>
      </c>
      <c r="W7" s="15" t="str">
        <f t="shared" si="2"/>
        <v>TỔNG CỘNG 3</v>
      </c>
      <c r="X7" s="15" t="str">
        <f t="shared" si="2"/>
        <v>VIKODA 4</v>
      </c>
      <c r="Y7" s="15" t="str">
        <f t="shared" si="2"/>
        <v>ĐẢNH THẠNH 4</v>
      </c>
      <c r="Z7" s="15" t="str">
        <f t="shared" si="2"/>
        <v>SUMO 4</v>
      </c>
      <c r="AA7" s="15" t="str">
        <f t="shared" si="2"/>
        <v>KDT 4</v>
      </c>
      <c r="AB7" s="15" t="str">
        <f t="shared" si="2"/>
        <v>TỔNG CỘNG 4</v>
      </c>
      <c r="AC7" s="15" t="str">
        <f t="shared" si="2"/>
        <v>VIKODA 5</v>
      </c>
      <c r="AD7" s="15" t="str">
        <f t="shared" si="2"/>
        <v>ĐẢNH THẠNH 5</v>
      </c>
      <c r="AE7" s="15" t="str">
        <f t="shared" si="2"/>
        <v>SUMO 5</v>
      </c>
      <c r="AF7" s="15" t="str">
        <f t="shared" si="2"/>
        <v>KDT 5</v>
      </c>
      <c r="AG7" s="15" t="str">
        <f t="shared" si="2"/>
        <v>TỔNG CỘNG 5</v>
      </c>
      <c r="AH7" s="15" t="str">
        <f t="shared" si="2"/>
        <v>VIKODA 6</v>
      </c>
      <c r="AI7" s="15" t="str">
        <f t="shared" si="2"/>
        <v>ĐẢNH THẠNH 6</v>
      </c>
      <c r="AJ7" s="15" t="str">
        <f t="shared" si="2"/>
        <v>SUMO 6</v>
      </c>
      <c r="AK7" s="15" t="str">
        <f t="shared" si="2"/>
        <v>KDT 6</v>
      </c>
      <c r="AL7" s="15" t="str">
        <f t="shared" si="2"/>
        <v>TỔNG CỘNG 6</v>
      </c>
      <c r="AM7" s="15" t="str">
        <f t="shared" si="2"/>
        <v>VIKODA 7</v>
      </c>
      <c r="AN7" s="15" t="str">
        <f t="shared" si="2"/>
        <v>ĐẢNH THẠNH 7</v>
      </c>
      <c r="AO7" s="15" t="str">
        <f t="shared" si="2"/>
        <v>SUMO 7</v>
      </c>
      <c r="AP7" s="15" t="str">
        <f t="shared" si="2"/>
        <v>KDT 7</v>
      </c>
      <c r="AQ7" s="15" t="str">
        <f t="shared" si="2"/>
        <v>TỔNG CỘNG 7</v>
      </c>
      <c r="AR7" s="15" t="str">
        <f t="shared" si="2"/>
        <v>VIKODA 8</v>
      </c>
      <c r="AS7" s="15" t="str">
        <f t="shared" si="2"/>
        <v>ĐẢNH THẠNH 8</v>
      </c>
      <c r="AT7" s="15" t="str">
        <f t="shared" si="2"/>
        <v>SUMO 8</v>
      </c>
      <c r="AU7" s="15" t="str">
        <f t="shared" si="2"/>
        <v>KDT 8</v>
      </c>
      <c r="AV7" s="15" t="str">
        <f t="shared" si="2"/>
        <v>TỔNG CỘNG 8</v>
      </c>
      <c r="AW7" s="15" t="str">
        <f t="shared" si="2"/>
        <v>VIKODA 9</v>
      </c>
      <c r="AX7" s="15" t="str">
        <f t="shared" si="2"/>
        <v>ĐẢNH THẠNH 9</v>
      </c>
      <c r="AY7" s="15" t="str">
        <f t="shared" si="2"/>
        <v>SUMO 9</v>
      </c>
      <c r="AZ7" s="15" t="str">
        <f t="shared" si="2"/>
        <v>KDT 9</v>
      </c>
      <c r="BA7" s="15" t="str">
        <f t="shared" si="2"/>
        <v>TỔNG CỘNG 9</v>
      </c>
      <c r="BB7" s="15" t="str">
        <f t="shared" si="2"/>
        <v>VIKODA 10</v>
      </c>
      <c r="BC7" s="15" t="str">
        <f t="shared" si="2"/>
        <v>ĐẢNH THẠNH 10</v>
      </c>
      <c r="BD7" s="15" t="str">
        <f t="shared" si="2"/>
        <v>SUMO 10</v>
      </c>
      <c r="BE7" s="15" t="str">
        <f t="shared" si="2"/>
        <v>KDT 10</v>
      </c>
      <c r="BF7" s="15" t="str">
        <f t="shared" si="2"/>
        <v>TỔNG CỘNG 10</v>
      </c>
      <c r="BG7" s="15" t="str">
        <f t="shared" si="2"/>
        <v>VIKODA 11</v>
      </c>
      <c r="BH7" s="15" t="str">
        <f t="shared" si="2"/>
        <v>ĐẢNH THẠNH 11</v>
      </c>
      <c r="BI7" s="15" t="str">
        <f t="shared" si="2"/>
        <v>SUMO 11</v>
      </c>
      <c r="BJ7" s="15" t="str">
        <f t="shared" si="2"/>
        <v>KDT 11</v>
      </c>
      <c r="BK7" s="15" t="str">
        <f t="shared" si="2"/>
        <v>TỔNG CỘNG 11</v>
      </c>
      <c r="BL7" s="15" t="str">
        <f t="shared" si="2"/>
        <v>VIKODA 12</v>
      </c>
      <c r="BM7" s="15" t="str">
        <f t="shared" si="2"/>
        <v>ĐẢNH THẠNH 12</v>
      </c>
      <c r="BN7" s="15" t="str">
        <f t="shared" si="2"/>
        <v>SUMO 12</v>
      </c>
      <c r="BO7" s="15" t="str">
        <f t="shared" si="2"/>
        <v>KDT 12</v>
      </c>
      <c r="BP7" s="15" t="str">
        <f t="shared" si="2"/>
        <v>TỔNG CỘNG 12</v>
      </c>
      <c r="BQ7" s="15" t="str">
        <f t="shared" si="2"/>
        <v>VIKODA 13</v>
      </c>
      <c r="BR7" s="15" t="str">
        <f t="shared" si="2"/>
        <v>ĐẢNH THẠNH 13</v>
      </c>
      <c r="BS7" s="15" t="str">
        <f t="shared" si="2"/>
        <v>SUMO 13</v>
      </c>
      <c r="BT7" s="15" t="str">
        <f t="shared" si="2"/>
        <v>KDT 13</v>
      </c>
      <c r="BU7" s="15" t="str">
        <f t="shared" si="2"/>
        <v>TỔNG CỘNG 13</v>
      </c>
    </row>
    <row r="8" spans="1:73" hidden="1" outlineLevel="1">
      <c r="A8" s="16" t="s">
        <v>33</v>
      </c>
      <c r="B8" s="17" t="s">
        <v>34</v>
      </c>
      <c r="C8" s="17" t="s">
        <v>35</v>
      </c>
      <c r="D8" s="17">
        <v>0</v>
      </c>
      <c r="E8" s="17" t="s">
        <v>36</v>
      </c>
      <c r="F8" s="18" t="s">
        <v>37</v>
      </c>
      <c r="G8" s="17" t="s">
        <v>38</v>
      </c>
      <c r="H8" s="18" t="s">
        <v>39</v>
      </c>
      <c r="I8" s="17">
        <v>0</v>
      </c>
      <c r="J8" s="17">
        <v>10</v>
      </c>
      <c r="K8" s="17">
        <v>0</v>
      </c>
      <c r="L8" s="17">
        <v>0</v>
      </c>
      <c r="M8" s="17">
        <f>SUM(I8:L8)</f>
        <v>10</v>
      </c>
      <c r="N8" s="17">
        <v>0</v>
      </c>
      <c r="O8" s="17">
        <v>10</v>
      </c>
      <c r="P8" s="17">
        <v>0</v>
      </c>
      <c r="Q8" s="17">
        <v>0</v>
      </c>
      <c r="R8" s="17">
        <f>SUM(N8:Q8)</f>
        <v>10</v>
      </c>
      <c r="S8" s="17">
        <v>0</v>
      </c>
      <c r="T8" s="17">
        <v>12</v>
      </c>
      <c r="U8" s="17">
        <v>0</v>
      </c>
      <c r="V8" s="17">
        <v>0</v>
      </c>
      <c r="W8" s="17">
        <f>SUM(S8:V8)</f>
        <v>12</v>
      </c>
      <c r="X8" s="17">
        <v>0</v>
      </c>
      <c r="Y8" s="17">
        <v>12</v>
      </c>
      <c r="Z8" s="17">
        <v>0</v>
      </c>
      <c r="AA8" s="17">
        <v>0</v>
      </c>
      <c r="AB8" s="17">
        <f>SUM(X8:AA8)</f>
        <v>12</v>
      </c>
      <c r="AC8" s="17">
        <v>0</v>
      </c>
      <c r="AD8" s="17">
        <v>12</v>
      </c>
      <c r="AE8" s="17">
        <v>0</v>
      </c>
      <c r="AF8" s="17">
        <v>0</v>
      </c>
      <c r="AG8" s="17">
        <f>SUM(AC8:AF8)</f>
        <v>12</v>
      </c>
      <c r="AH8" s="17">
        <v>0</v>
      </c>
      <c r="AI8" s="17">
        <v>12</v>
      </c>
      <c r="AJ8" s="17">
        <v>0</v>
      </c>
      <c r="AK8" s="17">
        <v>0</v>
      </c>
      <c r="AL8" s="17">
        <f>SUM(AH8:AK8)</f>
        <v>12</v>
      </c>
      <c r="AM8" s="17">
        <v>0</v>
      </c>
      <c r="AN8" s="17">
        <v>12</v>
      </c>
      <c r="AO8" s="17">
        <v>0</v>
      </c>
      <c r="AP8" s="17">
        <v>0</v>
      </c>
      <c r="AQ8" s="17">
        <f>SUM(AM8:AP8)</f>
        <v>12</v>
      </c>
      <c r="AR8" s="17">
        <v>0</v>
      </c>
      <c r="AS8" s="17">
        <v>12</v>
      </c>
      <c r="AT8" s="17">
        <v>0</v>
      </c>
      <c r="AU8" s="17">
        <v>0</v>
      </c>
      <c r="AV8" s="17">
        <f>SUM(AR8:AU8)</f>
        <v>12</v>
      </c>
      <c r="AW8" s="17">
        <v>0</v>
      </c>
      <c r="AX8" s="17">
        <v>12</v>
      </c>
      <c r="AY8" s="17">
        <v>0</v>
      </c>
      <c r="AZ8" s="17">
        <v>0</v>
      </c>
      <c r="BA8" s="17">
        <f>SUM(AW8:AZ8)</f>
        <v>12</v>
      </c>
      <c r="BB8" s="17">
        <v>0</v>
      </c>
      <c r="BC8" s="17">
        <v>12</v>
      </c>
      <c r="BD8" s="17">
        <v>0</v>
      </c>
      <c r="BE8" s="17">
        <v>0</v>
      </c>
      <c r="BF8" s="17">
        <f>SUM(BB8:BE8)</f>
        <v>12</v>
      </c>
      <c r="BG8" s="17">
        <v>0</v>
      </c>
      <c r="BH8" s="17">
        <v>12</v>
      </c>
      <c r="BI8" s="17">
        <v>0</v>
      </c>
      <c r="BJ8" s="17">
        <v>0</v>
      </c>
      <c r="BK8" s="17">
        <f>SUM(BG8:BJ8)</f>
        <v>12</v>
      </c>
      <c r="BL8" s="17">
        <v>0</v>
      </c>
      <c r="BM8" s="17">
        <v>12</v>
      </c>
      <c r="BN8" s="17">
        <v>0</v>
      </c>
      <c r="BO8" s="17">
        <v>0</v>
      </c>
      <c r="BP8" s="17">
        <f>SUM(BL8:BO8)</f>
        <v>12</v>
      </c>
      <c r="BQ8" s="17">
        <f t="shared" ref="BQ8:BT35" si="3">BL8+BG8+BB8+AW8+AR8+AM8+AH8+AC8+X8+S8+N8+I8</f>
        <v>0</v>
      </c>
      <c r="BR8" s="17">
        <f t="shared" si="3"/>
        <v>140</v>
      </c>
      <c r="BS8" s="17">
        <f t="shared" si="3"/>
        <v>0</v>
      </c>
      <c r="BT8" s="17">
        <f t="shared" si="3"/>
        <v>0</v>
      </c>
      <c r="BU8" s="17">
        <f>BQ8+BR8+BT8+BS8</f>
        <v>140</v>
      </c>
    </row>
    <row r="9" spans="1:73" hidden="1" outlineLevel="1">
      <c r="A9" s="16" t="s">
        <v>33</v>
      </c>
      <c r="B9" s="17" t="s">
        <v>34</v>
      </c>
      <c r="C9" s="17" t="s">
        <v>35</v>
      </c>
      <c r="D9" s="17">
        <v>0</v>
      </c>
      <c r="E9" s="19" t="s">
        <v>40</v>
      </c>
      <c r="F9" s="18" t="s">
        <v>41</v>
      </c>
      <c r="G9" s="17" t="s">
        <v>42</v>
      </c>
      <c r="H9" s="18" t="s">
        <v>39</v>
      </c>
      <c r="I9" s="20">
        <f>19.9+4</f>
        <v>23.9</v>
      </c>
      <c r="J9" s="17">
        <v>16</v>
      </c>
      <c r="K9" s="17">
        <v>0</v>
      </c>
      <c r="L9" s="17">
        <v>0</v>
      </c>
      <c r="M9" s="17">
        <f t="shared" ref="M9:M35" si="4">SUM(I9:L9)</f>
        <v>39.9</v>
      </c>
      <c r="N9" s="20">
        <f>5.9+2</f>
        <v>7.9</v>
      </c>
      <c r="O9" s="17">
        <v>32.5</v>
      </c>
      <c r="P9" s="17">
        <v>0</v>
      </c>
      <c r="Q9" s="17">
        <v>0</v>
      </c>
      <c r="R9" s="17">
        <f t="shared" ref="R9:R35" si="5">SUM(N9:Q9)</f>
        <v>40.4</v>
      </c>
      <c r="S9" s="17">
        <v>9.5</v>
      </c>
      <c r="T9" s="17">
        <v>30.3</v>
      </c>
      <c r="U9" s="17">
        <v>0</v>
      </c>
      <c r="V9" s="17">
        <v>0</v>
      </c>
      <c r="W9" s="17">
        <f t="shared" ref="W9:W35" si="6">SUM(S9:V9)</f>
        <v>39.799999999999997</v>
      </c>
      <c r="X9" s="17">
        <v>16</v>
      </c>
      <c r="Y9" s="17">
        <v>30.459</v>
      </c>
      <c r="Z9" s="17">
        <v>0</v>
      </c>
      <c r="AA9" s="17">
        <v>0</v>
      </c>
      <c r="AB9" s="17">
        <f t="shared" ref="AB9:AB35" si="7">SUM(X9:AA9)</f>
        <v>46.459000000000003</v>
      </c>
      <c r="AC9" s="17">
        <v>8</v>
      </c>
      <c r="AD9" s="17">
        <v>42</v>
      </c>
      <c r="AE9" s="17">
        <v>0</v>
      </c>
      <c r="AF9" s="17">
        <v>0</v>
      </c>
      <c r="AG9" s="17">
        <f t="shared" ref="AG9:AG35" si="8">SUM(AC9:AF9)</f>
        <v>50</v>
      </c>
      <c r="AH9" s="17">
        <v>21.4</v>
      </c>
      <c r="AI9" s="17">
        <v>28.6</v>
      </c>
      <c r="AJ9" s="17">
        <v>0</v>
      </c>
      <c r="AK9" s="17">
        <v>0</v>
      </c>
      <c r="AL9" s="17">
        <f t="shared" ref="AL9:AL35" si="9">SUM(AH9:AK9)</f>
        <v>50</v>
      </c>
      <c r="AM9" s="17">
        <v>4.2</v>
      </c>
      <c r="AN9" s="17">
        <v>44</v>
      </c>
      <c r="AO9" s="17">
        <v>0</v>
      </c>
      <c r="AP9" s="17">
        <v>0</v>
      </c>
      <c r="AQ9" s="17">
        <f t="shared" ref="AQ9:AQ35" si="10">SUM(AM9:AP9)</f>
        <v>48.2</v>
      </c>
      <c r="AR9" s="17">
        <v>15.2</v>
      </c>
      <c r="AS9" s="17">
        <v>35.299999999999997</v>
      </c>
      <c r="AT9" s="17">
        <v>0</v>
      </c>
      <c r="AU9" s="17">
        <v>0</v>
      </c>
      <c r="AV9" s="17">
        <f t="shared" ref="AV9:AV35" si="11">SUM(AR9:AU9)</f>
        <v>50.5</v>
      </c>
      <c r="AW9" s="17">
        <v>13.737103325585428</v>
      </c>
      <c r="AX9" s="17">
        <v>34.903353146051636</v>
      </c>
      <c r="AY9" s="17">
        <v>0</v>
      </c>
      <c r="AZ9" s="17">
        <v>0</v>
      </c>
      <c r="BA9" s="17">
        <f t="shared" ref="BA9:BA35" si="12">SUM(AW9:AZ9)</f>
        <v>48.640456471637066</v>
      </c>
      <c r="BB9" s="17">
        <v>15</v>
      </c>
      <c r="BC9" s="17">
        <v>32.700000000000003</v>
      </c>
      <c r="BD9" s="17">
        <v>0</v>
      </c>
      <c r="BE9" s="17">
        <v>0</v>
      </c>
      <c r="BF9" s="17">
        <f t="shared" ref="BF9:BF35" si="13">SUM(BB9:BE9)</f>
        <v>47.7</v>
      </c>
      <c r="BG9" s="17">
        <v>11.42853436773634</v>
      </c>
      <c r="BH9" s="17">
        <v>32.556840613983198</v>
      </c>
      <c r="BI9" s="17">
        <v>0</v>
      </c>
      <c r="BJ9" s="17">
        <v>0</v>
      </c>
      <c r="BK9" s="17">
        <f t="shared" ref="BK9:BK35" si="14">SUM(BG9:BJ9)</f>
        <v>43.985374981719538</v>
      </c>
      <c r="BL9" s="17">
        <v>11.42853436773634</v>
      </c>
      <c r="BM9" s="17">
        <v>32.556840613983198</v>
      </c>
      <c r="BN9" s="17">
        <v>0</v>
      </c>
      <c r="BO9" s="17">
        <v>0</v>
      </c>
      <c r="BP9" s="17">
        <f t="shared" ref="BP9:BP35" si="15">SUM(BL9:BO9)</f>
        <v>43.985374981719538</v>
      </c>
      <c r="BQ9" s="17">
        <f t="shared" si="3"/>
        <v>157.69417206105811</v>
      </c>
      <c r="BR9" s="17">
        <f t="shared" si="3"/>
        <v>391.87603437401799</v>
      </c>
      <c r="BS9" s="17">
        <f t="shared" si="3"/>
        <v>0</v>
      </c>
      <c r="BT9" s="17">
        <f t="shared" si="3"/>
        <v>0</v>
      </c>
      <c r="BU9" s="17">
        <f t="shared" ref="BU9:BU73" si="16">BQ9+BR9+BT9+BS9</f>
        <v>549.5702064350761</v>
      </c>
    </row>
    <row r="10" spans="1:73" ht="15.6" hidden="1" outlineLevel="1">
      <c r="A10" s="16" t="s">
        <v>33</v>
      </c>
      <c r="B10" s="17" t="s">
        <v>34</v>
      </c>
      <c r="C10" s="17" t="s">
        <v>35</v>
      </c>
      <c r="D10" s="17">
        <v>0</v>
      </c>
      <c r="E10" s="19" t="s">
        <v>40</v>
      </c>
      <c r="F10" s="19" t="s">
        <v>43</v>
      </c>
      <c r="G10" s="21" t="s">
        <v>44</v>
      </c>
      <c r="H10" s="18" t="s">
        <v>45</v>
      </c>
      <c r="I10" s="17">
        <v>67.3</v>
      </c>
      <c r="J10" s="17">
        <v>82.7</v>
      </c>
      <c r="K10" s="17">
        <v>0</v>
      </c>
      <c r="L10" s="17">
        <v>0</v>
      </c>
      <c r="M10" s="17">
        <f t="shared" si="4"/>
        <v>150</v>
      </c>
      <c r="N10" s="17">
        <v>64.8</v>
      </c>
      <c r="O10" s="17">
        <v>85.2</v>
      </c>
      <c r="P10" s="17">
        <v>0</v>
      </c>
      <c r="Q10" s="17">
        <v>0</v>
      </c>
      <c r="R10" s="17">
        <f t="shared" si="5"/>
        <v>150</v>
      </c>
      <c r="S10" s="17">
        <v>64.8</v>
      </c>
      <c r="T10" s="17">
        <v>85.2</v>
      </c>
      <c r="U10" s="17">
        <v>0</v>
      </c>
      <c r="V10" s="17">
        <v>0</v>
      </c>
      <c r="W10" s="17">
        <f t="shared" si="6"/>
        <v>150</v>
      </c>
      <c r="X10" s="17">
        <v>64.8</v>
      </c>
      <c r="Y10" s="17">
        <v>85.2</v>
      </c>
      <c r="Z10" s="17">
        <v>0</v>
      </c>
      <c r="AA10" s="17">
        <v>0</v>
      </c>
      <c r="AB10" s="17">
        <f t="shared" si="7"/>
        <v>150</v>
      </c>
      <c r="AC10" s="17">
        <v>64.8</v>
      </c>
      <c r="AD10" s="17">
        <v>85.2</v>
      </c>
      <c r="AE10" s="17">
        <v>0</v>
      </c>
      <c r="AF10" s="17">
        <v>0</v>
      </c>
      <c r="AG10" s="17">
        <f t="shared" si="8"/>
        <v>150</v>
      </c>
      <c r="AH10" s="17">
        <v>64.8</v>
      </c>
      <c r="AI10" s="17">
        <v>85.2</v>
      </c>
      <c r="AJ10" s="17">
        <v>0</v>
      </c>
      <c r="AK10" s="17">
        <v>0</v>
      </c>
      <c r="AL10" s="17">
        <f t="shared" si="9"/>
        <v>150</v>
      </c>
      <c r="AM10" s="17">
        <v>64.8</v>
      </c>
      <c r="AN10" s="17">
        <v>85.2</v>
      </c>
      <c r="AO10" s="17">
        <v>0</v>
      </c>
      <c r="AP10" s="17">
        <v>0</v>
      </c>
      <c r="AQ10" s="17">
        <f t="shared" si="10"/>
        <v>150</v>
      </c>
      <c r="AR10" s="17">
        <v>64.8</v>
      </c>
      <c r="AS10" s="17">
        <v>85.2</v>
      </c>
      <c r="AT10" s="17">
        <v>0</v>
      </c>
      <c r="AU10" s="17">
        <v>0</v>
      </c>
      <c r="AV10" s="17">
        <f t="shared" si="11"/>
        <v>150</v>
      </c>
      <c r="AW10" s="17">
        <v>64.8</v>
      </c>
      <c r="AX10" s="17">
        <v>85.2</v>
      </c>
      <c r="AY10" s="17">
        <v>0</v>
      </c>
      <c r="AZ10" s="17">
        <v>0</v>
      </c>
      <c r="BA10" s="17">
        <f t="shared" si="12"/>
        <v>150</v>
      </c>
      <c r="BB10" s="17">
        <v>64.8</v>
      </c>
      <c r="BC10" s="17">
        <v>85.2</v>
      </c>
      <c r="BD10" s="17">
        <v>0</v>
      </c>
      <c r="BE10" s="17">
        <v>0</v>
      </c>
      <c r="BF10" s="17">
        <f t="shared" si="13"/>
        <v>150</v>
      </c>
      <c r="BG10" s="17">
        <v>64.8</v>
      </c>
      <c r="BH10" s="17">
        <v>85.2</v>
      </c>
      <c r="BI10" s="17">
        <v>0</v>
      </c>
      <c r="BJ10" s="17">
        <v>0</v>
      </c>
      <c r="BK10" s="17">
        <f t="shared" si="14"/>
        <v>150</v>
      </c>
      <c r="BL10" s="17">
        <v>66.3</v>
      </c>
      <c r="BM10" s="17">
        <v>83.7</v>
      </c>
      <c r="BN10" s="17">
        <v>0</v>
      </c>
      <c r="BO10" s="17">
        <v>0</v>
      </c>
      <c r="BP10" s="17">
        <f t="shared" si="15"/>
        <v>150</v>
      </c>
      <c r="BQ10" s="17">
        <f t="shared" si="3"/>
        <v>781.5999999999998</v>
      </c>
      <c r="BR10" s="17">
        <f t="shared" si="3"/>
        <v>1018.4000000000002</v>
      </c>
      <c r="BS10" s="17">
        <f t="shared" si="3"/>
        <v>0</v>
      </c>
      <c r="BT10" s="17">
        <f t="shared" si="3"/>
        <v>0</v>
      </c>
      <c r="BU10" s="17">
        <f t="shared" si="16"/>
        <v>1800</v>
      </c>
    </row>
    <row r="11" spans="1:73" hidden="1" outlineLevel="1">
      <c r="A11" s="16" t="s">
        <v>33</v>
      </c>
      <c r="B11" s="17" t="s">
        <v>34</v>
      </c>
      <c r="C11" s="17" t="s">
        <v>35</v>
      </c>
      <c r="D11" s="17">
        <v>0</v>
      </c>
      <c r="E11" s="19" t="s">
        <v>40</v>
      </c>
      <c r="F11" s="18" t="s">
        <v>46</v>
      </c>
      <c r="G11" s="17" t="s">
        <v>47</v>
      </c>
      <c r="H11" s="18" t="s">
        <v>39</v>
      </c>
      <c r="I11" s="20">
        <v>3</v>
      </c>
      <c r="J11" s="17">
        <v>0</v>
      </c>
      <c r="K11" s="17">
        <v>0</v>
      </c>
      <c r="L11" s="17">
        <v>0</v>
      </c>
      <c r="M11" s="17">
        <f t="shared" si="4"/>
        <v>3</v>
      </c>
      <c r="N11" s="20">
        <f>12-2</f>
        <v>10</v>
      </c>
      <c r="O11" s="17">
        <v>0</v>
      </c>
      <c r="P11" s="17">
        <v>0</v>
      </c>
      <c r="Q11" s="17">
        <v>0</v>
      </c>
      <c r="R11" s="17">
        <f t="shared" si="5"/>
        <v>10</v>
      </c>
      <c r="S11" s="17">
        <v>10</v>
      </c>
      <c r="T11" s="17">
        <v>0</v>
      </c>
      <c r="U11" s="17">
        <v>0</v>
      </c>
      <c r="V11" s="17">
        <v>0</v>
      </c>
      <c r="W11" s="17">
        <f t="shared" si="6"/>
        <v>10</v>
      </c>
      <c r="X11" s="17">
        <v>18</v>
      </c>
      <c r="Y11" s="17">
        <v>0</v>
      </c>
      <c r="Z11" s="17">
        <v>0</v>
      </c>
      <c r="AA11" s="17">
        <v>0</v>
      </c>
      <c r="AB11" s="17">
        <f t="shared" si="7"/>
        <v>18</v>
      </c>
      <c r="AC11" s="17">
        <v>10.228871963670382</v>
      </c>
      <c r="AD11" s="17">
        <v>0</v>
      </c>
      <c r="AE11" s="17">
        <v>0</v>
      </c>
      <c r="AF11" s="17">
        <v>0</v>
      </c>
      <c r="AG11" s="17">
        <f t="shared" si="8"/>
        <v>10.228871963670382</v>
      </c>
      <c r="AH11" s="17">
        <v>21</v>
      </c>
      <c r="AI11" s="17">
        <v>0</v>
      </c>
      <c r="AJ11" s="17">
        <v>0</v>
      </c>
      <c r="AK11" s="17">
        <v>0</v>
      </c>
      <c r="AL11" s="17">
        <f t="shared" si="9"/>
        <v>21</v>
      </c>
      <c r="AM11" s="17">
        <v>14</v>
      </c>
      <c r="AN11" s="17">
        <v>0</v>
      </c>
      <c r="AO11" s="17">
        <v>0</v>
      </c>
      <c r="AP11" s="17">
        <v>0</v>
      </c>
      <c r="AQ11" s="17">
        <f t="shared" si="10"/>
        <v>14</v>
      </c>
      <c r="AR11" s="17">
        <v>10.228871963670382</v>
      </c>
      <c r="AS11" s="17">
        <v>0</v>
      </c>
      <c r="AT11" s="17">
        <v>0</v>
      </c>
      <c r="AU11" s="17">
        <v>0</v>
      </c>
      <c r="AV11" s="17">
        <f t="shared" si="11"/>
        <v>10.228871963670382</v>
      </c>
      <c r="AW11" s="17">
        <v>11</v>
      </c>
      <c r="AX11" s="17">
        <v>0</v>
      </c>
      <c r="AY11" s="17">
        <v>0</v>
      </c>
      <c r="AZ11" s="17">
        <v>0</v>
      </c>
      <c r="BA11" s="17">
        <f t="shared" si="12"/>
        <v>11</v>
      </c>
      <c r="BB11" s="17">
        <v>11</v>
      </c>
      <c r="BC11" s="17">
        <v>0</v>
      </c>
      <c r="BD11" s="17">
        <v>0</v>
      </c>
      <c r="BE11" s="17">
        <v>0</v>
      </c>
      <c r="BF11" s="17">
        <f t="shared" si="13"/>
        <v>11</v>
      </c>
      <c r="BG11" s="17">
        <v>11</v>
      </c>
      <c r="BH11" s="17">
        <v>0</v>
      </c>
      <c r="BI11" s="17">
        <v>0</v>
      </c>
      <c r="BJ11" s="17">
        <v>0</v>
      </c>
      <c r="BK11" s="17">
        <f t="shared" si="14"/>
        <v>11</v>
      </c>
      <c r="BL11" s="17">
        <v>11</v>
      </c>
      <c r="BM11" s="17">
        <v>0</v>
      </c>
      <c r="BN11" s="17">
        <v>0</v>
      </c>
      <c r="BO11" s="17">
        <v>0</v>
      </c>
      <c r="BP11" s="17">
        <f t="shared" si="15"/>
        <v>11</v>
      </c>
      <c r="BQ11" s="17">
        <f t="shared" si="3"/>
        <v>140.45774392734077</v>
      </c>
      <c r="BR11" s="17">
        <f t="shared" si="3"/>
        <v>0</v>
      </c>
      <c r="BS11" s="17">
        <f t="shared" si="3"/>
        <v>0</v>
      </c>
      <c r="BT11" s="17">
        <f t="shared" si="3"/>
        <v>0</v>
      </c>
      <c r="BU11" s="17">
        <f t="shared" si="16"/>
        <v>140.45774392734077</v>
      </c>
    </row>
    <row r="12" spans="1:73" hidden="1" outlineLevel="1">
      <c r="A12" s="16" t="s">
        <v>33</v>
      </c>
      <c r="B12" s="17" t="s">
        <v>34</v>
      </c>
      <c r="C12" s="17" t="s">
        <v>35</v>
      </c>
      <c r="D12" s="17">
        <v>0</v>
      </c>
      <c r="E12" s="19" t="s">
        <v>40</v>
      </c>
      <c r="F12" s="18" t="s">
        <v>48</v>
      </c>
      <c r="G12" s="17" t="s">
        <v>49</v>
      </c>
      <c r="H12" s="18" t="s">
        <v>39</v>
      </c>
      <c r="I12" s="17">
        <v>30.240014784094051</v>
      </c>
      <c r="J12" s="17">
        <v>10.501330530264637</v>
      </c>
      <c r="K12" s="17">
        <v>0</v>
      </c>
      <c r="L12" s="17">
        <v>0</v>
      </c>
      <c r="M12" s="17">
        <f t="shared" si="4"/>
        <v>40.741345314358689</v>
      </c>
      <c r="N12" s="17">
        <v>50</v>
      </c>
      <c r="O12" s="17">
        <v>0</v>
      </c>
      <c r="P12" s="17">
        <v>0</v>
      </c>
      <c r="Q12" s="17">
        <v>0</v>
      </c>
      <c r="R12" s="17">
        <f t="shared" si="5"/>
        <v>50</v>
      </c>
      <c r="S12" s="17">
        <v>40</v>
      </c>
      <c r="T12" s="17">
        <v>0</v>
      </c>
      <c r="U12" s="17">
        <v>0</v>
      </c>
      <c r="V12" s="17">
        <v>0</v>
      </c>
      <c r="W12" s="17">
        <f t="shared" si="6"/>
        <v>40</v>
      </c>
      <c r="X12" s="17">
        <v>29.5</v>
      </c>
      <c r="Y12" s="17">
        <v>10.501330530264637</v>
      </c>
      <c r="Z12" s="17">
        <v>0</v>
      </c>
      <c r="AA12" s="17">
        <v>0</v>
      </c>
      <c r="AB12" s="17">
        <f t="shared" si="7"/>
        <v>40.001330530264639</v>
      </c>
      <c r="AC12" s="17">
        <v>49.184580465049805</v>
      </c>
      <c r="AD12" s="17">
        <v>0.5</v>
      </c>
      <c r="AE12" s="17">
        <v>0</v>
      </c>
      <c r="AF12" s="17">
        <v>0</v>
      </c>
      <c r="AG12" s="17">
        <f t="shared" si="8"/>
        <v>49.684580465049805</v>
      </c>
      <c r="AH12" s="17">
        <v>53.5</v>
      </c>
      <c r="AI12" s="17">
        <v>0</v>
      </c>
      <c r="AJ12" s="17">
        <v>0</v>
      </c>
      <c r="AK12" s="17">
        <v>0</v>
      </c>
      <c r="AL12" s="17">
        <f t="shared" si="9"/>
        <v>53.5</v>
      </c>
      <c r="AM12" s="17">
        <v>43.495785979333156</v>
      </c>
      <c r="AN12" s="17">
        <v>10.501330530264637</v>
      </c>
      <c r="AO12" s="17">
        <v>0</v>
      </c>
      <c r="AP12" s="17">
        <v>0</v>
      </c>
      <c r="AQ12" s="17">
        <f t="shared" si="10"/>
        <v>53.997116509597795</v>
      </c>
      <c r="AR12" s="17">
        <v>47</v>
      </c>
      <c r="AS12" s="17">
        <v>2</v>
      </c>
      <c r="AT12" s="17">
        <v>0</v>
      </c>
      <c r="AU12" s="17">
        <v>0</v>
      </c>
      <c r="AV12" s="17">
        <f t="shared" si="11"/>
        <v>49</v>
      </c>
      <c r="AW12" s="17">
        <v>47</v>
      </c>
      <c r="AX12" s="17">
        <v>2</v>
      </c>
      <c r="AY12" s="17">
        <v>0</v>
      </c>
      <c r="AZ12" s="17">
        <v>0</v>
      </c>
      <c r="BA12" s="17">
        <f t="shared" si="12"/>
        <v>49</v>
      </c>
      <c r="BB12" s="17">
        <v>42.4</v>
      </c>
      <c r="BC12" s="17">
        <v>0.50133053026463736</v>
      </c>
      <c r="BD12" s="17">
        <v>0</v>
      </c>
      <c r="BE12" s="17">
        <v>0</v>
      </c>
      <c r="BF12" s="17">
        <f t="shared" si="13"/>
        <v>42.901330530264637</v>
      </c>
      <c r="BG12" s="17">
        <v>42.4</v>
      </c>
      <c r="BH12" s="17">
        <v>0.50133053026463736</v>
      </c>
      <c r="BI12" s="17">
        <v>0</v>
      </c>
      <c r="BJ12" s="17">
        <v>0</v>
      </c>
      <c r="BK12" s="17">
        <f t="shared" si="14"/>
        <v>42.901330530264637</v>
      </c>
      <c r="BL12" s="17">
        <v>42.4</v>
      </c>
      <c r="BM12" s="17">
        <v>0.50133053026463736</v>
      </c>
      <c r="BN12" s="17">
        <v>0</v>
      </c>
      <c r="BO12" s="17">
        <v>0</v>
      </c>
      <c r="BP12" s="17">
        <f t="shared" si="15"/>
        <v>42.901330530264637</v>
      </c>
      <c r="BQ12" s="17">
        <f t="shared" si="3"/>
        <v>517.12038122847696</v>
      </c>
      <c r="BR12" s="17">
        <f t="shared" si="3"/>
        <v>37.507983181587825</v>
      </c>
      <c r="BS12" s="17">
        <f t="shared" si="3"/>
        <v>0</v>
      </c>
      <c r="BT12" s="17">
        <f t="shared" si="3"/>
        <v>0</v>
      </c>
      <c r="BU12" s="17">
        <f t="shared" si="16"/>
        <v>554.62836441006482</v>
      </c>
    </row>
    <row r="13" spans="1:73" hidden="1" outlineLevel="1">
      <c r="A13" s="16" t="s">
        <v>33</v>
      </c>
      <c r="B13" s="17" t="s">
        <v>34</v>
      </c>
      <c r="C13" s="17" t="s">
        <v>35</v>
      </c>
      <c r="D13" s="17">
        <v>0</v>
      </c>
      <c r="E13" s="19" t="s">
        <v>40</v>
      </c>
      <c r="F13" s="22" t="s">
        <v>50</v>
      </c>
      <c r="G13" s="22" t="s">
        <v>51</v>
      </c>
      <c r="H13" s="18" t="s">
        <v>45</v>
      </c>
      <c r="I13" s="17">
        <v>119</v>
      </c>
      <c r="J13" s="17">
        <v>106</v>
      </c>
      <c r="K13" s="17">
        <v>0</v>
      </c>
      <c r="L13" s="17">
        <v>0</v>
      </c>
      <c r="M13" s="17">
        <f t="shared" si="4"/>
        <v>225</v>
      </c>
      <c r="N13" s="17">
        <v>119</v>
      </c>
      <c r="O13" s="17">
        <v>106</v>
      </c>
      <c r="P13" s="17">
        <v>0</v>
      </c>
      <c r="Q13" s="17">
        <v>0</v>
      </c>
      <c r="R13" s="17">
        <f t="shared" si="5"/>
        <v>225</v>
      </c>
      <c r="S13" s="17">
        <v>119</v>
      </c>
      <c r="T13" s="17">
        <v>106</v>
      </c>
      <c r="U13" s="17">
        <v>0</v>
      </c>
      <c r="V13" s="17">
        <v>0</v>
      </c>
      <c r="W13" s="17">
        <f t="shared" si="6"/>
        <v>225</v>
      </c>
      <c r="X13" s="17">
        <v>119</v>
      </c>
      <c r="Y13" s="17">
        <v>106</v>
      </c>
      <c r="Z13" s="17">
        <v>0</v>
      </c>
      <c r="AA13" s="17">
        <v>0</v>
      </c>
      <c r="AB13" s="17">
        <f t="shared" si="7"/>
        <v>225</v>
      </c>
      <c r="AC13" s="17">
        <v>119</v>
      </c>
      <c r="AD13" s="17">
        <v>106</v>
      </c>
      <c r="AE13" s="17">
        <v>0</v>
      </c>
      <c r="AF13" s="17">
        <v>0</v>
      </c>
      <c r="AG13" s="17">
        <f t="shared" si="8"/>
        <v>225</v>
      </c>
      <c r="AH13" s="17">
        <v>119</v>
      </c>
      <c r="AI13" s="17">
        <v>106</v>
      </c>
      <c r="AJ13" s="17">
        <v>0</v>
      </c>
      <c r="AK13" s="17">
        <v>0</v>
      </c>
      <c r="AL13" s="17">
        <f t="shared" si="9"/>
        <v>225</v>
      </c>
      <c r="AM13" s="17">
        <v>119</v>
      </c>
      <c r="AN13" s="17">
        <v>106</v>
      </c>
      <c r="AO13" s="17">
        <v>0</v>
      </c>
      <c r="AP13" s="17">
        <v>0</v>
      </c>
      <c r="AQ13" s="17">
        <f t="shared" si="10"/>
        <v>225</v>
      </c>
      <c r="AR13" s="17">
        <v>119</v>
      </c>
      <c r="AS13" s="17">
        <v>106</v>
      </c>
      <c r="AT13" s="17">
        <v>0</v>
      </c>
      <c r="AU13" s="17">
        <v>0</v>
      </c>
      <c r="AV13" s="17">
        <f t="shared" si="11"/>
        <v>225</v>
      </c>
      <c r="AW13" s="17">
        <v>119</v>
      </c>
      <c r="AX13" s="17">
        <v>106</v>
      </c>
      <c r="AY13" s="17">
        <v>0</v>
      </c>
      <c r="AZ13" s="17">
        <v>0</v>
      </c>
      <c r="BA13" s="17">
        <f t="shared" si="12"/>
        <v>225</v>
      </c>
      <c r="BB13" s="17">
        <v>119</v>
      </c>
      <c r="BC13" s="17">
        <v>106</v>
      </c>
      <c r="BD13" s="17">
        <v>0</v>
      </c>
      <c r="BE13" s="17">
        <v>0</v>
      </c>
      <c r="BF13" s="17">
        <f t="shared" si="13"/>
        <v>225</v>
      </c>
      <c r="BG13" s="17">
        <v>119</v>
      </c>
      <c r="BH13" s="17">
        <v>106</v>
      </c>
      <c r="BI13" s="17">
        <v>0</v>
      </c>
      <c r="BJ13" s="17">
        <v>0</v>
      </c>
      <c r="BK13" s="17">
        <f t="shared" si="14"/>
        <v>225</v>
      </c>
      <c r="BL13" s="17">
        <v>119</v>
      </c>
      <c r="BM13" s="17">
        <v>106</v>
      </c>
      <c r="BN13" s="17">
        <v>0</v>
      </c>
      <c r="BO13" s="17">
        <v>0</v>
      </c>
      <c r="BP13" s="17">
        <f t="shared" si="15"/>
        <v>225</v>
      </c>
      <c r="BQ13" s="17">
        <f t="shared" si="3"/>
        <v>1428</v>
      </c>
      <c r="BR13" s="17">
        <f t="shared" si="3"/>
        <v>1272</v>
      </c>
      <c r="BS13" s="17">
        <f t="shared" si="3"/>
        <v>0</v>
      </c>
      <c r="BT13" s="17">
        <f t="shared" si="3"/>
        <v>0</v>
      </c>
      <c r="BU13" s="17">
        <f t="shared" si="16"/>
        <v>2700</v>
      </c>
    </row>
    <row r="14" spans="1:73" hidden="1" outlineLevel="1">
      <c r="A14" s="16" t="s">
        <v>33</v>
      </c>
      <c r="B14" s="17" t="s">
        <v>34</v>
      </c>
      <c r="C14" s="17" t="s">
        <v>52</v>
      </c>
      <c r="D14" s="17">
        <v>0</v>
      </c>
      <c r="E14" s="17" t="s">
        <v>36</v>
      </c>
      <c r="F14" s="18" t="s">
        <v>53</v>
      </c>
      <c r="G14" s="17" t="s">
        <v>54</v>
      </c>
      <c r="H14" s="18" t="s">
        <v>39</v>
      </c>
      <c r="I14" s="17">
        <v>35</v>
      </c>
      <c r="J14" s="17">
        <v>15</v>
      </c>
      <c r="K14" s="17">
        <v>0</v>
      </c>
      <c r="L14" s="17">
        <v>0</v>
      </c>
      <c r="M14" s="17">
        <f t="shared" si="4"/>
        <v>50</v>
      </c>
      <c r="N14" s="17">
        <v>35</v>
      </c>
      <c r="O14" s="17">
        <v>15</v>
      </c>
      <c r="P14" s="17">
        <v>0</v>
      </c>
      <c r="Q14" s="17">
        <v>0</v>
      </c>
      <c r="R14" s="17">
        <f t="shared" si="5"/>
        <v>50</v>
      </c>
      <c r="S14" s="17">
        <v>35</v>
      </c>
      <c r="T14" s="17">
        <v>15</v>
      </c>
      <c r="U14" s="17">
        <v>0</v>
      </c>
      <c r="V14" s="17">
        <v>0</v>
      </c>
      <c r="W14" s="17">
        <f t="shared" si="6"/>
        <v>50</v>
      </c>
      <c r="X14" s="17">
        <v>35</v>
      </c>
      <c r="Y14" s="17">
        <v>15</v>
      </c>
      <c r="Z14" s="17">
        <v>0</v>
      </c>
      <c r="AA14" s="17">
        <v>0</v>
      </c>
      <c r="AB14" s="17">
        <f t="shared" si="7"/>
        <v>50</v>
      </c>
      <c r="AC14" s="17">
        <v>35</v>
      </c>
      <c r="AD14" s="17">
        <v>15</v>
      </c>
      <c r="AE14" s="17">
        <v>0</v>
      </c>
      <c r="AF14" s="17">
        <v>0</v>
      </c>
      <c r="AG14" s="17">
        <f t="shared" si="8"/>
        <v>50</v>
      </c>
      <c r="AH14" s="17">
        <v>35</v>
      </c>
      <c r="AI14" s="17">
        <v>15</v>
      </c>
      <c r="AJ14" s="17">
        <v>0</v>
      </c>
      <c r="AK14" s="17">
        <v>0</v>
      </c>
      <c r="AL14" s="17">
        <f t="shared" si="9"/>
        <v>50</v>
      </c>
      <c r="AM14" s="17">
        <v>35</v>
      </c>
      <c r="AN14" s="17">
        <v>15</v>
      </c>
      <c r="AO14" s="17">
        <v>0</v>
      </c>
      <c r="AP14" s="17">
        <v>0</v>
      </c>
      <c r="AQ14" s="17">
        <f t="shared" si="10"/>
        <v>50</v>
      </c>
      <c r="AR14" s="17">
        <v>35</v>
      </c>
      <c r="AS14" s="17">
        <v>15</v>
      </c>
      <c r="AT14" s="17">
        <v>0</v>
      </c>
      <c r="AU14" s="17">
        <v>0</v>
      </c>
      <c r="AV14" s="17">
        <f t="shared" si="11"/>
        <v>50</v>
      </c>
      <c r="AW14" s="17">
        <v>35</v>
      </c>
      <c r="AX14" s="17">
        <v>15</v>
      </c>
      <c r="AY14" s="17">
        <v>0</v>
      </c>
      <c r="AZ14" s="17">
        <v>0</v>
      </c>
      <c r="BA14" s="17">
        <f t="shared" si="12"/>
        <v>50</v>
      </c>
      <c r="BB14" s="17">
        <v>35</v>
      </c>
      <c r="BC14" s="17">
        <v>15</v>
      </c>
      <c r="BD14" s="17">
        <v>0</v>
      </c>
      <c r="BE14" s="17">
        <v>0</v>
      </c>
      <c r="BF14" s="17">
        <f t="shared" si="13"/>
        <v>50</v>
      </c>
      <c r="BG14" s="17">
        <v>35</v>
      </c>
      <c r="BH14" s="17">
        <v>15</v>
      </c>
      <c r="BI14" s="17">
        <v>0</v>
      </c>
      <c r="BJ14" s="17">
        <v>0</v>
      </c>
      <c r="BK14" s="17">
        <f t="shared" si="14"/>
        <v>50</v>
      </c>
      <c r="BL14" s="17">
        <v>35</v>
      </c>
      <c r="BM14" s="17">
        <v>15</v>
      </c>
      <c r="BN14" s="17">
        <v>0</v>
      </c>
      <c r="BO14" s="17">
        <v>0</v>
      </c>
      <c r="BP14" s="17">
        <f t="shared" si="15"/>
        <v>50</v>
      </c>
      <c r="BQ14" s="17">
        <f t="shared" si="3"/>
        <v>420</v>
      </c>
      <c r="BR14" s="17">
        <f t="shared" si="3"/>
        <v>180</v>
      </c>
      <c r="BS14" s="17">
        <f t="shared" si="3"/>
        <v>0</v>
      </c>
      <c r="BT14" s="17">
        <f t="shared" si="3"/>
        <v>0</v>
      </c>
      <c r="BU14" s="17">
        <f t="shared" si="16"/>
        <v>600</v>
      </c>
    </row>
    <row r="15" spans="1:73" hidden="1" outlineLevel="1">
      <c r="A15" s="16" t="s">
        <v>33</v>
      </c>
      <c r="B15" s="17" t="s">
        <v>34</v>
      </c>
      <c r="C15" s="17" t="s">
        <v>55</v>
      </c>
      <c r="D15" s="17" t="s">
        <v>56</v>
      </c>
      <c r="E15" s="17" t="s">
        <v>57</v>
      </c>
      <c r="F15" s="18" t="s">
        <v>58</v>
      </c>
      <c r="G15" s="17" t="s">
        <v>59</v>
      </c>
      <c r="H15" s="18" t="s">
        <v>45</v>
      </c>
      <c r="I15" s="17">
        <v>121</v>
      </c>
      <c r="J15" s="17">
        <v>44.2</v>
      </c>
      <c r="K15" s="17">
        <v>0</v>
      </c>
      <c r="L15" s="17">
        <v>5</v>
      </c>
      <c r="M15" s="17">
        <f t="shared" si="4"/>
        <v>170.2</v>
      </c>
      <c r="N15" s="17">
        <v>99.990341327376527</v>
      </c>
      <c r="O15" s="17">
        <v>58.2</v>
      </c>
      <c r="P15" s="17">
        <v>0</v>
      </c>
      <c r="Q15" s="17">
        <v>4.6344603864302156</v>
      </c>
      <c r="R15" s="17">
        <f t="shared" si="5"/>
        <v>162.82480171380675</v>
      </c>
      <c r="S15" s="17">
        <v>142.063861885775</v>
      </c>
      <c r="T15" s="17">
        <v>39.263294904648454</v>
      </c>
      <c r="U15" s="17">
        <v>0</v>
      </c>
      <c r="V15" s="17">
        <v>0.65725538643021564</v>
      </c>
      <c r="W15" s="17">
        <f t="shared" si="6"/>
        <v>181.98441217685368</v>
      </c>
      <c r="X15" s="17">
        <v>142.2534578468902</v>
      </c>
      <c r="Y15" s="17">
        <v>46.7</v>
      </c>
      <c r="Z15" s="17">
        <v>0</v>
      </c>
      <c r="AA15" s="17">
        <v>0.69184777518970064</v>
      </c>
      <c r="AB15" s="17">
        <f t="shared" si="7"/>
        <v>189.64530562207992</v>
      </c>
      <c r="AC15" s="17">
        <v>136.5</v>
      </c>
      <c r="AD15" s="17">
        <v>53.903379257046595</v>
      </c>
      <c r="AE15" s="17">
        <v>0</v>
      </c>
      <c r="AF15" s="17">
        <v>0.69184777518970064</v>
      </c>
      <c r="AG15" s="17">
        <f t="shared" si="8"/>
        <v>191.09522703223629</v>
      </c>
      <c r="AH15" s="17">
        <v>170.41789600000001</v>
      </c>
      <c r="AI15" s="17">
        <v>42.211039999999997</v>
      </c>
      <c r="AJ15" s="17">
        <v>0</v>
      </c>
      <c r="AK15" s="17">
        <v>0.19636799999999999</v>
      </c>
      <c r="AL15" s="17">
        <f t="shared" si="9"/>
        <v>212.82530400000002</v>
      </c>
      <c r="AM15" s="17">
        <v>163.4</v>
      </c>
      <c r="AN15" s="17">
        <v>49.389830358923049</v>
      </c>
      <c r="AO15" s="17">
        <v>0</v>
      </c>
      <c r="AP15" s="17">
        <v>0.72644016394918565</v>
      </c>
      <c r="AQ15" s="17">
        <f t="shared" si="10"/>
        <v>213.51627052287222</v>
      </c>
      <c r="AR15" s="17">
        <v>172.77</v>
      </c>
      <c r="AS15" s="17">
        <v>36.700000000000003</v>
      </c>
      <c r="AT15" s="17">
        <v>0</v>
      </c>
      <c r="AU15" s="17">
        <v>0</v>
      </c>
      <c r="AV15" s="17">
        <f t="shared" si="11"/>
        <v>209.47000000000003</v>
      </c>
      <c r="AW15" s="17">
        <v>134.46</v>
      </c>
      <c r="AX15" s="17">
        <v>131.19999999999999</v>
      </c>
      <c r="AY15" s="17">
        <v>0</v>
      </c>
      <c r="AZ15" s="17">
        <v>0.8</v>
      </c>
      <c r="BA15" s="17">
        <f t="shared" si="12"/>
        <v>266.45999999999998</v>
      </c>
      <c r="BB15" s="17">
        <v>129.95399465519461</v>
      </c>
      <c r="BC15" s="17">
        <v>70.24378980930544</v>
      </c>
      <c r="BD15" s="17">
        <v>0</v>
      </c>
      <c r="BE15" s="17">
        <v>0.79562494146815566</v>
      </c>
      <c r="BF15" s="17">
        <f t="shared" si="13"/>
        <v>200.99340940596821</v>
      </c>
      <c r="BG15" s="17">
        <v>121.84777813571282</v>
      </c>
      <c r="BH15" s="17">
        <v>63.238378578821973</v>
      </c>
      <c r="BI15" s="17">
        <v>0</v>
      </c>
      <c r="BJ15" s="17">
        <v>0.72644016394918565</v>
      </c>
      <c r="BK15" s="17">
        <f t="shared" si="14"/>
        <v>185.81259687848396</v>
      </c>
      <c r="BL15" s="17">
        <v>121.47135826173029</v>
      </c>
      <c r="BM15" s="17">
        <v>61.2147794830327</v>
      </c>
      <c r="BN15" s="17">
        <v>0</v>
      </c>
      <c r="BO15" s="17">
        <v>0.72476574539919525</v>
      </c>
      <c r="BP15" s="17">
        <f t="shared" si="15"/>
        <v>183.41090349016218</v>
      </c>
      <c r="BQ15" s="17">
        <f t="shared" si="3"/>
        <v>1656.1286881126794</v>
      </c>
      <c r="BR15" s="17">
        <f t="shared" si="3"/>
        <v>696.46449239177832</v>
      </c>
      <c r="BS15" s="17">
        <f t="shared" si="3"/>
        <v>0</v>
      </c>
      <c r="BT15" s="17">
        <f t="shared" si="3"/>
        <v>15.645050338005555</v>
      </c>
      <c r="BU15" s="17">
        <f t="shared" si="16"/>
        <v>2368.2382308424631</v>
      </c>
    </row>
    <row r="16" spans="1:73" hidden="1" outlineLevel="1">
      <c r="A16" s="16" t="s">
        <v>33</v>
      </c>
      <c r="B16" s="17" t="s">
        <v>34</v>
      </c>
      <c r="C16" s="17" t="s">
        <v>55</v>
      </c>
      <c r="D16" s="17" t="s">
        <v>56</v>
      </c>
      <c r="E16" s="17" t="s">
        <v>57</v>
      </c>
      <c r="F16" s="18" t="s">
        <v>60</v>
      </c>
      <c r="G16" s="17" t="s">
        <v>61</v>
      </c>
      <c r="H16" s="18" t="s">
        <v>39</v>
      </c>
      <c r="I16" s="17">
        <v>7</v>
      </c>
      <c r="J16" s="17">
        <v>3</v>
      </c>
      <c r="K16" s="17">
        <v>0</v>
      </c>
      <c r="L16" s="17">
        <v>0</v>
      </c>
      <c r="M16" s="17">
        <f t="shared" si="4"/>
        <v>10</v>
      </c>
      <c r="N16" s="17">
        <v>11</v>
      </c>
      <c r="O16" s="17">
        <v>9</v>
      </c>
      <c r="P16" s="17">
        <v>0</v>
      </c>
      <c r="Q16" s="17">
        <v>0</v>
      </c>
      <c r="R16" s="17">
        <f t="shared" si="5"/>
        <v>20</v>
      </c>
      <c r="S16" s="17">
        <v>4</v>
      </c>
      <c r="T16" s="17">
        <v>6</v>
      </c>
      <c r="U16" s="17">
        <v>0</v>
      </c>
      <c r="V16" s="17">
        <v>0</v>
      </c>
      <c r="W16" s="17">
        <f t="shared" si="6"/>
        <v>10</v>
      </c>
      <c r="X16" s="17">
        <v>10</v>
      </c>
      <c r="Y16" s="17">
        <v>6</v>
      </c>
      <c r="Z16" s="17">
        <v>0</v>
      </c>
      <c r="AA16" s="17">
        <v>0</v>
      </c>
      <c r="AB16" s="17">
        <f t="shared" si="7"/>
        <v>16</v>
      </c>
      <c r="AC16" s="17">
        <v>7</v>
      </c>
      <c r="AD16" s="17">
        <v>7</v>
      </c>
      <c r="AE16" s="17">
        <v>0</v>
      </c>
      <c r="AF16" s="17">
        <v>0</v>
      </c>
      <c r="AG16" s="17">
        <f t="shared" si="8"/>
        <v>14</v>
      </c>
      <c r="AH16" s="17">
        <v>9</v>
      </c>
      <c r="AI16" s="17">
        <v>12</v>
      </c>
      <c r="AJ16" s="17">
        <v>0</v>
      </c>
      <c r="AK16" s="17">
        <v>0</v>
      </c>
      <c r="AL16" s="17">
        <f t="shared" si="9"/>
        <v>21</v>
      </c>
      <c r="AM16" s="17">
        <v>9.5</v>
      </c>
      <c r="AN16" s="17">
        <v>11.5</v>
      </c>
      <c r="AO16" s="17">
        <v>0</v>
      </c>
      <c r="AP16" s="17">
        <v>0</v>
      </c>
      <c r="AQ16" s="17">
        <f t="shared" si="10"/>
        <v>21</v>
      </c>
      <c r="AR16" s="17">
        <v>15</v>
      </c>
      <c r="AS16" s="17">
        <v>2</v>
      </c>
      <c r="AT16" s="17">
        <v>0</v>
      </c>
      <c r="AU16" s="17">
        <v>0</v>
      </c>
      <c r="AV16" s="17">
        <f t="shared" si="11"/>
        <v>17</v>
      </c>
      <c r="AW16" s="17">
        <v>15</v>
      </c>
      <c r="AX16" s="17">
        <v>7</v>
      </c>
      <c r="AY16" s="17">
        <v>0</v>
      </c>
      <c r="AZ16" s="17">
        <v>0</v>
      </c>
      <c r="BA16" s="17">
        <f t="shared" si="12"/>
        <v>22</v>
      </c>
      <c r="BB16" s="17">
        <v>15</v>
      </c>
      <c r="BC16" s="17">
        <v>7.5</v>
      </c>
      <c r="BD16" s="17">
        <v>0</v>
      </c>
      <c r="BE16" s="17">
        <v>0</v>
      </c>
      <c r="BF16" s="17">
        <f t="shared" si="13"/>
        <v>22.5</v>
      </c>
      <c r="BG16" s="17">
        <v>14</v>
      </c>
      <c r="BH16" s="17">
        <v>7</v>
      </c>
      <c r="BI16" s="17">
        <v>0</v>
      </c>
      <c r="BJ16" s="17">
        <v>0</v>
      </c>
      <c r="BK16" s="17">
        <f t="shared" si="14"/>
        <v>21</v>
      </c>
      <c r="BL16" s="17">
        <v>14</v>
      </c>
      <c r="BM16" s="17">
        <v>7</v>
      </c>
      <c r="BN16" s="17">
        <v>0</v>
      </c>
      <c r="BO16" s="17">
        <v>0</v>
      </c>
      <c r="BP16" s="17">
        <f t="shared" si="15"/>
        <v>21</v>
      </c>
      <c r="BQ16" s="17">
        <f t="shared" si="3"/>
        <v>130.5</v>
      </c>
      <c r="BR16" s="17">
        <f t="shared" si="3"/>
        <v>85</v>
      </c>
      <c r="BS16" s="17">
        <f t="shared" si="3"/>
        <v>0</v>
      </c>
      <c r="BT16" s="17">
        <f t="shared" si="3"/>
        <v>0</v>
      </c>
      <c r="BU16" s="17">
        <f t="shared" si="16"/>
        <v>215.5</v>
      </c>
    </row>
    <row r="17" spans="1:73" hidden="1" outlineLevel="1">
      <c r="A17" s="16" t="s">
        <v>33</v>
      </c>
      <c r="B17" s="17" t="s">
        <v>34</v>
      </c>
      <c r="C17" s="17" t="s">
        <v>55</v>
      </c>
      <c r="D17" s="17" t="s">
        <v>56</v>
      </c>
      <c r="E17" s="17" t="s">
        <v>57</v>
      </c>
      <c r="F17" s="18" t="s">
        <v>62</v>
      </c>
      <c r="G17" s="17" t="s">
        <v>63</v>
      </c>
      <c r="H17" s="18" t="s">
        <v>64</v>
      </c>
      <c r="I17" s="17">
        <v>152.51201290296018</v>
      </c>
      <c r="J17" s="17">
        <v>0</v>
      </c>
      <c r="K17" s="17">
        <v>0</v>
      </c>
      <c r="L17" s="17">
        <v>0</v>
      </c>
      <c r="M17" s="17">
        <f t="shared" si="4"/>
        <v>152.51201290296018</v>
      </c>
      <c r="N17" s="17">
        <v>162.15583630517821</v>
      </c>
      <c r="O17" s="17">
        <v>0</v>
      </c>
      <c r="P17" s="17">
        <v>0</v>
      </c>
      <c r="Q17" s="17">
        <v>0</v>
      </c>
      <c r="R17" s="17">
        <f t="shared" si="5"/>
        <v>162.15583630517821</v>
      </c>
      <c r="S17" s="17">
        <v>216.16888071355956</v>
      </c>
      <c r="T17" s="17">
        <v>0</v>
      </c>
      <c r="U17" s="17">
        <v>0</v>
      </c>
      <c r="V17" s="17">
        <v>0</v>
      </c>
      <c r="W17" s="17">
        <f t="shared" si="6"/>
        <v>216.16888071355956</v>
      </c>
      <c r="X17" s="17">
        <v>277.8895783861534</v>
      </c>
      <c r="Y17" s="17">
        <v>0</v>
      </c>
      <c r="Z17" s="17">
        <v>0</v>
      </c>
      <c r="AA17" s="17">
        <v>0</v>
      </c>
      <c r="AB17" s="17">
        <f t="shared" si="7"/>
        <v>277.8895783861534</v>
      </c>
      <c r="AC17" s="17">
        <v>253</v>
      </c>
      <c r="AD17" s="17">
        <v>0</v>
      </c>
      <c r="AE17" s="17">
        <v>0</v>
      </c>
      <c r="AF17" s="17">
        <v>0</v>
      </c>
      <c r="AG17" s="17">
        <f t="shared" si="8"/>
        <v>253</v>
      </c>
      <c r="AH17" s="17">
        <v>173.40620698410424</v>
      </c>
      <c r="AI17" s="17">
        <v>0</v>
      </c>
      <c r="AJ17" s="17">
        <v>0</v>
      </c>
      <c r="AK17" s="17">
        <v>0</v>
      </c>
      <c r="AL17" s="17">
        <f t="shared" si="9"/>
        <v>173.40620698410424</v>
      </c>
      <c r="AM17" s="17">
        <v>89.454539348471968</v>
      </c>
      <c r="AN17" s="17">
        <v>0</v>
      </c>
      <c r="AO17" s="17">
        <v>0</v>
      </c>
      <c r="AP17" s="17">
        <v>0</v>
      </c>
      <c r="AQ17" s="17">
        <f t="shared" si="10"/>
        <v>89.454539348471968</v>
      </c>
      <c r="AR17" s="17">
        <v>170</v>
      </c>
      <c r="AS17" s="17">
        <v>0</v>
      </c>
      <c r="AT17" s="17">
        <v>0</v>
      </c>
      <c r="AU17" s="17">
        <v>0</v>
      </c>
      <c r="AV17" s="17">
        <f t="shared" si="11"/>
        <v>170</v>
      </c>
      <c r="AW17" s="17">
        <v>172</v>
      </c>
      <c r="AX17" s="17">
        <v>0</v>
      </c>
      <c r="AY17" s="17">
        <v>0</v>
      </c>
      <c r="AZ17" s="17">
        <v>0</v>
      </c>
      <c r="BA17" s="17">
        <f t="shared" si="12"/>
        <v>172</v>
      </c>
      <c r="BB17" s="17">
        <v>160</v>
      </c>
      <c r="BC17" s="17">
        <v>0</v>
      </c>
      <c r="BD17" s="17">
        <v>0</v>
      </c>
      <c r="BE17" s="17">
        <v>0</v>
      </c>
      <c r="BF17" s="17">
        <f t="shared" si="13"/>
        <v>160</v>
      </c>
      <c r="BG17" s="17">
        <v>170</v>
      </c>
      <c r="BH17" s="17">
        <v>0</v>
      </c>
      <c r="BI17" s="17">
        <v>0</v>
      </c>
      <c r="BJ17" s="17">
        <v>0</v>
      </c>
      <c r="BK17" s="17">
        <f t="shared" si="14"/>
        <v>170</v>
      </c>
      <c r="BL17" s="17">
        <v>172</v>
      </c>
      <c r="BM17" s="17">
        <v>0</v>
      </c>
      <c r="BN17" s="17">
        <v>0</v>
      </c>
      <c r="BO17" s="17">
        <v>0</v>
      </c>
      <c r="BP17" s="17">
        <f t="shared" si="15"/>
        <v>172</v>
      </c>
      <c r="BQ17" s="17">
        <f t="shared" si="3"/>
        <v>2168.5870546404276</v>
      </c>
      <c r="BR17" s="17">
        <f t="shared" si="3"/>
        <v>0</v>
      </c>
      <c r="BS17" s="17">
        <f t="shared" si="3"/>
        <v>0</v>
      </c>
      <c r="BT17" s="17">
        <f t="shared" si="3"/>
        <v>0</v>
      </c>
      <c r="BU17" s="17">
        <f t="shared" si="16"/>
        <v>2168.5870546404276</v>
      </c>
    </row>
    <row r="18" spans="1:73" hidden="1" outlineLevel="1">
      <c r="A18" s="16" t="s">
        <v>33</v>
      </c>
      <c r="B18" s="17" t="s">
        <v>34</v>
      </c>
      <c r="C18" s="17" t="s">
        <v>55</v>
      </c>
      <c r="D18" s="17" t="s">
        <v>56</v>
      </c>
      <c r="E18" s="17" t="s">
        <v>57</v>
      </c>
      <c r="F18" s="18" t="s">
        <v>65</v>
      </c>
      <c r="G18" s="17" t="s">
        <v>66</v>
      </c>
      <c r="H18" s="18" t="s">
        <v>39</v>
      </c>
      <c r="I18" s="17">
        <v>184.34810606220773</v>
      </c>
      <c r="J18" s="17">
        <v>177</v>
      </c>
      <c r="K18" s="17">
        <v>0</v>
      </c>
      <c r="L18" s="17">
        <v>0</v>
      </c>
      <c r="M18" s="17">
        <f t="shared" si="4"/>
        <v>361.34810606220776</v>
      </c>
      <c r="N18" s="17">
        <v>238.35285835502631</v>
      </c>
      <c r="O18" s="17">
        <v>182</v>
      </c>
      <c r="P18" s="17">
        <v>0</v>
      </c>
      <c r="Q18" s="17">
        <v>0</v>
      </c>
      <c r="R18" s="17">
        <f t="shared" si="5"/>
        <v>420.35285835502634</v>
      </c>
      <c r="S18" s="17">
        <v>384.8017019522519</v>
      </c>
      <c r="T18" s="17">
        <v>206.8060808028674</v>
      </c>
      <c r="U18" s="17">
        <v>0</v>
      </c>
      <c r="V18" s="17">
        <v>0</v>
      </c>
      <c r="W18" s="17">
        <f t="shared" si="6"/>
        <v>591.60778275511927</v>
      </c>
      <c r="X18" s="17">
        <v>233.97393934514821</v>
      </c>
      <c r="Y18" s="17">
        <v>276.2549341634014</v>
      </c>
      <c r="Z18" s="17">
        <v>0</v>
      </c>
      <c r="AA18" s="17">
        <v>0</v>
      </c>
      <c r="AB18" s="17">
        <f t="shared" si="7"/>
        <v>510.22887350854961</v>
      </c>
      <c r="AC18" s="17">
        <v>427.72518099088569</v>
      </c>
      <c r="AD18" s="17">
        <v>311.317387842421</v>
      </c>
      <c r="AE18" s="17">
        <v>0</v>
      </c>
      <c r="AF18" s="17">
        <v>0</v>
      </c>
      <c r="AG18" s="17">
        <f t="shared" si="8"/>
        <v>739.04256883330663</v>
      </c>
      <c r="AH18" s="17">
        <v>502</v>
      </c>
      <c r="AI18" s="17">
        <v>333</v>
      </c>
      <c r="AJ18" s="17">
        <v>0</v>
      </c>
      <c r="AK18" s="17">
        <v>0</v>
      </c>
      <c r="AL18" s="17">
        <f t="shared" si="9"/>
        <v>835</v>
      </c>
      <c r="AM18" s="17">
        <v>418.23221253792752</v>
      </c>
      <c r="AN18" s="17">
        <v>404</v>
      </c>
      <c r="AO18" s="17">
        <v>0</v>
      </c>
      <c r="AP18" s="17">
        <v>0</v>
      </c>
      <c r="AQ18" s="17">
        <f t="shared" si="10"/>
        <v>822.23221253792758</v>
      </c>
      <c r="AR18" s="17">
        <v>460.53392953792752</v>
      </c>
      <c r="AS18" s="17">
        <v>352</v>
      </c>
      <c r="AT18" s="17">
        <v>0</v>
      </c>
      <c r="AU18" s="17">
        <v>0</v>
      </c>
      <c r="AV18" s="17">
        <f t="shared" si="11"/>
        <v>812.53392953792752</v>
      </c>
      <c r="AW18" s="17">
        <v>358</v>
      </c>
      <c r="AX18" s="17">
        <v>452.65651730144401</v>
      </c>
      <c r="AY18" s="17">
        <v>0</v>
      </c>
      <c r="AZ18" s="17">
        <v>0</v>
      </c>
      <c r="BA18" s="17">
        <f t="shared" si="12"/>
        <v>810.65651730144396</v>
      </c>
      <c r="BB18" s="17">
        <v>319.5</v>
      </c>
      <c r="BC18" s="17">
        <v>451.5</v>
      </c>
      <c r="BD18" s="17">
        <v>0</v>
      </c>
      <c r="BE18" s="17">
        <v>0</v>
      </c>
      <c r="BF18" s="17">
        <f t="shared" si="13"/>
        <v>771</v>
      </c>
      <c r="BG18" s="17">
        <v>309.7</v>
      </c>
      <c r="BH18" s="17">
        <v>464</v>
      </c>
      <c r="BI18" s="17">
        <v>0</v>
      </c>
      <c r="BJ18" s="17">
        <v>0</v>
      </c>
      <c r="BK18" s="17">
        <f t="shared" si="14"/>
        <v>773.7</v>
      </c>
      <c r="BL18" s="17">
        <v>342.3</v>
      </c>
      <c r="BM18" s="17">
        <v>421.39872510341297</v>
      </c>
      <c r="BN18" s="17">
        <v>0</v>
      </c>
      <c r="BO18" s="17">
        <v>0</v>
      </c>
      <c r="BP18" s="17">
        <f t="shared" si="15"/>
        <v>763.69872510341293</v>
      </c>
      <c r="BQ18" s="17">
        <f t="shared" si="3"/>
        <v>4179.4679287813751</v>
      </c>
      <c r="BR18" s="17">
        <f t="shared" si="3"/>
        <v>4031.9336452135462</v>
      </c>
      <c r="BS18" s="17">
        <f t="shared" si="3"/>
        <v>0</v>
      </c>
      <c r="BT18" s="17">
        <f t="shared" si="3"/>
        <v>0</v>
      </c>
      <c r="BU18" s="17">
        <f t="shared" si="16"/>
        <v>8211.4015739949209</v>
      </c>
    </row>
    <row r="19" spans="1:73" hidden="1" outlineLevel="1">
      <c r="A19" s="16" t="s">
        <v>33</v>
      </c>
      <c r="B19" s="17" t="s">
        <v>34</v>
      </c>
      <c r="C19" s="17" t="s">
        <v>55</v>
      </c>
      <c r="D19" s="17" t="s">
        <v>56</v>
      </c>
      <c r="E19" s="17" t="s">
        <v>57</v>
      </c>
      <c r="F19" s="18" t="s">
        <v>67</v>
      </c>
      <c r="G19" s="17" t="s">
        <v>68</v>
      </c>
      <c r="H19" s="18" t="s">
        <v>45</v>
      </c>
      <c r="I19" s="17">
        <v>672</v>
      </c>
      <c r="J19" s="17">
        <v>180.79701395713954</v>
      </c>
      <c r="K19" s="17">
        <v>0</v>
      </c>
      <c r="L19" s="17">
        <v>0</v>
      </c>
      <c r="M19" s="17">
        <f t="shared" si="4"/>
        <v>852.7970139571396</v>
      </c>
      <c r="N19" s="17">
        <v>597.93602606284628</v>
      </c>
      <c r="O19" s="17">
        <v>245.79701395713954</v>
      </c>
      <c r="P19" s="17">
        <v>0</v>
      </c>
      <c r="Q19" s="17">
        <v>0</v>
      </c>
      <c r="R19" s="17">
        <f t="shared" si="5"/>
        <v>843.73304001998576</v>
      </c>
      <c r="S19" s="17">
        <v>672.96894406284628</v>
      </c>
      <c r="T19" s="17">
        <v>214.84001395713955</v>
      </c>
      <c r="U19" s="17">
        <v>0</v>
      </c>
      <c r="V19" s="17">
        <v>0</v>
      </c>
      <c r="W19" s="17">
        <f t="shared" si="6"/>
        <v>887.80895801998577</v>
      </c>
      <c r="X19" s="17">
        <v>596.5</v>
      </c>
      <c r="Y19" s="17">
        <v>290</v>
      </c>
      <c r="Z19" s="17">
        <v>0</v>
      </c>
      <c r="AA19" s="17">
        <v>0</v>
      </c>
      <c r="AB19" s="17">
        <f t="shared" si="7"/>
        <v>886.5</v>
      </c>
      <c r="AC19" s="17">
        <v>532.46579638042476</v>
      </c>
      <c r="AD19" s="17">
        <v>379.69886215138774</v>
      </c>
      <c r="AE19" s="17">
        <v>0</v>
      </c>
      <c r="AF19" s="17">
        <v>0</v>
      </c>
      <c r="AG19" s="17">
        <f t="shared" si="8"/>
        <v>912.16465853181251</v>
      </c>
      <c r="AH19" s="17">
        <v>503.61465625977229</v>
      </c>
      <c r="AI19" s="17">
        <v>405.86927833676913</v>
      </c>
      <c r="AJ19" s="17">
        <v>0</v>
      </c>
      <c r="AK19" s="17">
        <v>0</v>
      </c>
      <c r="AL19" s="17">
        <f t="shared" si="9"/>
        <v>909.48393459654142</v>
      </c>
      <c r="AM19" s="17">
        <v>444.254655927584</v>
      </c>
      <c r="AN19" s="17">
        <v>495</v>
      </c>
      <c r="AO19" s="17">
        <v>0</v>
      </c>
      <c r="AP19" s="17">
        <v>0</v>
      </c>
      <c r="AQ19" s="17">
        <f t="shared" si="10"/>
        <v>939.25465592758405</v>
      </c>
      <c r="AR19" s="17">
        <v>482.5</v>
      </c>
      <c r="AS19" s="17">
        <v>424.51106927075273</v>
      </c>
      <c r="AT19" s="17">
        <v>0</v>
      </c>
      <c r="AU19" s="17">
        <v>0</v>
      </c>
      <c r="AV19" s="17">
        <f t="shared" si="11"/>
        <v>907.01106927075273</v>
      </c>
      <c r="AW19" s="17">
        <v>476.7729482855392</v>
      </c>
      <c r="AX19" s="17">
        <v>421.7894009437257</v>
      </c>
      <c r="AY19" s="17">
        <v>0</v>
      </c>
      <c r="AZ19" s="17">
        <v>0</v>
      </c>
      <c r="BA19" s="17">
        <f t="shared" si="12"/>
        <v>898.5623492292649</v>
      </c>
      <c r="BB19" s="17">
        <v>423.87886578084391</v>
      </c>
      <c r="BC19" s="17">
        <v>459.46624600000001</v>
      </c>
      <c r="BD19" s="17">
        <v>0</v>
      </c>
      <c r="BE19" s="17">
        <v>0</v>
      </c>
      <c r="BF19" s="17">
        <f t="shared" si="13"/>
        <v>883.34511178084392</v>
      </c>
      <c r="BG19" s="17">
        <v>431.9</v>
      </c>
      <c r="BH19" s="17">
        <v>461</v>
      </c>
      <c r="BI19" s="17">
        <v>0</v>
      </c>
      <c r="BJ19" s="17">
        <v>0</v>
      </c>
      <c r="BK19" s="17">
        <f t="shared" si="14"/>
        <v>892.9</v>
      </c>
      <c r="BL19" s="17">
        <v>451.08447736416065</v>
      </c>
      <c r="BM19" s="17">
        <v>387.76393659070277</v>
      </c>
      <c r="BN19" s="17">
        <v>0</v>
      </c>
      <c r="BO19" s="17">
        <v>0</v>
      </c>
      <c r="BP19" s="17">
        <f t="shared" si="15"/>
        <v>838.84841395486342</v>
      </c>
      <c r="BQ19" s="17">
        <f t="shared" si="3"/>
        <v>6285.8763701240177</v>
      </c>
      <c r="BR19" s="17">
        <f t="shared" si="3"/>
        <v>4366.5328351647568</v>
      </c>
      <c r="BS19" s="17">
        <f t="shared" si="3"/>
        <v>0</v>
      </c>
      <c r="BT19" s="17">
        <f t="shared" si="3"/>
        <v>0</v>
      </c>
      <c r="BU19" s="17">
        <f t="shared" si="16"/>
        <v>10652.409205288775</v>
      </c>
    </row>
    <row r="20" spans="1:73" hidden="1" outlineLevel="1">
      <c r="A20" s="16" t="s">
        <v>33</v>
      </c>
      <c r="B20" s="17" t="s">
        <v>34</v>
      </c>
      <c r="C20" s="17" t="s">
        <v>55</v>
      </c>
      <c r="D20" s="17" t="s">
        <v>56</v>
      </c>
      <c r="E20" s="17" t="s">
        <v>57</v>
      </c>
      <c r="F20" s="18" t="s">
        <v>69</v>
      </c>
      <c r="G20" s="17" t="s">
        <v>70</v>
      </c>
      <c r="H20" s="18" t="s">
        <v>39</v>
      </c>
      <c r="I20" s="17">
        <v>13</v>
      </c>
      <c r="J20" s="17">
        <v>5</v>
      </c>
      <c r="K20" s="17">
        <v>0</v>
      </c>
      <c r="L20" s="17">
        <v>0</v>
      </c>
      <c r="M20" s="17">
        <f t="shared" si="4"/>
        <v>18</v>
      </c>
      <c r="N20" s="17">
        <v>10</v>
      </c>
      <c r="O20" s="17">
        <v>6</v>
      </c>
      <c r="P20" s="17">
        <v>0</v>
      </c>
      <c r="Q20" s="17">
        <v>0</v>
      </c>
      <c r="R20" s="17">
        <f t="shared" si="5"/>
        <v>16</v>
      </c>
      <c r="S20" s="17">
        <v>14</v>
      </c>
      <c r="T20" s="17">
        <v>4</v>
      </c>
      <c r="U20" s="17">
        <v>0</v>
      </c>
      <c r="V20" s="17">
        <v>0</v>
      </c>
      <c r="W20" s="17">
        <f t="shared" si="6"/>
        <v>18</v>
      </c>
      <c r="X20" s="17">
        <v>14</v>
      </c>
      <c r="Y20" s="17">
        <v>5</v>
      </c>
      <c r="Z20" s="17">
        <v>0</v>
      </c>
      <c r="AA20" s="17">
        <v>0</v>
      </c>
      <c r="AB20" s="17">
        <f t="shared" si="7"/>
        <v>19</v>
      </c>
      <c r="AC20" s="17">
        <v>13</v>
      </c>
      <c r="AD20" s="17">
        <v>6</v>
      </c>
      <c r="AE20" s="17">
        <v>0</v>
      </c>
      <c r="AF20" s="17">
        <v>0</v>
      </c>
      <c r="AG20" s="17">
        <f t="shared" si="8"/>
        <v>19</v>
      </c>
      <c r="AH20" s="17">
        <v>13</v>
      </c>
      <c r="AI20" s="17">
        <v>5</v>
      </c>
      <c r="AJ20" s="17">
        <v>0</v>
      </c>
      <c r="AK20" s="17">
        <v>0</v>
      </c>
      <c r="AL20" s="17">
        <f t="shared" si="9"/>
        <v>18</v>
      </c>
      <c r="AM20" s="17">
        <v>13</v>
      </c>
      <c r="AN20" s="17">
        <v>5</v>
      </c>
      <c r="AO20" s="17">
        <v>0</v>
      </c>
      <c r="AP20" s="17">
        <v>0</v>
      </c>
      <c r="AQ20" s="17">
        <f t="shared" si="10"/>
        <v>18</v>
      </c>
      <c r="AR20" s="17">
        <v>13</v>
      </c>
      <c r="AS20" s="17">
        <v>5</v>
      </c>
      <c r="AT20" s="17">
        <v>0</v>
      </c>
      <c r="AU20" s="17">
        <v>0</v>
      </c>
      <c r="AV20" s="17">
        <f t="shared" si="11"/>
        <v>18</v>
      </c>
      <c r="AW20" s="17">
        <v>5.3</v>
      </c>
      <c r="AX20" s="17">
        <v>13.4</v>
      </c>
      <c r="AY20" s="17">
        <v>0</v>
      </c>
      <c r="AZ20" s="17">
        <v>0</v>
      </c>
      <c r="BA20" s="17">
        <f t="shared" si="12"/>
        <v>18.7</v>
      </c>
      <c r="BB20" s="17">
        <v>4</v>
      </c>
      <c r="BC20" s="17">
        <v>14</v>
      </c>
      <c r="BD20" s="17">
        <v>0</v>
      </c>
      <c r="BE20" s="17">
        <v>0</v>
      </c>
      <c r="BF20" s="17">
        <f t="shared" si="13"/>
        <v>18</v>
      </c>
      <c r="BG20" s="17">
        <v>5</v>
      </c>
      <c r="BH20" s="17">
        <v>13</v>
      </c>
      <c r="BI20" s="17">
        <v>0</v>
      </c>
      <c r="BJ20" s="17">
        <v>0</v>
      </c>
      <c r="BK20" s="17">
        <f t="shared" si="14"/>
        <v>18</v>
      </c>
      <c r="BL20" s="17">
        <v>5.5</v>
      </c>
      <c r="BM20" s="17">
        <v>13</v>
      </c>
      <c r="BN20" s="17">
        <v>0</v>
      </c>
      <c r="BO20" s="17">
        <v>0</v>
      </c>
      <c r="BP20" s="17">
        <f t="shared" si="15"/>
        <v>18.5</v>
      </c>
      <c r="BQ20" s="17">
        <f t="shared" si="3"/>
        <v>122.8</v>
      </c>
      <c r="BR20" s="17">
        <f t="shared" si="3"/>
        <v>94.4</v>
      </c>
      <c r="BS20" s="17">
        <f t="shared" si="3"/>
        <v>0</v>
      </c>
      <c r="BT20" s="17">
        <f t="shared" si="3"/>
        <v>0</v>
      </c>
      <c r="BU20" s="17">
        <f t="shared" si="16"/>
        <v>217.2</v>
      </c>
    </row>
    <row r="21" spans="1:73" hidden="1" outlineLevel="1">
      <c r="A21" s="16" t="s">
        <v>33</v>
      </c>
      <c r="B21" s="17" t="s">
        <v>34</v>
      </c>
      <c r="C21" s="17" t="s">
        <v>55</v>
      </c>
      <c r="D21" s="17" t="s">
        <v>71</v>
      </c>
      <c r="E21" s="17" t="s">
        <v>72</v>
      </c>
      <c r="F21" s="18" t="s">
        <v>73</v>
      </c>
      <c r="G21" s="17" t="s">
        <v>74</v>
      </c>
      <c r="H21" s="18" t="s">
        <v>39</v>
      </c>
      <c r="I21" s="17">
        <v>3</v>
      </c>
      <c r="J21" s="17">
        <v>5</v>
      </c>
      <c r="K21" s="17">
        <v>0</v>
      </c>
      <c r="L21" s="17">
        <v>0</v>
      </c>
      <c r="M21" s="17">
        <f t="shared" si="4"/>
        <v>8</v>
      </c>
      <c r="N21" s="17">
        <v>3</v>
      </c>
      <c r="O21" s="17">
        <v>5</v>
      </c>
      <c r="P21" s="17">
        <v>0</v>
      </c>
      <c r="Q21" s="17">
        <v>0</v>
      </c>
      <c r="R21" s="17">
        <f t="shared" si="5"/>
        <v>8</v>
      </c>
      <c r="S21" s="17">
        <v>3</v>
      </c>
      <c r="T21" s="17">
        <v>5</v>
      </c>
      <c r="U21" s="17">
        <v>0</v>
      </c>
      <c r="V21" s="17">
        <v>0</v>
      </c>
      <c r="W21" s="17">
        <f t="shared" si="6"/>
        <v>8</v>
      </c>
      <c r="X21" s="17">
        <v>3</v>
      </c>
      <c r="Y21" s="17">
        <v>5</v>
      </c>
      <c r="Z21" s="17">
        <v>0</v>
      </c>
      <c r="AA21" s="17">
        <v>0</v>
      </c>
      <c r="AB21" s="17">
        <f t="shared" si="7"/>
        <v>8</v>
      </c>
      <c r="AC21" s="17">
        <v>3</v>
      </c>
      <c r="AD21" s="17">
        <v>5</v>
      </c>
      <c r="AE21" s="17">
        <v>0</v>
      </c>
      <c r="AF21" s="17">
        <v>0</v>
      </c>
      <c r="AG21" s="17">
        <f t="shared" si="8"/>
        <v>8</v>
      </c>
      <c r="AH21" s="17">
        <v>3</v>
      </c>
      <c r="AI21" s="17">
        <v>5</v>
      </c>
      <c r="AJ21" s="17">
        <v>0</v>
      </c>
      <c r="AK21" s="17">
        <v>0</v>
      </c>
      <c r="AL21" s="17">
        <f t="shared" si="9"/>
        <v>8</v>
      </c>
      <c r="AM21" s="17">
        <v>3</v>
      </c>
      <c r="AN21" s="17">
        <v>5</v>
      </c>
      <c r="AO21" s="17">
        <v>0</v>
      </c>
      <c r="AP21" s="17">
        <v>0</v>
      </c>
      <c r="AQ21" s="17">
        <f t="shared" si="10"/>
        <v>8</v>
      </c>
      <c r="AR21" s="17">
        <v>3</v>
      </c>
      <c r="AS21" s="17">
        <v>5</v>
      </c>
      <c r="AT21" s="17">
        <v>0</v>
      </c>
      <c r="AU21" s="17">
        <v>0</v>
      </c>
      <c r="AV21" s="17">
        <f t="shared" si="11"/>
        <v>8</v>
      </c>
      <c r="AW21" s="17">
        <v>3</v>
      </c>
      <c r="AX21" s="17">
        <v>5</v>
      </c>
      <c r="AY21" s="17">
        <v>0</v>
      </c>
      <c r="AZ21" s="17">
        <v>0</v>
      </c>
      <c r="BA21" s="17">
        <f t="shared" si="12"/>
        <v>8</v>
      </c>
      <c r="BB21" s="17">
        <v>3</v>
      </c>
      <c r="BC21" s="17">
        <v>5</v>
      </c>
      <c r="BD21" s="17">
        <v>0</v>
      </c>
      <c r="BE21" s="17">
        <v>0</v>
      </c>
      <c r="BF21" s="17">
        <f t="shared" si="13"/>
        <v>8</v>
      </c>
      <c r="BG21" s="17">
        <v>3</v>
      </c>
      <c r="BH21" s="17">
        <v>5</v>
      </c>
      <c r="BI21" s="17">
        <v>0</v>
      </c>
      <c r="BJ21" s="17">
        <v>0</v>
      </c>
      <c r="BK21" s="17">
        <f t="shared" si="14"/>
        <v>8</v>
      </c>
      <c r="BL21" s="17">
        <v>3</v>
      </c>
      <c r="BM21" s="17">
        <v>5</v>
      </c>
      <c r="BN21" s="17">
        <v>0</v>
      </c>
      <c r="BO21" s="17">
        <v>0</v>
      </c>
      <c r="BP21" s="17">
        <f t="shared" si="15"/>
        <v>8</v>
      </c>
      <c r="BQ21" s="17">
        <f t="shared" si="3"/>
        <v>36</v>
      </c>
      <c r="BR21" s="17">
        <f t="shared" si="3"/>
        <v>60</v>
      </c>
      <c r="BS21" s="17">
        <f t="shared" si="3"/>
        <v>0</v>
      </c>
      <c r="BT21" s="17">
        <f t="shared" si="3"/>
        <v>0</v>
      </c>
      <c r="BU21" s="17">
        <f t="shared" si="16"/>
        <v>96</v>
      </c>
    </row>
    <row r="22" spans="1:73" hidden="1" outlineLevel="1">
      <c r="A22" s="16" t="s">
        <v>33</v>
      </c>
      <c r="B22" s="17" t="s">
        <v>34</v>
      </c>
      <c r="C22" s="17" t="s">
        <v>55</v>
      </c>
      <c r="D22" s="17" t="s">
        <v>71</v>
      </c>
      <c r="E22" s="17" t="s">
        <v>72</v>
      </c>
      <c r="F22" s="18" t="s">
        <v>75</v>
      </c>
      <c r="G22" s="17" t="s">
        <v>76</v>
      </c>
      <c r="H22" s="18" t="s">
        <v>39</v>
      </c>
      <c r="I22" s="17">
        <v>11</v>
      </c>
      <c r="J22" s="17">
        <v>17.403127568001047</v>
      </c>
      <c r="K22" s="17">
        <v>0</v>
      </c>
      <c r="L22" s="17">
        <v>0</v>
      </c>
      <c r="M22" s="17">
        <f t="shared" si="4"/>
        <v>28.403127568001047</v>
      </c>
      <c r="N22" s="17">
        <v>4</v>
      </c>
      <c r="O22" s="17">
        <v>10</v>
      </c>
      <c r="P22" s="17">
        <v>0</v>
      </c>
      <c r="Q22" s="17">
        <v>0</v>
      </c>
      <c r="R22" s="17">
        <f t="shared" si="5"/>
        <v>14</v>
      </c>
      <c r="S22" s="17">
        <v>6.5</v>
      </c>
      <c r="T22" s="17">
        <v>17.5</v>
      </c>
      <c r="U22" s="17">
        <v>0</v>
      </c>
      <c r="V22" s="17">
        <v>0</v>
      </c>
      <c r="W22" s="17">
        <f t="shared" si="6"/>
        <v>24</v>
      </c>
      <c r="X22" s="17">
        <v>4</v>
      </c>
      <c r="Y22" s="17">
        <v>10</v>
      </c>
      <c r="Z22" s="17">
        <v>0</v>
      </c>
      <c r="AA22" s="17">
        <v>0</v>
      </c>
      <c r="AB22" s="17">
        <f t="shared" si="7"/>
        <v>14</v>
      </c>
      <c r="AC22" s="17">
        <v>7</v>
      </c>
      <c r="AD22" s="17">
        <v>8</v>
      </c>
      <c r="AE22" s="17">
        <v>0</v>
      </c>
      <c r="AF22" s="17">
        <v>0</v>
      </c>
      <c r="AG22" s="17">
        <f t="shared" si="8"/>
        <v>15</v>
      </c>
      <c r="AH22" s="17">
        <v>5</v>
      </c>
      <c r="AI22" s="17">
        <v>14</v>
      </c>
      <c r="AJ22" s="17">
        <v>0</v>
      </c>
      <c r="AK22" s="17">
        <v>0</v>
      </c>
      <c r="AL22" s="17">
        <f t="shared" si="9"/>
        <v>19</v>
      </c>
      <c r="AM22" s="17">
        <v>9</v>
      </c>
      <c r="AN22" s="17">
        <v>17.5</v>
      </c>
      <c r="AO22" s="17">
        <v>0</v>
      </c>
      <c r="AP22" s="17">
        <v>0</v>
      </c>
      <c r="AQ22" s="17">
        <f t="shared" si="10"/>
        <v>26.5</v>
      </c>
      <c r="AR22" s="17">
        <v>9</v>
      </c>
      <c r="AS22" s="17">
        <v>13</v>
      </c>
      <c r="AT22" s="17">
        <v>0</v>
      </c>
      <c r="AU22" s="17">
        <v>0</v>
      </c>
      <c r="AV22" s="17">
        <f t="shared" si="11"/>
        <v>22</v>
      </c>
      <c r="AW22" s="17">
        <v>8</v>
      </c>
      <c r="AX22" s="17">
        <v>15.5</v>
      </c>
      <c r="AY22" s="17">
        <v>0</v>
      </c>
      <c r="AZ22" s="17">
        <v>0</v>
      </c>
      <c r="BA22" s="17">
        <f t="shared" si="12"/>
        <v>23.5</v>
      </c>
      <c r="BB22" s="17">
        <v>8</v>
      </c>
      <c r="BC22" s="17">
        <v>16</v>
      </c>
      <c r="BD22" s="17">
        <v>0</v>
      </c>
      <c r="BE22" s="17">
        <v>0</v>
      </c>
      <c r="BF22" s="17">
        <f t="shared" si="13"/>
        <v>24</v>
      </c>
      <c r="BG22" s="17">
        <v>7</v>
      </c>
      <c r="BH22" s="17">
        <v>15</v>
      </c>
      <c r="BI22" s="17">
        <v>0</v>
      </c>
      <c r="BJ22" s="17">
        <v>0</v>
      </c>
      <c r="BK22" s="17">
        <f t="shared" si="14"/>
        <v>22</v>
      </c>
      <c r="BL22" s="17">
        <v>7</v>
      </c>
      <c r="BM22" s="17">
        <v>15</v>
      </c>
      <c r="BN22" s="17">
        <v>0</v>
      </c>
      <c r="BO22" s="17">
        <v>0</v>
      </c>
      <c r="BP22" s="17">
        <f t="shared" si="15"/>
        <v>22</v>
      </c>
      <c r="BQ22" s="17">
        <f t="shared" si="3"/>
        <v>85.5</v>
      </c>
      <c r="BR22" s="17">
        <f t="shared" si="3"/>
        <v>168.90312756800105</v>
      </c>
      <c r="BS22" s="17">
        <f t="shared" si="3"/>
        <v>0</v>
      </c>
      <c r="BT22" s="17">
        <f t="shared" si="3"/>
        <v>0</v>
      </c>
      <c r="BU22" s="17">
        <f t="shared" si="16"/>
        <v>254.40312756800105</v>
      </c>
    </row>
    <row r="23" spans="1:73" hidden="1" outlineLevel="1">
      <c r="A23" s="16" t="s">
        <v>33</v>
      </c>
      <c r="B23" s="17" t="s">
        <v>34</v>
      </c>
      <c r="C23" s="17" t="s">
        <v>55</v>
      </c>
      <c r="D23" s="17" t="s">
        <v>71</v>
      </c>
      <c r="E23" s="17" t="s">
        <v>72</v>
      </c>
      <c r="F23" s="18" t="s">
        <v>77</v>
      </c>
      <c r="G23" s="17" t="s">
        <v>78</v>
      </c>
      <c r="H23" s="18" t="s">
        <v>39</v>
      </c>
      <c r="I23" s="17">
        <v>0</v>
      </c>
      <c r="J23" s="17">
        <v>9</v>
      </c>
      <c r="K23" s="17">
        <v>0</v>
      </c>
      <c r="L23" s="17">
        <v>0</v>
      </c>
      <c r="M23" s="17">
        <f t="shared" si="4"/>
        <v>9</v>
      </c>
      <c r="N23" s="17">
        <v>6</v>
      </c>
      <c r="O23" s="17">
        <v>3</v>
      </c>
      <c r="P23" s="17">
        <v>0</v>
      </c>
      <c r="Q23" s="17">
        <v>0</v>
      </c>
      <c r="R23" s="17">
        <f t="shared" si="5"/>
        <v>9</v>
      </c>
      <c r="S23" s="17">
        <v>5</v>
      </c>
      <c r="T23" s="17">
        <v>4</v>
      </c>
      <c r="U23" s="17">
        <v>0</v>
      </c>
      <c r="V23" s="17">
        <v>0</v>
      </c>
      <c r="W23" s="17">
        <f t="shared" si="6"/>
        <v>9</v>
      </c>
      <c r="X23" s="17">
        <v>7</v>
      </c>
      <c r="Y23" s="17">
        <v>2</v>
      </c>
      <c r="Z23" s="17">
        <v>0</v>
      </c>
      <c r="AA23" s="17">
        <v>0</v>
      </c>
      <c r="AB23" s="17">
        <f t="shared" si="7"/>
        <v>9</v>
      </c>
      <c r="AC23" s="17">
        <v>8</v>
      </c>
      <c r="AD23" s="17">
        <v>1</v>
      </c>
      <c r="AE23" s="17">
        <v>0</v>
      </c>
      <c r="AF23" s="17">
        <v>0</v>
      </c>
      <c r="AG23" s="17">
        <f t="shared" si="8"/>
        <v>9</v>
      </c>
      <c r="AH23" s="17">
        <v>5</v>
      </c>
      <c r="AI23" s="17">
        <v>4</v>
      </c>
      <c r="AJ23" s="17">
        <v>0</v>
      </c>
      <c r="AK23" s="17">
        <v>0</v>
      </c>
      <c r="AL23" s="17">
        <f t="shared" si="9"/>
        <v>9</v>
      </c>
      <c r="AM23" s="17">
        <v>5</v>
      </c>
      <c r="AN23" s="17">
        <v>4</v>
      </c>
      <c r="AO23" s="17">
        <v>0</v>
      </c>
      <c r="AP23" s="17">
        <v>0</v>
      </c>
      <c r="AQ23" s="17">
        <f t="shared" si="10"/>
        <v>9</v>
      </c>
      <c r="AR23" s="17">
        <v>8</v>
      </c>
      <c r="AS23" s="17">
        <v>1</v>
      </c>
      <c r="AT23" s="17">
        <v>0</v>
      </c>
      <c r="AU23" s="17">
        <v>0</v>
      </c>
      <c r="AV23" s="17">
        <f t="shared" si="11"/>
        <v>9</v>
      </c>
      <c r="AW23" s="17">
        <v>7</v>
      </c>
      <c r="AX23" s="17">
        <v>2</v>
      </c>
      <c r="AY23" s="17">
        <v>0</v>
      </c>
      <c r="AZ23" s="17">
        <v>0</v>
      </c>
      <c r="BA23" s="17">
        <f t="shared" si="12"/>
        <v>9</v>
      </c>
      <c r="BB23" s="17">
        <v>8</v>
      </c>
      <c r="BC23" s="17">
        <v>2</v>
      </c>
      <c r="BD23" s="17">
        <v>0</v>
      </c>
      <c r="BE23" s="17">
        <v>0</v>
      </c>
      <c r="BF23" s="17">
        <f t="shared" si="13"/>
        <v>10</v>
      </c>
      <c r="BG23" s="17">
        <v>7</v>
      </c>
      <c r="BH23" s="17">
        <v>2</v>
      </c>
      <c r="BI23" s="17">
        <v>0</v>
      </c>
      <c r="BJ23" s="17">
        <v>0</v>
      </c>
      <c r="BK23" s="17">
        <f t="shared" si="14"/>
        <v>9</v>
      </c>
      <c r="BL23" s="17">
        <v>7</v>
      </c>
      <c r="BM23" s="17">
        <v>2</v>
      </c>
      <c r="BN23" s="17">
        <v>0</v>
      </c>
      <c r="BO23" s="17">
        <v>0</v>
      </c>
      <c r="BP23" s="17">
        <f t="shared" si="15"/>
        <v>9</v>
      </c>
      <c r="BQ23" s="17">
        <f t="shared" si="3"/>
        <v>73</v>
      </c>
      <c r="BR23" s="17">
        <f t="shared" si="3"/>
        <v>36</v>
      </c>
      <c r="BS23" s="17">
        <f t="shared" si="3"/>
        <v>0</v>
      </c>
      <c r="BT23" s="17">
        <f t="shared" si="3"/>
        <v>0</v>
      </c>
      <c r="BU23" s="17">
        <f t="shared" si="16"/>
        <v>109</v>
      </c>
    </row>
    <row r="24" spans="1:73" hidden="1" outlineLevel="1">
      <c r="A24" s="16" t="s">
        <v>33</v>
      </c>
      <c r="B24" s="17" t="s">
        <v>34</v>
      </c>
      <c r="C24" s="17" t="s">
        <v>55</v>
      </c>
      <c r="D24" s="17" t="s">
        <v>71</v>
      </c>
      <c r="E24" s="17" t="s">
        <v>72</v>
      </c>
      <c r="F24" s="18" t="s">
        <v>79</v>
      </c>
      <c r="G24" s="17" t="s">
        <v>80</v>
      </c>
      <c r="H24" s="18" t="s">
        <v>39</v>
      </c>
      <c r="I24" s="17">
        <v>6</v>
      </c>
      <c r="J24" s="17">
        <v>6</v>
      </c>
      <c r="K24" s="17">
        <v>0</v>
      </c>
      <c r="L24" s="17">
        <v>0</v>
      </c>
      <c r="M24" s="17">
        <f t="shared" si="4"/>
        <v>12</v>
      </c>
      <c r="N24" s="17">
        <v>6</v>
      </c>
      <c r="O24" s="17">
        <v>6</v>
      </c>
      <c r="P24" s="17">
        <v>0</v>
      </c>
      <c r="Q24" s="17">
        <v>0</v>
      </c>
      <c r="R24" s="17">
        <f t="shared" si="5"/>
        <v>12</v>
      </c>
      <c r="S24" s="17">
        <v>6</v>
      </c>
      <c r="T24" s="17">
        <v>6</v>
      </c>
      <c r="U24" s="17">
        <v>0</v>
      </c>
      <c r="V24" s="17">
        <v>0</v>
      </c>
      <c r="W24" s="17">
        <f t="shared" si="6"/>
        <v>12</v>
      </c>
      <c r="X24" s="17">
        <v>6</v>
      </c>
      <c r="Y24" s="17">
        <v>6</v>
      </c>
      <c r="Z24" s="17">
        <v>0</v>
      </c>
      <c r="AA24" s="17">
        <v>0</v>
      </c>
      <c r="AB24" s="17">
        <f t="shared" si="7"/>
        <v>12</v>
      </c>
      <c r="AC24" s="17">
        <v>6</v>
      </c>
      <c r="AD24" s="17">
        <v>6</v>
      </c>
      <c r="AE24" s="17">
        <v>0</v>
      </c>
      <c r="AF24" s="17">
        <v>0</v>
      </c>
      <c r="AG24" s="17">
        <f t="shared" si="8"/>
        <v>12</v>
      </c>
      <c r="AH24" s="17">
        <v>6</v>
      </c>
      <c r="AI24" s="17">
        <v>6</v>
      </c>
      <c r="AJ24" s="17">
        <v>0</v>
      </c>
      <c r="AK24" s="17">
        <v>0</v>
      </c>
      <c r="AL24" s="17">
        <f t="shared" si="9"/>
        <v>12</v>
      </c>
      <c r="AM24" s="17">
        <v>6</v>
      </c>
      <c r="AN24" s="17">
        <v>6</v>
      </c>
      <c r="AO24" s="17">
        <v>0</v>
      </c>
      <c r="AP24" s="17">
        <v>0</v>
      </c>
      <c r="AQ24" s="17">
        <f t="shared" si="10"/>
        <v>12</v>
      </c>
      <c r="AR24" s="17">
        <v>6</v>
      </c>
      <c r="AS24" s="17">
        <v>6</v>
      </c>
      <c r="AT24" s="17">
        <v>0</v>
      </c>
      <c r="AU24" s="17">
        <v>0</v>
      </c>
      <c r="AV24" s="17">
        <f t="shared" si="11"/>
        <v>12</v>
      </c>
      <c r="AW24" s="17">
        <v>6</v>
      </c>
      <c r="AX24" s="17">
        <v>6</v>
      </c>
      <c r="AY24" s="17">
        <v>0</v>
      </c>
      <c r="AZ24" s="17">
        <v>0</v>
      </c>
      <c r="BA24" s="17">
        <f t="shared" si="12"/>
        <v>12</v>
      </c>
      <c r="BB24" s="17">
        <v>6</v>
      </c>
      <c r="BC24" s="17">
        <v>6</v>
      </c>
      <c r="BD24" s="17">
        <v>0</v>
      </c>
      <c r="BE24" s="17">
        <v>0</v>
      </c>
      <c r="BF24" s="17">
        <f t="shared" si="13"/>
        <v>12</v>
      </c>
      <c r="BG24" s="17">
        <v>6</v>
      </c>
      <c r="BH24" s="17">
        <v>6</v>
      </c>
      <c r="BI24" s="17">
        <v>0</v>
      </c>
      <c r="BJ24" s="17">
        <v>0</v>
      </c>
      <c r="BK24" s="17">
        <f t="shared" si="14"/>
        <v>12</v>
      </c>
      <c r="BL24" s="17">
        <v>6</v>
      </c>
      <c r="BM24" s="17">
        <v>6</v>
      </c>
      <c r="BN24" s="17">
        <v>0</v>
      </c>
      <c r="BO24" s="17">
        <v>0</v>
      </c>
      <c r="BP24" s="17">
        <f t="shared" si="15"/>
        <v>12</v>
      </c>
      <c r="BQ24" s="17">
        <f t="shared" si="3"/>
        <v>72</v>
      </c>
      <c r="BR24" s="17">
        <f t="shared" si="3"/>
        <v>72</v>
      </c>
      <c r="BS24" s="17">
        <f t="shared" si="3"/>
        <v>0</v>
      </c>
      <c r="BT24" s="17">
        <f t="shared" si="3"/>
        <v>0</v>
      </c>
      <c r="BU24" s="17">
        <f t="shared" si="16"/>
        <v>144</v>
      </c>
    </row>
    <row r="25" spans="1:73" hidden="1" outlineLevel="1">
      <c r="A25" s="16" t="s">
        <v>33</v>
      </c>
      <c r="B25" s="17" t="s">
        <v>34</v>
      </c>
      <c r="C25" s="17" t="s">
        <v>55</v>
      </c>
      <c r="D25" s="17" t="s">
        <v>71</v>
      </c>
      <c r="E25" s="17" t="s">
        <v>72</v>
      </c>
      <c r="F25" s="18" t="s">
        <v>81</v>
      </c>
      <c r="G25" s="17" t="s">
        <v>82</v>
      </c>
      <c r="H25" s="18" t="s">
        <v>39</v>
      </c>
      <c r="I25" s="17">
        <v>13</v>
      </c>
      <c r="J25" s="17">
        <v>0</v>
      </c>
      <c r="K25" s="17">
        <v>0</v>
      </c>
      <c r="L25" s="17">
        <v>0</v>
      </c>
      <c r="M25" s="17">
        <f t="shared" si="4"/>
        <v>13</v>
      </c>
      <c r="N25" s="17">
        <v>13</v>
      </c>
      <c r="O25" s="17">
        <v>0</v>
      </c>
      <c r="P25" s="17">
        <v>0</v>
      </c>
      <c r="Q25" s="17">
        <v>0</v>
      </c>
      <c r="R25" s="17">
        <f t="shared" si="5"/>
        <v>13</v>
      </c>
      <c r="S25" s="17">
        <v>10</v>
      </c>
      <c r="T25" s="17">
        <v>0</v>
      </c>
      <c r="U25" s="17">
        <v>0</v>
      </c>
      <c r="V25" s="17">
        <v>0</v>
      </c>
      <c r="W25" s="17">
        <f t="shared" si="6"/>
        <v>10</v>
      </c>
      <c r="X25" s="17">
        <v>12</v>
      </c>
      <c r="Y25" s="17">
        <v>0</v>
      </c>
      <c r="Z25" s="17">
        <v>0</v>
      </c>
      <c r="AA25" s="17">
        <v>0</v>
      </c>
      <c r="AB25" s="17">
        <f t="shared" si="7"/>
        <v>12</v>
      </c>
      <c r="AC25" s="17">
        <v>12</v>
      </c>
      <c r="AD25" s="17">
        <v>0</v>
      </c>
      <c r="AE25" s="17">
        <v>0</v>
      </c>
      <c r="AF25" s="17">
        <v>0</v>
      </c>
      <c r="AG25" s="17">
        <f t="shared" si="8"/>
        <v>12</v>
      </c>
      <c r="AH25" s="17">
        <v>12</v>
      </c>
      <c r="AI25" s="17">
        <v>0</v>
      </c>
      <c r="AJ25" s="17">
        <v>0</v>
      </c>
      <c r="AK25" s="17">
        <v>0</v>
      </c>
      <c r="AL25" s="17">
        <f t="shared" si="9"/>
        <v>12</v>
      </c>
      <c r="AM25" s="17">
        <v>17</v>
      </c>
      <c r="AN25" s="17">
        <v>0</v>
      </c>
      <c r="AO25" s="17">
        <v>0</v>
      </c>
      <c r="AP25" s="17">
        <v>0</v>
      </c>
      <c r="AQ25" s="17">
        <f t="shared" si="10"/>
        <v>17</v>
      </c>
      <c r="AR25" s="17">
        <v>17</v>
      </c>
      <c r="AS25" s="17">
        <v>0</v>
      </c>
      <c r="AT25" s="17">
        <v>0</v>
      </c>
      <c r="AU25" s="17">
        <v>0</v>
      </c>
      <c r="AV25" s="17">
        <f t="shared" si="11"/>
        <v>17</v>
      </c>
      <c r="AW25" s="17">
        <v>10</v>
      </c>
      <c r="AX25" s="17">
        <v>0</v>
      </c>
      <c r="AY25" s="17">
        <v>0</v>
      </c>
      <c r="AZ25" s="17">
        <v>0</v>
      </c>
      <c r="BA25" s="17">
        <f t="shared" si="12"/>
        <v>10</v>
      </c>
      <c r="BB25" s="17">
        <v>10</v>
      </c>
      <c r="BC25" s="17">
        <v>0</v>
      </c>
      <c r="BD25" s="17">
        <v>0</v>
      </c>
      <c r="BE25" s="17">
        <v>0</v>
      </c>
      <c r="BF25" s="17">
        <f t="shared" si="13"/>
        <v>10</v>
      </c>
      <c r="BG25" s="17">
        <v>10</v>
      </c>
      <c r="BH25" s="17">
        <v>0</v>
      </c>
      <c r="BI25" s="17">
        <v>0</v>
      </c>
      <c r="BJ25" s="17">
        <v>0</v>
      </c>
      <c r="BK25" s="17">
        <f t="shared" si="14"/>
        <v>10</v>
      </c>
      <c r="BL25" s="17">
        <v>10</v>
      </c>
      <c r="BM25" s="17">
        <v>0</v>
      </c>
      <c r="BN25" s="17">
        <v>0</v>
      </c>
      <c r="BO25" s="17">
        <v>0</v>
      </c>
      <c r="BP25" s="17">
        <f t="shared" si="15"/>
        <v>10</v>
      </c>
      <c r="BQ25" s="17">
        <f t="shared" si="3"/>
        <v>146</v>
      </c>
      <c r="BR25" s="17">
        <f t="shared" si="3"/>
        <v>0</v>
      </c>
      <c r="BS25" s="17">
        <f t="shared" si="3"/>
        <v>0</v>
      </c>
      <c r="BT25" s="17">
        <f t="shared" si="3"/>
        <v>0</v>
      </c>
      <c r="BU25" s="17">
        <f t="shared" si="16"/>
        <v>146</v>
      </c>
    </row>
    <row r="26" spans="1:73" hidden="1" outlineLevel="1">
      <c r="A26" s="16" t="s">
        <v>33</v>
      </c>
      <c r="B26" s="17" t="s">
        <v>34</v>
      </c>
      <c r="C26" s="17" t="s">
        <v>55</v>
      </c>
      <c r="D26" s="17" t="s">
        <v>71</v>
      </c>
      <c r="E26" s="17" t="s">
        <v>72</v>
      </c>
      <c r="F26" s="18" t="s">
        <v>83</v>
      </c>
      <c r="G26" s="17" t="s">
        <v>84</v>
      </c>
      <c r="H26" s="18" t="s">
        <v>39</v>
      </c>
      <c r="I26" s="17">
        <v>9.4350993139614001</v>
      </c>
      <c r="J26" s="17">
        <v>7.5649006860385795</v>
      </c>
      <c r="K26" s="17">
        <v>0</v>
      </c>
      <c r="L26" s="17">
        <v>0</v>
      </c>
      <c r="M26" s="17">
        <f t="shared" si="4"/>
        <v>16.999999999999979</v>
      </c>
      <c r="N26" s="17">
        <v>7.4350993139614001</v>
      </c>
      <c r="O26" s="17">
        <v>7.5649006860385795</v>
      </c>
      <c r="P26" s="17">
        <v>0</v>
      </c>
      <c r="Q26" s="17">
        <v>0</v>
      </c>
      <c r="R26" s="17">
        <f t="shared" si="5"/>
        <v>14.999999999999979</v>
      </c>
      <c r="S26" s="17">
        <v>5.4350993139614001</v>
      </c>
      <c r="T26" s="17">
        <v>7.5649006860385795</v>
      </c>
      <c r="U26" s="17">
        <v>0</v>
      </c>
      <c r="V26" s="17">
        <v>0</v>
      </c>
      <c r="W26" s="17">
        <f t="shared" si="6"/>
        <v>12.999999999999979</v>
      </c>
      <c r="X26" s="17">
        <v>3.4350993139614001</v>
      </c>
      <c r="Y26" s="17">
        <v>7.5649006860385795</v>
      </c>
      <c r="Z26" s="17">
        <v>0</v>
      </c>
      <c r="AA26" s="17">
        <v>0</v>
      </c>
      <c r="AB26" s="17">
        <f t="shared" si="7"/>
        <v>10.999999999999979</v>
      </c>
      <c r="AC26" s="17">
        <v>17.435099313961402</v>
      </c>
      <c r="AD26" s="17">
        <v>7.5649006860385795</v>
      </c>
      <c r="AE26" s="17">
        <v>0</v>
      </c>
      <c r="AF26" s="17">
        <v>0</v>
      </c>
      <c r="AG26" s="17">
        <f t="shared" si="8"/>
        <v>24.999999999999982</v>
      </c>
      <c r="AH26" s="17">
        <v>11.4350993139614</v>
      </c>
      <c r="AI26" s="17">
        <v>7.5649006860385795</v>
      </c>
      <c r="AJ26" s="17">
        <v>0</v>
      </c>
      <c r="AK26" s="17">
        <v>0</v>
      </c>
      <c r="AL26" s="17">
        <f t="shared" si="9"/>
        <v>18.999999999999979</v>
      </c>
      <c r="AM26" s="17">
        <v>36</v>
      </c>
      <c r="AN26" s="17">
        <v>10</v>
      </c>
      <c r="AO26" s="17">
        <v>0</v>
      </c>
      <c r="AP26" s="17">
        <v>0</v>
      </c>
      <c r="AQ26" s="17">
        <f t="shared" si="10"/>
        <v>46</v>
      </c>
      <c r="AR26" s="17">
        <v>36</v>
      </c>
      <c r="AS26" s="17">
        <v>10</v>
      </c>
      <c r="AT26" s="17">
        <v>0</v>
      </c>
      <c r="AU26" s="17">
        <v>0</v>
      </c>
      <c r="AV26" s="17">
        <f t="shared" si="11"/>
        <v>46</v>
      </c>
      <c r="AW26" s="17">
        <v>16.435099313961398</v>
      </c>
      <c r="AX26" s="17">
        <v>7.5649006860385795</v>
      </c>
      <c r="AY26" s="17">
        <v>0</v>
      </c>
      <c r="AZ26" s="17">
        <v>0</v>
      </c>
      <c r="BA26" s="17">
        <f t="shared" si="12"/>
        <v>23.999999999999979</v>
      </c>
      <c r="BB26" s="17">
        <v>16.435099313961398</v>
      </c>
      <c r="BC26" s="17">
        <v>7.5649006860385795</v>
      </c>
      <c r="BD26" s="17">
        <v>0</v>
      </c>
      <c r="BE26" s="17">
        <v>0</v>
      </c>
      <c r="BF26" s="17">
        <f t="shared" si="13"/>
        <v>23.999999999999979</v>
      </c>
      <c r="BG26" s="17">
        <v>14.4350993139614</v>
      </c>
      <c r="BH26" s="17">
        <v>7.5649006860385795</v>
      </c>
      <c r="BI26" s="17">
        <v>0</v>
      </c>
      <c r="BJ26" s="17">
        <v>0</v>
      </c>
      <c r="BK26" s="17">
        <f t="shared" si="14"/>
        <v>21.999999999999979</v>
      </c>
      <c r="BL26" s="17">
        <v>14.4350993139614</v>
      </c>
      <c r="BM26" s="17">
        <v>7.5649006860385795</v>
      </c>
      <c r="BN26" s="17">
        <v>0</v>
      </c>
      <c r="BO26" s="17">
        <v>0</v>
      </c>
      <c r="BP26" s="17">
        <f t="shared" si="15"/>
        <v>21.999999999999979</v>
      </c>
      <c r="BQ26" s="17">
        <f t="shared" si="3"/>
        <v>188.35099313961393</v>
      </c>
      <c r="BR26" s="17">
        <f t="shared" si="3"/>
        <v>95.649006860385811</v>
      </c>
      <c r="BS26" s="17">
        <f t="shared" si="3"/>
        <v>0</v>
      </c>
      <c r="BT26" s="17">
        <f t="shared" si="3"/>
        <v>0</v>
      </c>
      <c r="BU26" s="17">
        <f t="shared" si="16"/>
        <v>283.99999999999977</v>
      </c>
    </row>
    <row r="27" spans="1:73" hidden="1" outlineLevel="1">
      <c r="A27" s="16" t="s">
        <v>33</v>
      </c>
      <c r="B27" s="17" t="s">
        <v>34</v>
      </c>
      <c r="C27" s="17" t="s">
        <v>55</v>
      </c>
      <c r="D27" s="17" t="s">
        <v>71</v>
      </c>
      <c r="E27" s="17" t="s">
        <v>72</v>
      </c>
      <c r="F27" s="18" t="s">
        <v>85</v>
      </c>
      <c r="G27" s="17" t="s">
        <v>86</v>
      </c>
      <c r="H27" s="18" t="s">
        <v>64</v>
      </c>
      <c r="I27" s="17">
        <v>45.021898602417991</v>
      </c>
      <c r="J27" s="17">
        <v>0</v>
      </c>
      <c r="K27" s="17">
        <v>0</v>
      </c>
      <c r="L27" s="17">
        <v>0</v>
      </c>
      <c r="M27" s="17">
        <f t="shared" si="4"/>
        <v>45.021898602417991</v>
      </c>
      <c r="N27" s="17">
        <v>45.021898602417991</v>
      </c>
      <c r="O27" s="17">
        <v>0</v>
      </c>
      <c r="P27" s="17">
        <v>0</v>
      </c>
      <c r="Q27" s="17">
        <v>0</v>
      </c>
      <c r="R27" s="17">
        <f t="shared" si="5"/>
        <v>45.021898602417991</v>
      </c>
      <c r="S27" s="17">
        <v>45.021898602417991</v>
      </c>
      <c r="T27" s="17">
        <v>0</v>
      </c>
      <c r="U27" s="17">
        <v>0</v>
      </c>
      <c r="V27" s="17">
        <v>0</v>
      </c>
      <c r="W27" s="17">
        <f t="shared" si="6"/>
        <v>45.021898602417991</v>
      </c>
      <c r="X27" s="17">
        <v>55.026764958510874</v>
      </c>
      <c r="Y27" s="17">
        <v>0</v>
      </c>
      <c r="Z27" s="17">
        <v>0</v>
      </c>
      <c r="AA27" s="17">
        <v>0</v>
      </c>
      <c r="AB27" s="17">
        <f t="shared" si="7"/>
        <v>55.026764958510874</v>
      </c>
      <c r="AC27" s="17">
        <v>55.026764958510874</v>
      </c>
      <c r="AD27" s="17">
        <v>0</v>
      </c>
      <c r="AE27" s="17">
        <v>0</v>
      </c>
      <c r="AF27" s="17">
        <v>0</v>
      </c>
      <c r="AG27" s="17">
        <f t="shared" si="8"/>
        <v>55.026764958510874</v>
      </c>
      <c r="AH27" s="17">
        <v>30.014599068278663</v>
      </c>
      <c r="AI27" s="17">
        <v>0</v>
      </c>
      <c r="AJ27" s="17">
        <v>0</v>
      </c>
      <c r="AK27" s="17">
        <v>0</v>
      </c>
      <c r="AL27" s="17">
        <f t="shared" si="9"/>
        <v>30.014599068278663</v>
      </c>
      <c r="AM27" s="17">
        <v>25.012165890232218</v>
      </c>
      <c r="AN27" s="17">
        <v>0</v>
      </c>
      <c r="AO27" s="17">
        <v>0</v>
      </c>
      <c r="AP27" s="17">
        <v>0</v>
      </c>
      <c r="AQ27" s="17">
        <f t="shared" si="10"/>
        <v>25.012165890232218</v>
      </c>
      <c r="AR27" s="17">
        <v>40.019465424371546</v>
      </c>
      <c r="AS27" s="17">
        <v>0</v>
      </c>
      <c r="AT27" s="17">
        <v>0</v>
      </c>
      <c r="AU27" s="17">
        <v>0</v>
      </c>
      <c r="AV27" s="17">
        <f t="shared" si="11"/>
        <v>40.019465424371546</v>
      </c>
      <c r="AW27" s="17">
        <v>55.026764958510874</v>
      </c>
      <c r="AX27" s="17">
        <v>0</v>
      </c>
      <c r="AY27" s="17">
        <v>0</v>
      </c>
      <c r="AZ27" s="17">
        <v>0</v>
      </c>
      <c r="BA27" s="17">
        <f t="shared" si="12"/>
        <v>55.026764958510874</v>
      </c>
      <c r="BB27" s="17">
        <v>55.026764958510874</v>
      </c>
      <c r="BC27" s="17">
        <v>0</v>
      </c>
      <c r="BD27" s="17">
        <v>0</v>
      </c>
      <c r="BE27" s="17">
        <v>0</v>
      </c>
      <c r="BF27" s="17">
        <f t="shared" si="13"/>
        <v>55.026764958510874</v>
      </c>
      <c r="BG27" s="17">
        <v>55.026764958510874</v>
      </c>
      <c r="BH27" s="17">
        <v>0</v>
      </c>
      <c r="BI27" s="17">
        <v>0</v>
      </c>
      <c r="BJ27" s="17">
        <v>0</v>
      </c>
      <c r="BK27" s="17">
        <f t="shared" si="14"/>
        <v>55.026764958510874</v>
      </c>
      <c r="BL27" s="17">
        <v>55.026764958510874</v>
      </c>
      <c r="BM27" s="17">
        <v>0</v>
      </c>
      <c r="BN27" s="17">
        <v>0</v>
      </c>
      <c r="BO27" s="17">
        <v>0</v>
      </c>
      <c r="BP27" s="17">
        <f t="shared" si="15"/>
        <v>55.026764958510874</v>
      </c>
      <c r="BQ27" s="17">
        <f t="shared" si="3"/>
        <v>560.2725159412015</v>
      </c>
      <c r="BR27" s="17">
        <f t="shared" si="3"/>
        <v>0</v>
      </c>
      <c r="BS27" s="17">
        <f t="shared" si="3"/>
        <v>0</v>
      </c>
      <c r="BT27" s="17">
        <f t="shared" si="3"/>
        <v>0</v>
      </c>
      <c r="BU27" s="17">
        <f t="shared" si="16"/>
        <v>560.2725159412015</v>
      </c>
    </row>
    <row r="28" spans="1:73" hidden="1" outlineLevel="1">
      <c r="A28" s="16" t="s">
        <v>33</v>
      </c>
      <c r="B28" s="17" t="s">
        <v>34</v>
      </c>
      <c r="C28" s="17" t="s">
        <v>55</v>
      </c>
      <c r="D28" s="17" t="s">
        <v>71</v>
      </c>
      <c r="E28" s="17" t="s">
        <v>72</v>
      </c>
      <c r="F28" s="18" t="s">
        <v>87</v>
      </c>
      <c r="G28" s="17" t="s">
        <v>88</v>
      </c>
      <c r="H28" s="18" t="s">
        <v>45</v>
      </c>
      <c r="I28" s="17">
        <v>80</v>
      </c>
      <c r="J28" s="17">
        <v>920</v>
      </c>
      <c r="K28" s="17">
        <v>0</v>
      </c>
      <c r="L28" s="17">
        <v>0</v>
      </c>
      <c r="M28" s="17">
        <f t="shared" si="4"/>
        <v>1000</v>
      </c>
      <c r="N28" s="17">
        <v>226</v>
      </c>
      <c r="O28" s="17">
        <v>681</v>
      </c>
      <c r="P28" s="17">
        <v>0</v>
      </c>
      <c r="Q28" s="17">
        <v>0</v>
      </c>
      <c r="R28" s="17">
        <f t="shared" si="5"/>
        <v>907</v>
      </c>
      <c r="S28" s="17">
        <v>186.5285999757397</v>
      </c>
      <c r="T28" s="17">
        <v>827.06149167121191</v>
      </c>
      <c r="U28" s="17">
        <v>0</v>
      </c>
      <c r="V28" s="17">
        <v>0</v>
      </c>
      <c r="W28" s="17">
        <f t="shared" si="6"/>
        <v>1013.5900916469516</v>
      </c>
      <c r="X28" s="17">
        <v>180</v>
      </c>
      <c r="Y28" s="17">
        <v>965.83010841154953</v>
      </c>
      <c r="Z28" s="17">
        <v>0</v>
      </c>
      <c r="AA28" s="17">
        <v>0</v>
      </c>
      <c r="AB28" s="17">
        <f t="shared" si="7"/>
        <v>1145.8301084115496</v>
      </c>
      <c r="AC28" s="17">
        <v>182</v>
      </c>
      <c r="AD28" s="17">
        <v>910.05520000000001</v>
      </c>
      <c r="AE28" s="17">
        <v>0</v>
      </c>
      <c r="AF28" s="17">
        <v>0</v>
      </c>
      <c r="AG28" s="17">
        <f t="shared" si="8"/>
        <v>1092.0552</v>
      </c>
      <c r="AH28" s="17">
        <v>295.08240000000001</v>
      </c>
      <c r="AI28" s="17">
        <v>921.8</v>
      </c>
      <c r="AJ28" s="17">
        <v>0</v>
      </c>
      <c r="AK28" s="17">
        <v>0</v>
      </c>
      <c r="AL28" s="17">
        <f t="shared" si="9"/>
        <v>1216.8824</v>
      </c>
      <c r="AM28" s="17">
        <v>326.72640000000001</v>
      </c>
      <c r="AN28" s="17">
        <v>899</v>
      </c>
      <c r="AO28" s="17">
        <v>0</v>
      </c>
      <c r="AP28" s="17">
        <v>0</v>
      </c>
      <c r="AQ28" s="17">
        <f t="shared" si="10"/>
        <v>1225.7264</v>
      </c>
      <c r="AR28" s="17">
        <v>270.13392493866871</v>
      </c>
      <c r="AS28" s="17">
        <v>968</v>
      </c>
      <c r="AT28" s="17">
        <v>0</v>
      </c>
      <c r="AU28" s="17">
        <v>0</v>
      </c>
      <c r="AV28" s="17">
        <f t="shared" si="11"/>
        <v>1238.1339249386688</v>
      </c>
      <c r="AW28" s="17">
        <v>264.89923209311723</v>
      </c>
      <c r="AX28" s="17">
        <v>774</v>
      </c>
      <c r="AY28" s="17">
        <v>0</v>
      </c>
      <c r="AZ28" s="17">
        <v>0</v>
      </c>
      <c r="BA28" s="17">
        <f t="shared" si="12"/>
        <v>1038.8992320931172</v>
      </c>
      <c r="BB28" s="17">
        <v>273.0202780936645</v>
      </c>
      <c r="BC28" s="17">
        <v>727</v>
      </c>
      <c r="BD28" s="17">
        <v>0</v>
      </c>
      <c r="BE28" s="17">
        <v>0</v>
      </c>
      <c r="BF28" s="17">
        <f t="shared" si="13"/>
        <v>1000.0202780936645</v>
      </c>
      <c r="BG28" s="17">
        <v>245.5</v>
      </c>
      <c r="BH28" s="17">
        <v>741.25033672656571</v>
      </c>
      <c r="BI28" s="17">
        <v>0</v>
      </c>
      <c r="BJ28" s="17">
        <v>0</v>
      </c>
      <c r="BK28" s="17">
        <f t="shared" si="14"/>
        <v>986.75033672656571</v>
      </c>
      <c r="BL28" s="17">
        <v>233</v>
      </c>
      <c r="BM28" s="17">
        <v>684</v>
      </c>
      <c r="BN28" s="17">
        <v>0</v>
      </c>
      <c r="BO28" s="17">
        <v>0</v>
      </c>
      <c r="BP28" s="17">
        <f t="shared" si="15"/>
        <v>917</v>
      </c>
      <c r="BQ28" s="17">
        <f t="shared" si="3"/>
        <v>2762.8908351011905</v>
      </c>
      <c r="BR28" s="17">
        <f t="shared" si="3"/>
        <v>10018.997136809327</v>
      </c>
      <c r="BS28" s="17">
        <f t="shared" si="3"/>
        <v>0</v>
      </c>
      <c r="BT28" s="17">
        <f t="shared" si="3"/>
        <v>0</v>
      </c>
      <c r="BU28" s="17">
        <f t="shared" si="16"/>
        <v>12781.887971910517</v>
      </c>
    </row>
    <row r="29" spans="1:73" hidden="1" outlineLevel="1">
      <c r="A29" s="16" t="s">
        <v>33</v>
      </c>
      <c r="B29" s="17" t="s">
        <v>34</v>
      </c>
      <c r="C29" s="17" t="s">
        <v>55</v>
      </c>
      <c r="D29" s="17" t="s">
        <v>89</v>
      </c>
      <c r="E29" s="17" t="s">
        <v>90</v>
      </c>
      <c r="F29" s="23" t="s">
        <v>91</v>
      </c>
      <c r="G29" s="23" t="s">
        <v>92</v>
      </c>
      <c r="H29" s="18" t="s">
        <v>45</v>
      </c>
      <c r="I29" s="17">
        <v>78.930341897056863</v>
      </c>
      <c r="J29" s="17">
        <v>418.96738138070543</v>
      </c>
      <c r="K29" s="17">
        <v>0.13954591872052702</v>
      </c>
      <c r="L29" s="17">
        <v>0</v>
      </c>
      <c r="M29" s="17">
        <f t="shared" si="4"/>
        <v>498.03726919648278</v>
      </c>
      <c r="N29" s="17">
        <v>36.213521425736637</v>
      </c>
      <c r="O29" s="17">
        <v>445.9</v>
      </c>
      <c r="P29" s="17">
        <v>0</v>
      </c>
      <c r="Q29" s="17">
        <v>0</v>
      </c>
      <c r="R29" s="17">
        <f t="shared" si="5"/>
        <v>482.11352142573662</v>
      </c>
      <c r="S29" s="17">
        <v>99.660428272976162</v>
      </c>
      <c r="T29" s="17">
        <v>396.17285495205408</v>
      </c>
      <c r="U29" s="17">
        <v>0.13954591872052702</v>
      </c>
      <c r="V29" s="17">
        <v>0</v>
      </c>
      <c r="W29" s="17">
        <f t="shared" si="6"/>
        <v>495.97282914375074</v>
      </c>
      <c r="X29" s="17">
        <v>140.30000000000001</v>
      </c>
      <c r="Y29" s="17">
        <v>358.85303509123111</v>
      </c>
      <c r="Z29" s="17">
        <v>1</v>
      </c>
      <c r="AA29" s="17">
        <v>0</v>
      </c>
      <c r="AB29" s="17">
        <f t="shared" si="7"/>
        <v>500.15303509123112</v>
      </c>
      <c r="AC29" s="17">
        <v>147.69999999999999</v>
      </c>
      <c r="AD29" s="17">
        <v>353</v>
      </c>
      <c r="AE29" s="17">
        <v>0.14884897996856217</v>
      </c>
      <c r="AF29" s="17">
        <v>0</v>
      </c>
      <c r="AG29" s="17">
        <f t="shared" si="8"/>
        <v>500.84884897996852</v>
      </c>
      <c r="AH29" s="17">
        <v>166.9</v>
      </c>
      <c r="AI29" s="17">
        <v>333.20120870833767</v>
      </c>
      <c r="AJ29" s="17">
        <v>2</v>
      </c>
      <c r="AK29" s="17">
        <v>0</v>
      </c>
      <c r="AL29" s="17">
        <f t="shared" si="9"/>
        <v>502.10120870833771</v>
      </c>
      <c r="AM29" s="17">
        <v>167.41327000000001</v>
      </c>
      <c r="AN29" s="17">
        <v>341.49264099999999</v>
      </c>
      <c r="AO29" s="17">
        <v>0.15505102080058555</v>
      </c>
      <c r="AP29" s="17">
        <v>0</v>
      </c>
      <c r="AQ29" s="17">
        <f t="shared" si="10"/>
        <v>509.06096202080062</v>
      </c>
      <c r="AR29" s="17">
        <v>153.6</v>
      </c>
      <c r="AS29" s="17">
        <v>347.4</v>
      </c>
      <c r="AT29" s="17">
        <v>0.15505102080058555</v>
      </c>
      <c r="AU29" s="17">
        <v>0</v>
      </c>
      <c r="AV29" s="17">
        <f t="shared" si="11"/>
        <v>501.15505102080061</v>
      </c>
      <c r="AW29" s="17">
        <v>131.6</v>
      </c>
      <c r="AX29" s="17">
        <v>373.52499999999998</v>
      </c>
      <c r="AY29" s="17">
        <v>1.8555790000000001</v>
      </c>
      <c r="AZ29" s="17">
        <v>0</v>
      </c>
      <c r="BA29" s="17">
        <f t="shared" si="12"/>
        <v>506.98057899999998</v>
      </c>
      <c r="BB29" s="17">
        <v>135.85</v>
      </c>
      <c r="BC29" s="17">
        <v>373.4</v>
      </c>
      <c r="BD29" s="17">
        <v>0.2</v>
      </c>
      <c r="BE29" s="17">
        <v>0</v>
      </c>
      <c r="BF29" s="17">
        <f t="shared" si="13"/>
        <v>509.45</v>
      </c>
      <c r="BG29" s="17">
        <v>129.80000000000001</v>
      </c>
      <c r="BH29" s="17">
        <v>361</v>
      </c>
      <c r="BI29" s="17">
        <v>0.1551111454030521</v>
      </c>
      <c r="BJ29" s="17">
        <v>0</v>
      </c>
      <c r="BK29" s="17">
        <f t="shared" si="14"/>
        <v>490.95511114540307</v>
      </c>
      <c r="BL29" s="17">
        <v>134.80000000000001</v>
      </c>
      <c r="BM29" s="17">
        <v>358</v>
      </c>
      <c r="BN29" s="17">
        <v>0.1551111454030521</v>
      </c>
      <c r="BO29" s="17">
        <v>0</v>
      </c>
      <c r="BP29" s="17">
        <f t="shared" si="15"/>
        <v>492.95511114540307</v>
      </c>
      <c r="BQ29" s="17">
        <f t="shared" si="3"/>
        <v>1522.7675615957696</v>
      </c>
      <c r="BR29" s="17">
        <f t="shared" si="3"/>
        <v>4460.9121211323281</v>
      </c>
      <c r="BS29" s="17">
        <f t="shared" si="3"/>
        <v>6.1038441498168918</v>
      </c>
      <c r="BT29" s="17">
        <f t="shared" si="3"/>
        <v>0</v>
      </c>
      <c r="BU29" s="17">
        <f t="shared" si="16"/>
        <v>5989.7835268779145</v>
      </c>
    </row>
    <row r="30" spans="1:73" hidden="1" outlineLevel="1">
      <c r="A30" s="16" t="s">
        <v>33</v>
      </c>
      <c r="B30" s="17" t="s">
        <v>34</v>
      </c>
      <c r="C30" s="17" t="s">
        <v>55</v>
      </c>
      <c r="D30" s="17" t="s">
        <v>89</v>
      </c>
      <c r="E30" s="17" t="s">
        <v>90</v>
      </c>
      <c r="F30" s="18" t="s">
        <v>93</v>
      </c>
      <c r="G30" s="17" t="s">
        <v>94</v>
      </c>
      <c r="H30" s="18" t="s">
        <v>39</v>
      </c>
      <c r="I30" s="17">
        <v>19</v>
      </c>
      <c r="J30" s="17">
        <v>0</v>
      </c>
      <c r="K30" s="17">
        <v>0</v>
      </c>
      <c r="L30" s="17">
        <v>0</v>
      </c>
      <c r="M30" s="17">
        <f t="shared" si="4"/>
        <v>19</v>
      </c>
      <c r="N30" s="17">
        <v>28</v>
      </c>
      <c r="O30" s="17">
        <v>0</v>
      </c>
      <c r="P30" s="17">
        <v>0</v>
      </c>
      <c r="Q30" s="17">
        <v>0</v>
      </c>
      <c r="R30" s="17">
        <f t="shared" si="5"/>
        <v>28</v>
      </c>
      <c r="S30" s="17">
        <v>7</v>
      </c>
      <c r="T30" s="17">
        <v>0</v>
      </c>
      <c r="U30" s="17">
        <v>0</v>
      </c>
      <c r="V30" s="17">
        <v>0</v>
      </c>
      <c r="W30" s="17">
        <f t="shared" si="6"/>
        <v>7</v>
      </c>
      <c r="X30" s="17">
        <v>7</v>
      </c>
      <c r="Y30" s="17">
        <v>0</v>
      </c>
      <c r="Z30" s="17">
        <v>0</v>
      </c>
      <c r="AA30" s="17">
        <v>0</v>
      </c>
      <c r="AB30" s="17">
        <f t="shared" si="7"/>
        <v>7</v>
      </c>
      <c r="AC30" s="17">
        <v>7</v>
      </c>
      <c r="AD30" s="17">
        <v>0</v>
      </c>
      <c r="AE30" s="17">
        <v>0</v>
      </c>
      <c r="AF30" s="17">
        <v>0</v>
      </c>
      <c r="AG30" s="17">
        <f t="shared" si="8"/>
        <v>7</v>
      </c>
      <c r="AH30" s="17">
        <v>16</v>
      </c>
      <c r="AI30" s="17">
        <v>0</v>
      </c>
      <c r="AJ30" s="17">
        <v>0</v>
      </c>
      <c r="AK30" s="17">
        <v>0</v>
      </c>
      <c r="AL30" s="17">
        <f t="shared" si="9"/>
        <v>16</v>
      </c>
      <c r="AM30" s="17">
        <v>12.5</v>
      </c>
      <c r="AN30" s="17">
        <v>0</v>
      </c>
      <c r="AO30" s="17">
        <v>0</v>
      </c>
      <c r="AP30" s="17">
        <v>0</v>
      </c>
      <c r="AQ30" s="17">
        <f t="shared" si="10"/>
        <v>12.5</v>
      </c>
      <c r="AR30" s="17">
        <v>6</v>
      </c>
      <c r="AS30" s="17">
        <v>0</v>
      </c>
      <c r="AT30" s="17">
        <v>0</v>
      </c>
      <c r="AU30" s="17">
        <v>0</v>
      </c>
      <c r="AV30" s="17">
        <f t="shared" si="11"/>
        <v>6</v>
      </c>
      <c r="AW30" s="17">
        <v>13</v>
      </c>
      <c r="AX30" s="17">
        <v>0</v>
      </c>
      <c r="AY30" s="17">
        <v>0</v>
      </c>
      <c r="AZ30" s="17">
        <v>0</v>
      </c>
      <c r="BA30" s="17">
        <f t="shared" si="12"/>
        <v>13</v>
      </c>
      <c r="BB30" s="17">
        <v>13.5</v>
      </c>
      <c r="BC30" s="17">
        <v>0</v>
      </c>
      <c r="BD30" s="17">
        <v>0</v>
      </c>
      <c r="BE30" s="17">
        <v>0</v>
      </c>
      <c r="BF30" s="17">
        <f t="shared" si="13"/>
        <v>13.5</v>
      </c>
      <c r="BG30" s="17">
        <v>12.5</v>
      </c>
      <c r="BH30" s="17">
        <v>0</v>
      </c>
      <c r="BI30" s="17">
        <v>0</v>
      </c>
      <c r="BJ30" s="17">
        <v>0</v>
      </c>
      <c r="BK30" s="17">
        <f t="shared" si="14"/>
        <v>12.5</v>
      </c>
      <c r="BL30" s="17">
        <v>12</v>
      </c>
      <c r="BM30" s="17">
        <v>0</v>
      </c>
      <c r="BN30" s="17">
        <v>0</v>
      </c>
      <c r="BO30" s="17">
        <v>0</v>
      </c>
      <c r="BP30" s="17">
        <f t="shared" si="15"/>
        <v>12</v>
      </c>
      <c r="BQ30" s="17">
        <f t="shared" si="3"/>
        <v>153.5</v>
      </c>
      <c r="BR30" s="17">
        <f t="shared" si="3"/>
        <v>0</v>
      </c>
      <c r="BS30" s="17">
        <f t="shared" si="3"/>
        <v>0</v>
      </c>
      <c r="BT30" s="17">
        <f t="shared" si="3"/>
        <v>0</v>
      </c>
      <c r="BU30" s="17">
        <f t="shared" si="16"/>
        <v>153.5</v>
      </c>
    </row>
    <row r="31" spans="1:73" hidden="1" outlineLevel="1">
      <c r="A31" s="16" t="s">
        <v>33</v>
      </c>
      <c r="B31" s="17" t="s">
        <v>34</v>
      </c>
      <c r="C31" s="17" t="s">
        <v>55</v>
      </c>
      <c r="D31" s="17" t="s">
        <v>89</v>
      </c>
      <c r="E31" s="17" t="s">
        <v>90</v>
      </c>
      <c r="F31" s="18" t="s">
        <v>95</v>
      </c>
      <c r="G31" s="17" t="s">
        <v>96</v>
      </c>
      <c r="H31" s="18" t="s">
        <v>39</v>
      </c>
      <c r="I31" s="17">
        <v>6.5</v>
      </c>
      <c r="J31" s="17">
        <v>0</v>
      </c>
      <c r="K31" s="17">
        <v>0</v>
      </c>
      <c r="L31" s="17">
        <v>0</v>
      </c>
      <c r="M31" s="17">
        <f t="shared" si="4"/>
        <v>6.5</v>
      </c>
      <c r="N31" s="17">
        <v>7</v>
      </c>
      <c r="O31" s="17">
        <v>0</v>
      </c>
      <c r="P31" s="17">
        <v>0</v>
      </c>
      <c r="Q31" s="17">
        <v>0</v>
      </c>
      <c r="R31" s="17">
        <f t="shared" si="5"/>
        <v>7</v>
      </c>
      <c r="S31" s="17">
        <v>6.5</v>
      </c>
      <c r="T31" s="17">
        <v>0</v>
      </c>
      <c r="U31" s="17">
        <v>0</v>
      </c>
      <c r="V31" s="17">
        <v>0</v>
      </c>
      <c r="W31" s="17">
        <f t="shared" si="6"/>
        <v>6.5</v>
      </c>
      <c r="X31" s="17">
        <v>7</v>
      </c>
      <c r="Y31" s="17">
        <v>0</v>
      </c>
      <c r="Z31" s="17">
        <v>0</v>
      </c>
      <c r="AA31" s="17">
        <v>0</v>
      </c>
      <c r="AB31" s="17">
        <f t="shared" si="7"/>
        <v>7</v>
      </c>
      <c r="AC31" s="17">
        <v>6.5</v>
      </c>
      <c r="AD31" s="17">
        <v>0</v>
      </c>
      <c r="AE31" s="17">
        <v>0</v>
      </c>
      <c r="AF31" s="17">
        <v>0</v>
      </c>
      <c r="AG31" s="17">
        <f t="shared" si="8"/>
        <v>6.5</v>
      </c>
      <c r="AH31" s="17">
        <v>7</v>
      </c>
      <c r="AI31" s="17">
        <v>0</v>
      </c>
      <c r="AJ31" s="17">
        <v>0</v>
      </c>
      <c r="AK31" s="17">
        <v>0</v>
      </c>
      <c r="AL31" s="17">
        <f t="shared" si="9"/>
        <v>7</v>
      </c>
      <c r="AM31" s="17">
        <v>6.5</v>
      </c>
      <c r="AN31" s="17">
        <v>0</v>
      </c>
      <c r="AO31" s="17">
        <v>0</v>
      </c>
      <c r="AP31" s="17">
        <v>0</v>
      </c>
      <c r="AQ31" s="17">
        <f t="shared" si="10"/>
        <v>6.5</v>
      </c>
      <c r="AR31" s="17">
        <v>6.5</v>
      </c>
      <c r="AS31" s="17">
        <v>0</v>
      </c>
      <c r="AT31" s="17">
        <v>0</v>
      </c>
      <c r="AU31" s="17">
        <v>0</v>
      </c>
      <c r="AV31" s="17">
        <f t="shared" si="11"/>
        <v>6.5</v>
      </c>
      <c r="AW31" s="17">
        <v>6.5</v>
      </c>
      <c r="AX31" s="17">
        <v>0</v>
      </c>
      <c r="AY31" s="17">
        <v>0</v>
      </c>
      <c r="AZ31" s="17">
        <v>0</v>
      </c>
      <c r="BA31" s="17">
        <f t="shared" si="12"/>
        <v>6.5</v>
      </c>
      <c r="BB31" s="17">
        <v>6.5</v>
      </c>
      <c r="BC31" s="17">
        <v>0</v>
      </c>
      <c r="BD31" s="17">
        <v>0</v>
      </c>
      <c r="BE31" s="17">
        <v>0</v>
      </c>
      <c r="BF31" s="17">
        <f t="shared" si="13"/>
        <v>6.5</v>
      </c>
      <c r="BG31" s="17">
        <v>6.5</v>
      </c>
      <c r="BH31" s="17">
        <v>0</v>
      </c>
      <c r="BI31" s="17">
        <v>0</v>
      </c>
      <c r="BJ31" s="17">
        <v>0</v>
      </c>
      <c r="BK31" s="17">
        <f t="shared" si="14"/>
        <v>6.5</v>
      </c>
      <c r="BL31" s="17">
        <v>6.5</v>
      </c>
      <c r="BM31" s="17">
        <v>0</v>
      </c>
      <c r="BN31" s="17">
        <v>0</v>
      </c>
      <c r="BO31" s="17">
        <v>0</v>
      </c>
      <c r="BP31" s="17">
        <f t="shared" si="15"/>
        <v>6.5</v>
      </c>
      <c r="BQ31" s="17">
        <f t="shared" si="3"/>
        <v>79.5</v>
      </c>
      <c r="BR31" s="17">
        <f t="shared" si="3"/>
        <v>0</v>
      </c>
      <c r="BS31" s="17">
        <f t="shared" si="3"/>
        <v>0</v>
      </c>
      <c r="BT31" s="17">
        <f t="shared" si="3"/>
        <v>0</v>
      </c>
      <c r="BU31" s="17">
        <f t="shared" si="16"/>
        <v>79.5</v>
      </c>
    </row>
    <row r="32" spans="1:73" hidden="1" outlineLevel="1">
      <c r="A32" s="16" t="s">
        <v>33</v>
      </c>
      <c r="B32" s="17" t="s">
        <v>34</v>
      </c>
      <c r="C32" s="17" t="s">
        <v>55</v>
      </c>
      <c r="D32" s="17" t="s">
        <v>89</v>
      </c>
      <c r="E32" s="17" t="s">
        <v>90</v>
      </c>
      <c r="F32" s="18" t="s">
        <v>97</v>
      </c>
      <c r="G32" s="17" t="s">
        <v>98</v>
      </c>
      <c r="H32" s="18" t="s">
        <v>45</v>
      </c>
      <c r="I32" s="17">
        <v>46.527212541872032</v>
      </c>
      <c r="J32" s="17">
        <v>28.438432581561006</v>
      </c>
      <c r="K32" s="17">
        <v>0.12482872586345381</v>
      </c>
      <c r="L32" s="17">
        <v>0</v>
      </c>
      <c r="M32" s="17">
        <f t="shared" si="4"/>
        <v>75.090473849296487</v>
      </c>
      <c r="N32" s="17">
        <v>56.9</v>
      </c>
      <c r="O32" s="17">
        <v>13.5</v>
      </c>
      <c r="P32" s="17">
        <v>0</v>
      </c>
      <c r="Q32" s="17">
        <v>0</v>
      </c>
      <c r="R32" s="17">
        <f t="shared" si="5"/>
        <v>70.400000000000006</v>
      </c>
      <c r="S32" s="17">
        <v>47.98942055973373</v>
      </c>
      <c r="T32" s="17">
        <v>26.338432581561008</v>
      </c>
      <c r="U32" s="17">
        <v>0.8</v>
      </c>
      <c r="V32" s="17">
        <v>0</v>
      </c>
      <c r="W32" s="17">
        <f t="shared" si="6"/>
        <v>75.127853141294736</v>
      </c>
      <c r="X32" s="17">
        <v>42.900962704460177</v>
      </c>
      <c r="Y32" s="17">
        <v>37.109212688516052</v>
      </c>
      <c r="Z32" s="17">
        <v>0.13263052122991967</v>
      </c>
      <c r="AA32" s="17">
        <v>0</v>
      </c>
      <c r="AB32" s="17">
        <f t="shared" si="7"/>
        <v>80.14280591420615</v>
      </c>
      <c r="AC32" s="17">
        <v>58.800830814515102</v>
      </c>
      <c r="AD32" s="17">
        <v>21.203050701168291</v>
      </c>
      <c r="AE32" s="17">
        <v>0.13263052122991967</v>
      </c>
      <c r="AF32" s="17">
        <v>0</v>
      </c>
      <c r="AG32" s="17">
        <f t="shared" si="8"/>
        <v>80.136512036913302</v>
      </c>
      <c r="AH32" s="17">
        <v>53.213847251256638</v>
      </c>
      <c r="AI32" s="17">
        <v>26.338432581561008</v>
      </c>
      <c r="AJ32" s="17">
        <v>0.8</v>
      </c>
      <c r="AK32" s="17">
        <v>0</v>
      </c>
      <c r="AL32" s="17">
        <f t="shared" si="9"/>
        <v>80.352279832817644</v>
      </c>
      <c r="AM32" s="17">
        <v>48.427639841842165</v>
      </c>
      <c r="AN32" s="17">
        <v>37.426317824485686</v>
      </c>
      <c r="AO32" s="17">
        <v>0</v>
      </c>
      <c r="AP32" s="17">
        <v>0</v>
      </c>
      <c r="AQ32" s="17">
        <f t="shared" si="10"/>
        <v>85.853957666327858</v>
      </c>
      <c r="AR32" s="17">
        <v>50.2</v>
      </c>
      <c r="AS32" s="17">
        <v>35.200000000000003</v>
      </c>
      <c r="AT32" s="17">
        <v>0</v>
      </c>
      <c r="AU32" s="17">
        <v>0</v>
      </c>
      <c r="AV32" s="17">
        <f t="shared" si="11"/>
        <v>85.4</v>
      </c>
      <c r="AW32" s="17">
        <v>50.418114109606023</v>
      </c>
      <c r="AX32" s="17">
        <v>36.65981325772308</v>
      </c>
      <c r="AY32" s="17">
        <v>0.14043231659638553</v>
      </c>
      <c r="AZ32" s="17">
        <v>0</v>
      </c>
      <c r="BA32" s="17">
        <f t="shared" si="12"/>
        <v>87.218359683925485</v>
      </c>
      <c r="BB32" s="17">
        <v>45.463802678054023</v>
      </c>
      <c r="BC32" s="17">
        <v>34.623156965627352</v>
      </c>
      <c r="BD32" s="17">
        <v>0.13263052122991967</v>
      </c>
      <c r="BE32" s="17">
        <v>0</v>
      </c>
      <c r="BF32" s="17">
        <f t="shared" si="13"/>
        <v>80.219590164911295</v>
      </c>
      <c r="BG32" s="17">
        <v>45.689420559733733</v>
      </c>
      <c r="BH32" s="17">
        <v>34.700000000000003</v>
      </c>
      <c r="BI32" s="17">
        <v>0.12482872586345381</v>
      </c>
      <c r="BJ32" s="17">
        <v>0</v>
      </c>
      <c r="BK32" s="17">
        <f t="shared" si="14"/>
        <v>80.514249285597188</v>
      </c>
      <c r="BL32" s="17">
        <v>45.59957270002986</v>
      </c>
      <c r="BM32" s="17">
        <v>34.700000000000003</v>
      </c>
      <c r="BN32" s="17">
        <v>0.12482872586345381</v>
      </c>
      <c r="BO32" s="17">
        <v>0</v>
      </c>
      <c r="BP32" s="17">
        <f t="shared" si="15"/>
        <v>80.424401425893322</v>
      </c>
      <c r="BQ32" s="17">
        <f t="shared" si="3"/>
        <v>592.13082376110356</v>
      </c>
      <c r="BR32" s="17">
        <f t="shared" si="3"/>
        <v>366.23684918220346</v>
      </c>
      <c r="BS32" s="17">
        <f t="shared" si="3"/>
        <v>2.5128100578765062</v>
      </c>
      <c r="BT32" s="17">
        <f t="shared" si="3"/>
        <v>0</v>
      </c>
      <c r="BU32" s="17">
        <f t="shared" si="16"/>
        <v>960.88048300118362</v>
      </c>
    </row>
    <row r="33" spans="1:73" hidden="1" outlineLevel="1">
      <c r="A33" s="16" t="s">
        <v>33</v>
      </c>
      <c r="B33" s="17" t="s">
        <v>34</v>
      </c>
      <c r="C33" s="17" t="s">
        <v>55</v>
      </c>
      <c r="D33" s="17" t="s">
        <v>89</v>
      </c>
      <c r="E33" s="17" t="s">
        <v>90</v>
      </c>
      <c r="F33" s="18" t="s">
        <v>99</v>
      </c>
      <c r="G33" s="17" t="s">
        <v>100</v>
      </c>
      <c r="H33" s="18" t="s">
        <v>64</v>
      </c>
      <c r="I33" s="17">
        <v>8</v>
      </c>
      <c r="J33" s="17">
        <v>0</v>
      </c>
      <c r="K33" s="17">
        <v>0</v>
      </c>
      <c r="L33" s="17">
        <v>0</v>
      </c>
      <c r="M33" s="17">
        <f t="shared" si="4"/>
        <v>8</v>
      </c>
      <c r="N33" s="17">
        <v>8</v>
      </c>
      <c r="O33" s="17">
        <v>0</v>
      </c>
      <c r="P33" s="17">
        <v>0</v>
      </c>
      <c r="Q33" s="17">
        <v>0</v>
      </c>
      <c r="R33" s="17">
        <f t="shared" si="5"/>
        <v>8</v>
      </c>
      <c r="S33" s="17">
        <v>8</v>
      </c>
      <c r="T33" s="17">
        <v>0</v>
      </c>
      <c r="U33" s="17">
        <v>0</v>
      </c>
      <c r="V33" s="17">
        <v>0</v>
      </c>
      <c r="W33" s="17">
        <f t="shared" si="6"/>
        <v>8</v>
      </c>
      <c r="X33" s="17">
        <v>8</v>
      </c>
      <c r="Y33" s="17">
        <v>0</v>
      </c>
      <c r="Z33" s="17">
        <v>0</v>
      </c>
      <c r="AA33" s="17">
        <v>0</v>
      </c>
      <c r="AB33" s="17">
        <f t="shared" si="7"/>
        <v>8</v>
      </c>
      <c r="AC33" s="17">
        <v>8</v>
      </c>
      <c r="AD33" s="17">
        <v>0</v>
      </c>
      <c r="AE33" s="17">
        <v>0</v>
      </c>
      <c r="AF33" s="17">
        <v>0</v>
      </c>
      <c r="AG33" s="17">
        <f t="shared" si="8"/>
        <v>8</v>
      </c>
      <c r="AH33" s="17">
        <v>8</v>
      </c>
      <c r="AI33" s="17">
        <v>0</v>
      </c>
      <c r="AJ33" s="17">
        <v>0</v>
      </c>
      <c r="AK33" s="17">
        <v>0</v>
      </c>
      <c r="AL33" s="17">
        <f t="shared" si="9"/>
        <v>8</v>
      </c>
      <c r="AM33" s="17">
        <v>8</v>
      </c>
      <c r="AN33" s="17">
        <v>0</v>
      </c>
      <c r="AO33" s="17">
        <v>0</v>
      </c>
      <c r="AP33" s="17">
        <v>0</v>
      </c>
      <c r="AQ33" s="17">
        <f t="shared" si="10"/>
        <v>8</v>
      </c>
      <c r="AR33" s="17">
        <v>8</v>
      </c>
      <c r="AS33" s="17">
        <v>0</v>
      </c>
      <c r="AT33" s="17">
        <v>0</v>
      </c>
      <c r="AU33" s="17">
        <v>0</v>
      </c>
      <c r="AV33" s="17">
        <f t="shared" si="11"/>
        <v>8</v>
      </c>
      <c r="AW33" s="17">
        <v>8</v>
      </c>
      <c r="AX33" s="17">
        <v>0</v>
      </c>
      <c r="AY33" s="17">
        <v>0</v>
      </c>
      <c r="AZ33" s="17">
        <v>0</v>
      </c>
      <c r="BA33" s="17">
        <f t="shared" si="12"/>
        <v>8</v>
      </c>
      <c r="BB33" s="17">
        <v>8</v>
      </c>
      <c r="BC33" s="17">
        <v>0</v>
      </c>
      <c r="BD33" s="17">
        <v>0</v>
      </c>
      <c r="BE33" s="17">
        <v>0</v>
      </c>
      <c r="BF33" s="17">
        <f t="shared" si="13"/>
        <v>8</v>
      </c>
      <c r="BG33" s="17">
        <v>8</v>
      </c>
      <c r="BH33" s="17">
        <v>0</v>
      </c>
      <c r="BI33" s="17">
        <v>0</v>
      </c>
      <c r="BJ33" s="17">
        <v>0</v>
      </c>
      <c r="BK33" s="17">
        <f t="shared" si="14"/>
        <v>8</v>
      </c>
      <c r="BL33" s="17">
        <v>8</v>
      </c>
      <c r="BM33" s="17">
        <v>0</v>
      </c>
      <c r="BN33" s="17">
        <v>0</v>
      </c>
      <c r="BO33" s="17">
        <v>0</v>
      </c>
      <c r="BP33" s="17">
        <f t="shared" si="15"/>
        <v>8</v>
      </c>
      <c r="BQ33" s="17">
        <f t="shared" si="3"/>
        <v>96</v>
      </c>
      <c r="BR33" s="17">
        <f t="shared" si="3"/>
        <v>0</v>
      </c>
      <c r="BS33" s="17">
        <f t="shared" si="3"/>
        <v>0</v>
      </c>
      <c r="BT33" s="17">
        <f t="shared" si="3"/>
        <v>0</v>
      </c>
      <c r="BU33" s="17">
        <f t="shared" si="16"/>
        <v>96</v>
      </c>
    </row>
    <row r="34" spans="1:73" hidden="1" outlineLevel="1">
      <c r="A34" s="16" t="s">
        <v>33</v>
      </c>
      <c r="B34" s="17" t="s">
        <v>34</v>
      </c>
      <c r="C34" s="17" t="s">
        <v>101</v>
      </c>
      <c r="D34" s="17" t="s">
        <v>102</v>
      </c>
      <c r="E34" s="17" t="s">
        <v>103</v>
      </c>
      <c r="F34" s="18" t="s">
        <v>104</v>
      </c>
      <c r="G34" s="17" t="s">
        <v>105</v>
      </c>
      <c r="H34" s="18" t="s">
        <v>45</v>
      </c>
      <c r="I34" s="17">
        <v>146.38221783085399</v>
      </c>
      <c r="J34" s="17">
        <v>147.1780078876142</v>
      </c>
      <c r="K34" s="17">
        <v>7.90881895311081</v>
      </c>
      <c r="L34" s="17">
        <v>0</v>
      </c>
      <c r="M34" s="17">
        <f t="shared" si="4"/>
        <v>301.46904467157901</v>
      </c>
      <c r="N34" s="17">
        <v>184.32794592917352</v>
      </c>
      <c r="O34" s="17">
        <v>95.98714673951406</v>
      </c>
      <c r="P34" s="17">
        <v>0</v>
      </c>
      <c r="Q34" s="17">
        <v>0</v>
      </c>
      <c r="R34" s="17">
        <f t="shared" si="5"/>
        <v>280.31509266868761</v>
      </c>
      <c r="S34" s="17">
        <v>137.40378664123625</v>
      </c>
      <c r="T34" s="17">
        <v>163.0993720499113</v>
      </c>
      <c r="U34" s="17">
        <v>0</v>
      </c>
      <c r="V34" s="17">
        <v>0</v>
      </c>
      <c r="W34" s="17">
        <f t="shared" si="6"/>
        <v>300.50315869114752</v>
      </c>
      <c r="X34" s="17">
        <v>185.36694658924691</v>
      </c>
      <c r="Y34" s="17">
        <v>114.72232937212939</v>
      </c>
      <c r="Z34" s="17">
        <v>0</v>
      </c>
      <c r="AA34" s="17">
        <v>0</v>
      </c>
      <c r="AB34" s="17">
        <f t="shared" si="7"/>
        <v>300.0892759613763</v>
      </c>
      <c r="AC34" s="17">
        <v>157.3063876443376</v>
      </c>
      <c r="AD34" s="17">
        <v>144</v>
      </c>
      <c r="AE34" s="17">
        <v>0</v>
      </c>
      <c r="AF34" s="17">
        <v>0</v>
      </c>
      <c r="AG34" s="17">
        <f t="shared" si="8"/>
        <v>301.30638764433763</v>
      </c>
      <c r="AH34" s="17">
        <v>176.64320759270902</v>
      </c>
      <c r="AI34" s="17">
        <v>125.80001459134799</v>
      </c>
      <c r="AJ34" s="17">
        <v>0</v>
      </c>
      <c r="AK34" s="17">
        <v>0</v>
      </c>
      <c r="AL34" s="17">
        <f t="shared" si="9"/>
        <v>302.44322218405699</v>
      </c>
      <c r="AM34" s="17">
        <v>202.98799102820686</v>
      </c>
      <c r="AN34" s="17">
        <v>102</v>
      </c>
      <c r="AO34" s="17">
        <v>0</v>
      </c>
      <c r="AP34" s="17">
        <v>0</v>
      </c>
      <c r="AQ34" s="17">
        <f t="shared" si="10"/>
        <v>304.98799102820686</v>
      </c>
      <c r="AR34" s="17">
        <v>229.9063876443376</v>
      </c>
      <c r="AS34" s="17">
        <v>67.077685219218594</v>
      </c>
      <c r="AT34" s="17">
        <v>5</v>
      </c>
      <c r="AU34" s="17">
        <v>0</v>
      </c>
      <c r="AV34" s="17">
        <f t="shared" si="11"/>
        <v>301.98407286355621</v>
      </c>
      <c r="AW34" s="17">
        <v>174</v>
      </c>
      <c r="AX34" s="17">
        <v>108.2065013529817</v>
      </c>
      <c r="AY34" s="17">
        <v>20</v>
      </c>
      <c r="AZ34" s="17">
        <v>0</v>
      </c>
      <c r="BA34" s="17">
        <f t="shared" si="12"/>
        <v>302.20650135298172</v>
      </c>
      <c r="BB34" s="17">
        <v>159</v>
      </c>
      <c r="BC34" s="17">
        <v>128.20650135298169</v>
      </c>
      <c r="BD34" s="17">
        <v>15</v>
      </c>
      <c r="BE34" s="17">
        <v>0</v>
      </c>
      <c r="BF34" s="17">
        <f t="shared" si="13"/>
        <v>302.20650135298172</v>
      </c>
      <c r="BG34" s="17">
        <v>159</v>
      </c>
      <c r="BH34" s="17">
        <v>128.20650135298169</v>
      </c>
      <c r="BI34" s="17">
        <v>15</v>
      </c>
      <c r="BJ34" s="17">
        <v>0</v>
      </c>
      <c r="BK34" s="17">
        <f t="shared" si="14"/>
        <v>302.20650135298172</v>
      </c>
      <c r="BL34" s="17">
        <v>175</v>
      </c>
      <c r="BM34" s="17">
        <v>123.2065013529817</v>
      </c>
      <c r="BN34" s="17">
        <v>5.2376310000000004</v>
      </c>
      <c r="BO34" s="17">
        <v>0</v>
      </c>
      <c r="BP34" s="17">
        <f t="shared" si="15"/>
        <v>303.44413235298174</v>
      </c>
      <c r="BQ34" s="17">
        <f t="shared" si="3"/>
        <v>2087.3248709001018</v>
      </c>
      <c r="BR34" s="17">
        <f t="shared" si="3"/>
        <v>1447.6905612716625</v>
      </c>
      <c r="BS34" s="17">
        <f t="shared" si="3"/>
        <v>68.146449953110817</v>
      </c>
      <c r="BT34" s="17">
        <f t="shared" si="3"/>
        <v>0</v>
      </c>
      <c r="BU34" s="17">
        <f t="shared" si="16"/>
        <v>3603.1618821248753</v>
      </c>
    </row>
    <row r="35" spans="1:73" hidden="1" outlineLevel="1">
      <c r="A35" s="16" t="s">
        <v>33</v>
      </c>
      <c r="B35" s="17" t="s">
        <v>34</v>
      </c>
      <c r="C35" s="17" t="s">
        <v>106</v>
      </c>
      <c r="D35" s="17" t="s">
        <v>107</v>
      </c>
      <c r="E35" s="17" t="s">
        <v>108</v>
      </c>
      <c r="F35" s="18" t="s">
        <v>109</v>
      </c>
      <c r="G35" s="17" t="s">
        <v>110</v>
      </c>
      <c r="H35" s="18" t="s">
        <v>45</v>
      </c>
      <c r="I35" s="17">
        <v>188.5</v>
      </c>
      <c r="J35" s="17">
        <v>64</v>
      </c>
      <c r="K35" s="17">
        <v>48</v>
      </c>
      <c r="L35" s="17">
        <v>0</v>
      </c>
      <c r="M35" s="17">
        <f t="shared" si="4"/>
        <v>300.5</v>
      </c>
      <c r="N35" s="17">
        <v>189.47271050212052</v>
      </c>
      <c r="O35" s="17">
        <v>44</v>
      </c>
      <c r="P35" s="17">
        <v>47.061115567765604</v>
      </c>
      <c r="Q35" s="17">
        <v>0</v>
      </c>
      <c r="R35" s="17">
        <f t="shared" si="5"/>
        <v>280.53382606988612</v>
      </c>
      <c r="S35" s="17">
        <v>134.57449873722044</v>
      </c>
      <c r="T35" s="17">
        <v>79</v>
      </c>
      <c r="U35" s="17">
        <v>87.861115567765594</v>
      </c>
      <c r="V35" s="17">
        <v>0</v>
      </c>
      <c r="W35" s="17">
        <f t="shared" si="6"/>
        <v>301.43561430498602</v>
      </c>
      <c r="X35" s="17">
        <v>166.63998155233259</v>
      </c>
      <c r="Y35" s="17">
        <v>64</v>
      </c>
      <c r="Z35" s="17">
        <v>70</v>
      </c>
      <c r="AA35" s="17">
        <v>0</v>
      </c>
      <c r="AB35" s="17">
        <f t="shared" si="7"/>
        <v>300.63998155233259</v>
      </c>
      <c r="AC35" s="17">
        <v>130</v>
      </c>
      <c r="AD35" s="17">
        <v>99</v>
      </c>
      <c r="AE35" s="17">
        <v>71.767227124542103</v>
      </c>
      <c r="AF35" s="17">
        <v>0</v>
      </c>
      <c r="AG35" s="17">
        <f t="shared" si="8"/>
        <v>300.7672271245421</v>
      </c>
      <c r="AH35" s="17">
        <v>159.63998155233259</v>
      </c>
      <c r="AI35" s="17">
        <v>100.12871330055853</v>
      </c>
      <c r="AJ35" s="17">
        <v>41.515318000000001</v>
      </c>
      <c r="AK35" s="17">
        <v>0</v>
      </c>
      <c r="AL35" s="17">
        <f t="shared" si="9"/>
        <v>301.28401285289112</v>
      </c>
      <c r="AM35" s="17">
        <v>152.63998155233259</v>
      </c>
      <c r="AN35" s="17">
        <v>147.39651528787709</v>
      </c>
      <c r="AO35" s="17">
        <v>0</v>
      </c>
      <c r="AP35" s="17">
        <v>0</v>
      </c>
      <c r="AQ35" s="17">
        <f t="shared" si="10"/>
        <v>300.03649684020968</v>
      </c>
      <c r="AR35" s="17">
        <v>131</v>
      </c>
      <c r="AS35" s="17">
        <v>45</v>
      </c>
      <c r="AT35" s="17">
        <v>127</v>
      </c>
      <c r="AU35" s="17">
        <v>0</v>
      </c>
      <c r="AV35" s="17">
        <f t="shared" si="11"/>
        <v>303</v>
      </c>
      <c r="AW35" s="17">
        <v>159</v>
      </c>
      <c r="AX35" s="17">
        <v>63</v>
      </c>
      <c r="AY35" s="17">
        <v>79.400000000000006</v>
      </c>
      <c r="AZ35" s="17">
        <v>0</v>
      </c>
      <c r="BA35" s="17">
        <f t="shared" si="12"/>
        <v>301.39999999999998</v>
      </c>
      <c r="BB35" s="17">
        <v>154.63998155233259</v>
      </c>
      <c r="BC35" s="17">
        <v>85</v>
      </c>
      <c r="BD35" s="17">
        <v>60.6</v>
      </c>
      <c r="BE35" s="17">
        <v>0</v>
      </c>
      <c r="BF35" s="17">
        <f t="shared" si="13"/>
        <v>300.23998155233261</v>
      </c>
      <c r="BG35" s="17">
        <v>169.63998155233259</v>
      </c>
      <c r="BH35" s="17">
        <v>93.649285687910464</v>
      </c>
      <c r="BI35" s="17">
        <v>37.233308999999998</v>
      </c>
      <c r="BJ35" s="17">
        <v>0</v>
      </c>
      <c r="BK35" s="17">
        <f t="shared" si="14"/>
        <v>300.52257624024304</v>
      </c>
      <c r="BL35" s="17">
        <v>169.63998155233259</v>
      </c>
      <c r="BM35" s="17">
        <v>93.649285687910464</v>
      </c>
      <c r="BN35" s="17">
        <v>37.233308999999998</v>
      </c>
      <c r="BO35" s="17">
        <v>0</v>
      </c>
      <c r="BP35" s="17">
        <f t="shared" si="15"/>
        <v>300.52257624024304</v>
      </c>
      <c r="BQ35" s="17">
        <f t="shared" si="3"/>
        <v>1905.3870985533363</v>
      </c>
      <c r="BR35" s="17">
        <f t="shared" si="3"/>
        <v>977.82379996425652</v>
      </c>
      <c r="BS35" s="17">
        <f t="shared" si="3"/>
        <v>707.67139426007327</v>
      </c>
      <c r="BT35" s="17">
        <f t="shared" si="3"/>
        <v>0</v>
      </c>
      <c r="BU35" s="17">
        <f t="shared" si="16"/>
        <v>3590.882292777666</v>
      </c>
    </row>
    <row r="36" spans="1:73" collapsed="1">
      <c r="A36" s="24" t="s">
        <v>33</v>
      </c>
      <c r="B36" s="25" t="s">
        <v>111</v>
      </c>
      <c r="C36" s="25"/>
      <c r="D36" s="26"/>
      <c r="E36" s="25"/>
      <c r="F36" s="25"/>
      <c r="G36" s="25" t="s">
        <v>111</v>
      </c>
      <c r="H36" s="25">
        <v>0</v>
      </c>
      <c r="I36" s="25">
        <f t="shared" ref="I36:BT36" si="17">SUM(I8:I35)</f>
        <v>2089.5969039354241</v>
      </c>
      <c r="J36" s="25">
        <f t="shared" si="17"/>
        <v>2273.7501945913241</v>
      </c>
      <c r="K36" s="25">
        <f t="shared" si="17"/>
        <v>56.173193597694791</v>
      </c>
      <c r="L36" s="25">
        <f t="shared" si="17"/>
        <v>5</v>
      </c>
      <c r="M36" s="25">
        <f t="shared" si="17"/>
        <v>4424.5202921244436</v>
      </c>
      <c r="N36" s="25">
        <f t="shared" si="17"/>
        <v>2226.5062378238372</v>
      </c>
      <c r="O36" s="25">
        <f t="shared" si="17"/>
        <v>2061.6490613826923</v>
      </c>
      <c r="P36" s="25">
        <f t="shared" si="17"/>
        <v>47.061115567765604</v>
      </c>
      <c r="Q36" s="25">
        <f t="shared" si="17"/>
        <v>4.6344603864302156</v>
      </c>
      <c r="R36" s="25">
        <f t="shared" si="17"/>
        <v>4339.8508751607251</v>
      </c>
      <c r="S36" s="25">
        <f t="shared" si="17"/>
        <v>2420.9171207177192</v>
      </c>
      <c r="T36" s="25">
        <f t="shared" si="17"/>
        <v>2251.1464416054323</v>
      </c>
      <c r="U36" s="25">
        <f t="shared" si="17"/>
        <v>88.800661486486121</v>
      </c>
      <c r="V36" s="25">
        <f t="shared" si="17"/>
        <v>0.65725538643021564</v>
      </c>
      <c r="W36" s="25">
        <f t="shared" si="17"/>
        <v>4761.521479196067</v>
      </c>
      <c r="X36" s="25">
        <f t="shared" si="17"/>
        <v>2384.5867306967039</v>
      </c>
      <c r="Y36" s="25">
        <f t="shared" si="17"/>
        <v>2454.1948509431309</v>
      </c>
      <c r="Z36" s="25">
        <f t="shared" si="17"/>
        <v>71.132630521229913</v>
      </c>
      <c r="AA36" s="25">
        <f t="shared" si="17"/>
        <v>0.69184777518970064</v>
      </c>
      <c r="AB36" s="25">
        <f t="shared" si="17"/>
        <v>4910.6060599362545</v>
      </c>
      <c r="AC36" s="25">
        <f t="shared" si="17"/>
        <v>2461.6735125313553</v>
      </c>
      <c r="AD36" s="25">
        <f t="shared" si="17"/>
        <v>2573.4427806380622</v>
      </c>
      <c r="AE36" s="25">
        <f t="shared" si="17"/>
        <v>72.048706625740579</v>
      </c>
      <c r="AF36" s="25">
        <f t="shared" si="17"/>
        <v>0.69184777518970064</v>
      </c>
      <c r="AG36" s="25">
        <f t="shared" si="17"/>
        <v>5107.8568475703478</v>
      </c>
      <c r="AH36" s="25">
        <f t="shared" si="17"/>
        <v>2641.0678940224152</v>
      </c>
      <c r="AI36" s="25">
        <f t="shared" si="17"/>
        <v>2588.7135882046127</v>
      </c>
      <c r="AJ36" s="25">
        <f t="shared" si="17"/>
        <v>44.315317999999998</v>
      </c>
      <c r="AK36" s="25">
        <f t="shared" si="17"/>
        <v>0.19636799999999999</v>
      </c>
      <c r="AL36" s="25">
        <f t="shared" si="17"/>
        <v>5274.2931682270282</v>
      </c>
      <c r="AM36" s="25">
        <f t="shared" si="17"/>
        <v>2444.5446421059305</v>
      </c>
      <c r="AN36" s="25">
        <f t="shared" si="17"/>
        <v>2807.4066350015501</v>
      </c>
      <c r="AO36" s="25">
        <f t="shared" si="17"/>
        <v>0.15505102080058555</v>
      </c>
      <c r="AP36" s="25">
        <f t="shared" si="17"/>
        <v>0.72644016394918565</v>
      </c>
      <c r="AQ36" s="25">
        <f t="shared" si="17"/>
        <v>5252.8327682922318</v>
      </c>
      <c r="AR36" s="25">
        <f t="shared" si="17"/>
        <v>2579.3925795089754</v>
      </c>
      <c r="AS36" s="25">
        <f t="shared" si="17"/>
        <v>2573.3887544899712</v>
      </c>
      <c r="AT36" s="25">
        <f t="shared" si="17"/>
        <v>132.15505102080058</v>
      </c>
      <c r="AU36" s="25">
        <f t="shared" si="17"/>
        <v>0</v>
      </c>
      <c r="AV36" s="25">
        <f t="shared" si="17"/>
        <v>5284.9363850197469</v>
      </c>
      <c r="AW36" s="25">
        <f t="shared" si="17"/>
        <v>2364.9492620863202</v>
      </c>
      <c r="AX36" s="25">
        <f t="shared" si="17"/>
        <v>2672.6054866879649</v>
      </c>
      <c r="AY36" s="25">
        <f t="shared" si="17"/>
        <v>101.39601131659639</v>
      </c>
      <c r="AZ36" s="25">
        <f t="shared" si="17"/>
        <v>0.8</v>
      </c>
      <c r="BA36" s="25">
        <f t="shared" si="17"/>
        <v>5139.7507600908812</v>
      </c>
      <c r="BB36" s="25">
        <f t="shared" si="17"/>
        <v>2241.968787032562</v>
      </c>
      <c r="BC36" s="25">
        <f t="shared" si="17"/>
        <v>2638.9059253442178</v>
      </c>
      <c r="BD36" s="25">
        <f t="shared" si="17"/>
        <v>75.932630521229925</v>
      </c>
      <c r="BE36" s="25">
        <f t="shared" si="17"/>
        <v>0.79562494146815566</v>
      </c>
      <c r="BF36" s="25">
        <f t="shared" si="17"/>
        <v>4957.6029678394771</v>
      </c>
      <c r="BG36" s="25">
        <f t="shared" si="17"/>
        <v>2215.1675788879879</v>
      </c>
      <c r="BH36" s="25">
        <f t="shared" si="17"/>
        <v>2653.867574176566</v>
      </c>
      <c r="BI36" s="25">
        <f t="shared" si="17"/>
        <v>52.513248871266505</v>
      </c>
      <c r="BJ36" s="25">
        <f t="shared" si="17"/>
        <v>0.72644016394918565</v>
      </c>
      <c r="BK36" s="25">
        <f t="shared" si="17"/>
        <v>4922.2748420997705</v>
      </c>
      <c r="BL36" s="25">
        <f t="shared" si="17"/>
        <v>2278.4857885184624</v>
      </c>
      <c r="BM36" s="25">
        <f t="shared" si="17"/>
        <v>2469.2563000483269</v>
      </c>
      <c r="BN36" s="25">
        <f t="shared" si="17"/>
        <v>42.750879871266505</v>
      </c>
      <c r="BO36" s="25">
        <f t="shared" si="17"/>
        <v>0.72476574539919525</v>
      </c>
      <c r="BP36" s="25">
        <f t="shared" si="17"/>
        <v>4791.217734183454</v>
      </c>
      <c r="BQ36" s="25">
        <f t="shared" si="17"/>
        <v>28348.857037867696</v>
      </c>
      <c r="BR36" s="25">
        <f t="shared" si="17"/>
        <v>30018.327593113845</v>
      </c>
      <c r="BS36" s="25">
        <f t="shared" si="17"/>
        <v>784.4344984208775</v>
      </c>
      <c r="BT36" s="25">
        <f t="shared" si="17"/>
        <v>15.645050338005555</v>
      </c>
      <c r="BU36" s="25">
        <f t="shared" ref="BU36" si="18">SUM(BU8:BU35)</f>
        <v>59167.264179740436</v>
      </c>
    </row>
    <row r="37" spans="1:73" hidden="1" outlineLevel="1">
      <c r="A37" s="27" t="s">
        <v>33</v>
      </c>
      <c r="B37" s="17" t="s">
        <v>112</v>
      </c>
      <c r="C37" s="17" t="s">
        <v>55</v>
      </c>
      <c r="D37" s="17" t="s">
        <v>113</v>
      </c>
      <c r="E37" s="17" t="s">
        <v>114</v>
      </c>
      <c r="F37" s="18" t="s">
        <v>115</v>
      </c>
      <c r="G37" s="17" t="s">
        <v>116</v>
      </c>
      <c r="H37" s="18" t="s">
        <v>39</v>
      </c>
      <c r="I37" s="17">
        <v>3.0446230447217699</v>
      </c>
      <c r="J37" s="17">
        <v>41.642235116273689</v>
      </c>
      <c r="K37" s="17">
        <v>0</v>
      </c>
      <c r="L37" s="17">
        <v>0</v>
      </c>
      <c r="M37" s="17">
        <f t="shared" ref="M37:M63" si="19">SUM(I37:L37)</f>
        <v>44.686858160995456</v>
      </c>
      <c r="N37" s="17">
        <v>2.9208900638882001</v>
      </c>
      <c r="O37" s="17">
        <v>24.763506890210092</v>
      </c>
      <c r="P37" s="17">
        <v>0</v>
      </c>
      <c r="Q37" s="17">
        <v>0</v>
      </c>
      <c r="R37" s="17">
        <f t="shared" ref="R37:R63" si="20">SUM(N37:Q37)</f>
        <v>27.684396954098293</v>
      </c>
      <c r="S37" s="17">
        <v>1.4897086723596</v>
      </c>
      <c r="T37" s="17">
        <v>42.232902817758948</v>
      </c>
      <c r="U37" s="17">
        <v>0</v>
      </c>
      <c r="V37" s="17">
        <v>0</v>
      </c>
      <c r="W37" s="17">
        <f t="shared" ref="W37:W63" si="21">SUM(S37:V37)</f>
        <v>43.722611490118545</v>
      </c>
      <c r="X37" s="17">
        <v>4.1759222564045002</v>
      </c>
      <c r="Y37" s="17">
        <v>39.528187398273857</v>
      </c>
      <c r="Z37" s="17">
        <v>0</v>
      </c>
      <c r="AA37" s="17">
        <v>0</v>
      </c>
      <c r="AB37" s="17">
        <f t="shared" ref="AB37:AB63" si="22">SUM(X37:AA37)</f>
        <v>43.704109654678355</v>
      </c>
      <c r="AC37" s="17">
        <v>5.5190290484269999</v>
      </c>
      <c r="AD37" s="17">
        <v>35.771454070624131</v>
      </c>
      <c r="AE37" s="17">
        <v>0</v>
      </c>
      <c r="AF37" s="17">
        <v>0</v>
      </c>
      <c r="AG37" s="17">
        <f t="shared" ref="AG37:AG63" si="23">SUM(AC37:AF37)</f>
        <v>41.290483119051132</v>
      </c>
      <c r="AH37" s="17">
        <v>3.5776698005618002</v>
      </c>
      <c r="AI37" s="17">
        <v>43.920360216934249</v>
      </c>
      <c r="AJ37" s="17">
        <v>0</v>
      </c>
      <c r="AK37" s="17">
        <v>0</v>
      </c>
      <c r="AL37" s="17">
        <f t="shared" ref="AL37:AL63" si="24">SUM(AH37:AK37)</f>
        <v>47.498030017496049</v>
      </c>
      <c r="AM37" s="17">
        <v>1.4897086723596</v>
      </c>
      <c r="AN37" s="17">
        <v>44.008189199320775</v>
      </c>
      <c r="AO37" s="17">
        <v>0</v>
      </c>
      <c r="AP37" s="17">
        <v>0</v>
      </c>
      <c r="AQ37" s="17">
        <f t="shared" ref="AQ37:AQ63" si="25">SUM(AM37:AP37)</f>
        <v>45.497897871680372</v>
      </c>
      <c r="AR37" s="17">
        <v>4.1759222564045002</v>
      </c>
      <c r="AS37" s="17">
        <v>37.624954220670759</v>
      </c>
      <c r="AT37" s="17">
        <v>0</v>
      </c>
      <c r="AU37" s="17">
        <v>0</v>
      </c>
      <c r="AV37" s="17">
        <f t="shared" ref="AV37:AV63" si="26">SUM(AR37:AU37)</f>
        <v>41.800876477075256</v>
      </c>
      <c r="AW37" s="17">
        <v>4.1759222564045002</v>
      </c>
      <c r="AX37" s="17">
        <v>37.624954220670759</v>
      </c>
      <c r="AY37" s="17">
        <v>0</v>
      </c>
      <c r="AZ37" s="17">
        <v>0</v>
      </c>
      <c r="BA37" s="17">
        <f t="shared" ref="BA37:BA63" si="27">SUM(AW37:AZ37)</f>
        <v>41.800876477075256</v>
      </c>
      <c r="BB37" s="17">
        <v>4.1759222564045002</v>
      </c>
      <c r="BC37" s="17">
        <v>37.624954220670759</v>
      </c>
      <c r="BD37" s="17">
        <v>0</v>
      </c>
      <c r="BE37" s="17">
        <v>0</v>
      </c>
      <c r="BF37" s="17">
        <f t="shared" ref="BF37:BF63" si="28">SUM(BB37:BE37)</f>
        <v>41.800876477075256</v>
      </c>
      <c r="BG37" s="17">
        <v>4.1759222564045002</v>
      </c>
      <c r="BH37" s="17">
        <v>37.624954220670759</v>
      </c>
      <c r="BI37" s="17">
        <v>0</v>
      </c>
      <c r="BJ37" s="17">
        <v>0</v>
      </c>
      <c r="BK37" s="17">
        <f t="shared" ref="BK37:BK63" si="29">SUM(BG37:BJ37)</f>
        <v>41.800876477075256</v>
      </c>
      <c r="BL37" s="17">
        <v>8.1759222564045011</v>
      </c>
      <c r="BM37" s="17">
        <v>33.624954220670759</v>
      </c>
      <c r="BN37" s="17">
        <v>0</v>
      </c>
      <c r="BO37" s="17">
        <v>0</v>
      </c>
      <c r="BP37" s="17">
        <f t="shared" ref="BP37:BP63" si="30">SUM(BL37:BO37)</f>
        <v>41.800876477075263</v>
      </c>
      <c r="BQ37" s="17">
        <f t="shared" ref="BQ37:BT63" si="31">BL37+BG37+BB37+AW37+AR37+AM37+AH37+AC37+X37+S37+N37+I37</f>
        <v>47.097162840744971</v>
      </c>
      <c r="BR37" s="17">
        <f t="shared" si="31"/>
        <v>455.99160681274952</v>
      </c>
      <c r="BS37" s="17">
        <f t="shared" si="31"/>
        <v>0</v>
      </c>
      <c r="BT37" s="17">
        <f t="shared" si="31"/>
        <v>0</v>
      </c>
      <c r="BU37" s="17">
        <f t="shared" si="16"/>
        <v>503.08876965349452</v>
      </c>
    </row>
    <row r="38" spans="1:73" hidden="1" outlineLevel="1">
      <c r="A38" s="27" t="s">
        <v>33</v>
      </c>
      <c r="B38" s="17" t="s">
        <v>112</v>
      </c>
      <c r="C38" s="17" t="s">
        <v>55</v>
      </c>
      <c r="D38" s="17" t="s">
        <v>113</v>
      </c>
      <c r="E38" s="17" t="s">
        <v>114</v>
      </c>
      <c r="F38" s="18" t="s">
        <v>117</v>
      </c>
      <c r="G38" s="17" t="s">
        <v>118</v>
      </c>
      <c r="H38" s="18" t="s">
        <v>39</v>
      </c>
      <c r="I38" s="17">
        <v>92.716625688470302</v>
      </c>
      <c r="J38" s="17">
        <v>0</v>
      </c>
      <c r="K38" s="17">
        <v>0</v>
      </c>
      <c r="L38" s="17">
        <v>0</v>
      </c>
      <c r="M38" s="17">
        <f t="shared" si="19"/>
        <v>92.716625688470302</v>
      </c>
      <c r="N38" s="17">
        <v>93.569963428051295</v>
      </c>
      <c r="O38" s="17">
        <v>0</v>
      </c>
      <c r="P38" s="17">
        <v>0</v>
      </c>
      <c r="Q38" s="17">
        <v>0</v>
      </c>
      <c r="R38" s="17">
        <f t="shared" si="20"/>
        <v>93.569963428051295</v>
      </c>
      <c r="S38" s="17">
        <v>101.0174754415731</v>
      </c>
      <c r="T38" s="17">
        <v>0</v>
      </c>
      <c r="U38" s="17">
        <v>0</v>
      </c>
      <c r="V38" s="17">
        <v>0</v>
      </c>
      <c r="W38" s="17">
        <f t="shared" si="21"/>
        <v>101.0174754415731</v>
      </c>
      <c r="X38" s="17">
        <v>112.162329777753</v>
      </c>
      <c r="Y38" s="17">
        <v>0</v>
      </c>
      <c r="Z38" s="17">
        <v>0</v>
      </c>
      <c r="AA38" s="17">
        <v>0</v>
      </c>
      <c r="AB38" s="17">
        <f t="shared" si="22"/>
        <v>112.162329777753</v>
      </c>
      <c r="AC38" s="17">
        <v>127.36495109398901</v>
      </c>
      <c r="AD38" s="17">
        <v>0</v>
      </c>
      <c r="AE38" s="17">
        <v>0</v>
      </c>
      <c r="AF38" s="17">
        <v>0</v>
      </c>
      <c r="AG38" s="17">
        <f t="shared" si="23"/>
        <v>127.36495109398901</v>
      </c>
      <c r="AH38" s="17">
        <v>106.389902609663</v>
      </c>
      <c r="AI38" s="17">
        <v>0</v>
      </c>
      <c r="AJ38" s="17">
        <v>0</v>
      </c>
      <c r="AK38" s="17">
        <v>0</v>
      </c>
      <c r="AL38" s="17">
        <f t="shared" si="24"/>
        <v>106.389902609663</v>
      </c>
      <c r="AM38" s="17">
        <v>117.81067920224699</v>
      </c>
      <c r="AN38" s="17">
        <v>0</v>
      </c>
      <c r="AO38" s="17">
        <v>0</v>
      </c>
      <c r="AP38" s="17">
        <v>0</v>
      </c>
      <c r="AQ38" s="17">
        <f t="shared" si="25"/>
        <v>117.81067920224699</v>
      </c>
      <c r="AR38" s="17">
        <v>117.81067920224699</v>
      </c>
      <c r="AS38" s="17">
        <v>0</v>
      </c>
      <c r="AT38" s="17">
        <v>0</v>
      </c>
      <c r="AU38" s="17">
        <v>0</v>
      </c>
      <c r="AV38" s="17">
        <f t="shared" si="26"/>
        <v>117.81067920224699</v>
      </c>
      <c r="AW38" s="17">
        <v>114.948543361798</v>
      </c>
      <c r="AX38" s="17">
        <v>0</v>
      </c>
      <c r="AY38" s="17">
        <v>0</v>
      </c>
      <c r="AZ38" s="17">
        <v>0</v>
      </c>
      <c r="BA38" s="17">
        <f t="shared" si="27"/>
        <v>114.948543361798</v>
      </c>
      <c r="BB38" s="17">
        <v>101.0174754415731</v>
      </c>
      <c r="BC38" s="17">
        <v>0</v>
      </c>
      <c r="BD38" s="17">
        <v>0</v>
      </c>
      <c r="BE38" s="17">
        <v>0</v>
      </c>
      <c r="BF38" s="17">
        <f t="shared" si="28"/>
        <v>101.0174754415731</v>
      </c>
      <c r="BG38" s="17">
        <v>101.0174754415731</v>
      </c>
      <c r="BH38" s="17">
        <v>0</v>
      </c>
      <c r="BI38" s="17">
        <v>0</v>
      </c>
      <c r="BJ38" s="17">
        <v>0</v>
      </c>
      <c r="BK38" s="17">
        <f t="shared" si="29"/>
        <v>101.0174754415731</v>
      </c>
      <c r="BL38" s="17">
        <v>101.0174754415731</v>
      </c>
      <c r="BM38" s="17">
        <v>0</v>
      </c>
      <c r="BN38" s="17">
        <v>0</v>
      </c>
      <c r="BO38" s="17">
        <v>0</v>
      </c>
      <c r="BP38" s="17">
        <f t="shared" si="30"/>
        <v>101.0174754415731</v>
      </c>
      <c r="BQ38" s="17">
        <f t="shared" si="31"/>
        <v>1286.8435761305109</v>
      </c>
      <c r="BR38" s="17">
        <f t="shared" si="31"/>
        <v>0</v>
      </c>
      <c r="BS38" s="17">
        <f t="shared" si="31"/>
        <v>0</v>
      </c>
      <c r="BT38" s="17">
        <f t="shared" si="31"/>
        <v>0</v>
      </c>
      <c r="BU38" s="17">
        <f t="shared" si="16"/>
        <v>1286.8435761305109</v>
      </c>
    </row>
    <row r="39" spans="1:73" hidden="1" outlineLevel="1">
      <c r="A39" s="27" t="s">
        <v>33</v>
      </c>
      <c r="B39" s="17" t="s">
        <v>112</v>
      </c>
      <c r="C39" s="17" t="s">
        <v>55</v>
      </c>
      <c r="D39" s="17" t="s">
        <v>113</v>
      </c>
      <c r="E39" s="17" t="s">
        <v>114</v>
      </c>
      <c r="F39" s="18" t="s">
        <v>119</v>
      </c>
      <c r="G39" s="17" t="s">
        <v>120</v>
      </c>
      <c r="H39" s="18" t="s">
        <v>39</v>
      </c>
      <c r="I39" s="17">
        <v>15.376159155094401</v>
      </c>
      <c r="J39" s="17">
        <v>0</v>
      </c>
      <c r="K39" s="17">
        <v>0</v>
      </c>
      <c r="L39" s="17">
        <v>0</v>
      </c>
      <c r="M39" s="17">
        <f t="shared" si="19"/>
        <v>15.376159155094401</v>
      </c>
      <c r="N39" s="17">
        <v>6.425695493056601</v>
      </c>
      <c r="O39" s="17">
        <v>0</v>
      </c>
      <c r="P39" s="17">
        <v>0</v>
      </c>
      <c r="Q39" s="17">
        <v>0</v>
      </c>
      <c r="R39" s="17">
        <f t="shared" si="20"/>
        <v>6.425695493056601</v>
      </c>
      <c r="S39" s="17">
        <v>20.376159155094399</v>
      </c>
      <c r="T39" s="17">
        <v>0</v>
      </c>
      <c r="U39" s="17">
        <v>0</v>
      </c>
      <c r="V39" s="17">
        <v>0</v>
      </c>
      <c r="W39" s="17">
        <f t="shared" si="21"/>
        <v>20.376159155094399</v>
      </c>
      <c r="X39" s="17">
        <v>28.376159155094399</v>
      </c>
      <c r="Y39" s="17">
        <v>0</v>
      </c>
      <c r="Z39" s="17">
        <v>0</v>
      </c>
      <c r="AA39" s="17">
        <v>0</v>
      </c>
      <c r="AB39" s="17">
        <f t="shared" si="22"/>
        <v>28.376159155094399</v>
      </c>
      <c r="AC39" s="17">
        <v>25.376159155094399</v>
      </c>
      <c r="AD39" s="17">
        <v>0</v>
      </c>
      <c r="AE39" s="17">
        <v>0</v>
      </c>
      <c r="AF39" s="17">
        <v>0</v>
      </c>
      <c r="AG39" s="17">
        <f t="shared" si="23"/>
        <v>25.376159155094399</v>
      </c>
      <c r="AH39" s="17">
        <v>26.5776698005618</v>
      </c>
      <c r="AI39" s="17">
        <v>0</v>
      </c>
      <c r="AJ39" s="17">
        <v>0</v>
      </c>
      <c r="AK39" s="17">
        <v>0</v>
      </c>
      <c r="AL39" s="17">
        <f t="shared" si="24"/>
        <v>26.5776698005618</v>
      </c>
      <c r="AM39" s="17">
        <v>45.381164888876398</v>
      </c>
      <c r="AN39" s="17">
        <v>0</v>
      </c>
      <c r="AO39" s="17">
        <v>0</v>
      </c>
      <c r="AP39" s="17">
        <v>0</v>
      </c>
      <c r="AQ39" s="17">
        <f t="shared" si="25"/>
        <v>45.381164888876398</v>
      </c>
      <c r="AR39" s="17">
        <v>38.665630928764095</v>
      </c>
      <c r="AS39" s="17">
        <v>0</v>
      </c>
      <c r="AT39" s="17">
        <v>0</v>
      </c>
      <c r="AU39" s="17">
        <v>0</v>
      </c>
      <c r="AV39" s="17">
        <f t="shared" si="26"/>
        <v>38.665630928764095</v>
      </c>
      <c r="AW39" s="17">
        <v>29.532504743011302</v>
      </c>
      <c r="AX39" s="17">
        <v>0</v>
      </c>
      <c r="AY39" s="17">
        <v>0</v>
      </c>
      <c r="AZ39" s="17">
        <v>0</v>
      </c>
      <c r="BA39" s="17">
        <f t="shared" si="27"/>
        <v>29.532504743011302</v>
      </c>
      <c r="BB39" s="17">
        <v>24.965941650134798</v>
      </c>
      <c r="BC39" s="17">
        <v>0</v>
      </c>
      <c r="BD39" s="17">
        <v>0</v>
      </c>
      <c r="BE39" s="17">
        <v>0</v>
      </c>
      <c r="BF39" s="17">
        <f t="shared" si="28"/>
        <v>24.965941650134798</v>
      </c>
      <c r="BG39" s="17">
        <v>24.965941650134798</v>
      </c>
      <c r="BH39" s="17">
        <v>0</v>
      </c>
      <c r="BI39" s="17">
        <v>0</v>
      </c>
      <c r="BJ39" s="17">
        <v>0</v>
      </c>
      <c r="BK39" s="17">
        <f t="shared" si="29"/>
        <v>24.965941650134798</v>
      </c>
      <c r="BL39" s="17">
        <v>24.965941650134798</v>
      </c>
      <c r="BM39" s="17">
        <v>0</v>
      </c>
      <c r="BN39" s="17">
        <v>0</v>
      </c>
      <c r="BO39" s="17">
        <v>0</v>
      </c>
      <c r="BP39" s="17">
        <f t="shared" si="30"/>
        <v>24.965941650134798</v>
      </c>
      <c r="BQ39" s="17">
        <f t="shared" si="31"/>
        <v>310.98512742505221</v>
      </c>
      <c r="BR39" s="17">
        <f t="shared" si="31"/>
        <v>0</v>
      </c>
      <c r="BS39" s="17">
        <f t="shared" si="31"/>
        <v>0</v>
      </c>
      <c r="BT39" s="17">
        <f t="shared" si="31"/>
        <v>0</v>
      </c>
      <c r="BU39" s="17">
        <f t="shared" si="16"/>
        <v>310.98512742505221</v>
      </c>
    </row>
    <row r="40" spans="1:73" hidden="1" outlineLevel="1">
      <c r="A40" s="27" t="s">
        <v>33</v>
      </c>
      <c r="B40" s="17" t="s">
        <v>112</v>
      </c>
      <c r="C40" s="17" t="s">
        <v>55</v>
      </c>
      <c r="D40" s="17" t="s">
        <v>113</v>
      </c>
      <c r="E40" s="17" t="s">
        <v>114</v>
      </c>
      <c r="F40" s="18" t="s">
        <v>121</v>
      </c>
      <c r="G40" s="17" t="s">
        <v>122</v>
      </c>
      <c r="H40" s="18" t="s">
        <v>39</v>
      </c>
      <c r="I40" s="17">
        <v>105.73831945360661</v>
      </c>
      <c r="J40" s="17">
        <v>0</v>
      </c>
      <c r="K40" s="17">
        <v>0</v>
      </c>
      <c r="L40" s="17">
        <v>0</v>
      </c>
      <c r="M40" s="17">
        <f t="shared" si="19"/>
        <v>105.73831945360661</v>
      </c>
      <c r="N40" s="17">
        <v>160.67948182415802</v>
      </c>
      <c r="O40" s="17">
        <v>0</v>
      </c>
      <c r="P40" s="17">
        <v>0</v>
      </c>
      <c r="Q40" s="17">
        <v>0</v>
      </c>
      <c r="R40" s="17">
        <f t="shared" si="20"/>
        <v>160.67948182415802</v>
      </c>
      <c r="S40" s="17">
        <v>170.41922298572999</v>
      </c>
      <c r="T40" s="17">
        <v>0</v>
      </c>
      <c r="U40" s="17">
        <v>0</v>
      </c>
      <c r="V40" s="17">
        <v>0</v>
      </c>
      <c r="W40" s="17">
        <f t="shared" si="21"/>
        <v>170.41922298572999</v>
      </c>
      <c r="X40" s="17">
        <v>180.94698975494398</v>
      </c>
      <c r="Y40" s="17">
        <v>0</v>
      </c>
      <c r="Z40" s="17">
        <v>0</v>
      </c>
      <c r="AA40" s="17">
        <v>0</v>
      </c>
      <c r="AB40" s="17">
        <f t="shared" si="22"/>
        <v>180.94698975494398</v>
      </c>
      <c r="AC40" s="17">
        <v>163.02621316236002</v>
      </c>
      <c r="AD40" s="17">
        <v>0</v>
      </c>
      <c r="AE40" s="17">
        <v>0</v>
      </c>
      <c r="AF40" s="17">
        <v>0</v>
      </c>
      <c r="AG40" s="17">
        <f t="shared" si="23"/>
        <v>163.02621316236002</v>
      </c>
      <c r="AH40" s="17">
        <v>200.093591635281</v>
      </c>
      <c r="AI40" s="17">
        <v>0</v>
      </c>
      <c r="AJ40" s="17">
        <v>0</v>
      </c>
      <c r="AK40" s="17">
        <v>0</v>
      </c>
      <c r="AL40" s="17">
        <f t="shared" si="24"/>
        <v>200.093591635281</v>
      </c>
      <c r="AM40" s="17">
        <v>200.64194105977501</v>
      </c>
      <c r="AN40" s="17">
        <v>0</v>
      </c>
      <c r="AO40" s="17">
        <v>0</v>
      </c>
      <c r="AP40" s="17">
        <v>0</v>
      </c>
      <c r="AQ40" s="17">
        <f t="shared" si="25"/>
        <v>200.64194105977501</v>
      </c>
      <c r="AR40" s="17">
        <v>205.72116446719102</v>
      </c>
      <c r="AS40" s="17">
        <v>0</v>
      </c>
      <c r="AT40" s="17">
        <v>0</v>
      </c>
      <c r="AU40" s="17">
        <v>0</v>
      </c>
      <c r="AV40" s="17">
        <f t="shared" si="26"/>
        <v>205.72116446719102</v>
      </c>
      <c r="AW40" s="17">
        <v>164.576931573753</v>
      </c>
      <c r="AX40" s="17">
        <v>0</v>
      </c>
      <c r="AY40" s="17">
        <v>0</v>
      </c>
      <c r="AZ40" s="17">
        <v>0</v>
      </c>
      <c r="BA40" s="17">
        <f t="shared" si="27"/>
        <v>164.576931573753</v>
      </c>
      <c r="BB40" s="17">
        <v>144.50481512703402</v>
      </c>
      <c r="BC40" s="17">
        <v>0</v>
      </c>
      <c r="BD40" s="17">
        <v>0</v>
      </c>
      <c r="BE40" s="17">
        <v>0</v>
      </c>
      <c r="BF40" s="17">
        <f t="shared" si="28"/>
        <v>144.50481512703402</v>
      </c>
      <c r="BG40" s="17">
        <v>144.50481512703402</v>
      </c>
      <c r="BH40" s="17">
        <v>0</v>
      </c>
      <c r="BI40" s="17">
        <v>0</v>
      </c>
      <c r="BJ40" s="17">
        <v>0</v>
      </c>
      <c r="BK40" s="17">
        <f t="shared" si="29"/>
        <v>144.50481512703402</v>
      </c>
      <c r="BL40" s="17">
        <v>144.50481512703402</v>
      </c>
      <c r="BM40" s="17">
        <v>0</v>
      </c>
      <c r="BN40" s="17">
        <v>0</v>
      </c>
      <c r="BO40" s="17">
        <v>0</v>
      </c>
      <c r="BP40" s="17">
        <f t="shared" si="30"/>
        <v>144.50481512703402</v>
      </c>
      <c r="BQ40" s="17">
        <f t="shared" si="31"/>
        <v>1985.3583012979009</v>
      </c>
      <c r="BR40" s="17">
        <f t="shared" si="31"/>
        <v>0</v>
      </c>
      <c r="BS40" s="17">
        <f t="shared" si="31"/>
        <v>0</v>
      </c>
      <c r="BT40" s="17">
        <f t="shared" si="31"/>
        <v>0</v>
      </c>
      <c r="BU40" s="17">
        <f t="shared" si="16"/>
        <v>1985.3583012979009</v>
      </c>
    </row>
    <row r="41" spans="1:73" hidden="1" outlineLevel="1">
      <c r="A41" s="27" t="s">
        <v>33</v>
      </c>
      <c r="B41" s="17" t="s">
        <v>112</v>
      </c>
      <c r="C41" s="17" t="s">
        <v>55</v>
      </c>
      <c r="D41" s="17" t="s">
        <v>113</v>
      </c>
      <c r="E41" s="17" t="s">
        <v>114</v>
      </c>
      <c r="F41" s="18" t="s">
        <v>123</v>
      </c>
      <c r="G41" s="17" t="s">
        <v>124</v>
      </c>
      <c r="H41" s="18" t="s">
        <v>45</v>
      </c>
      <c r="I41" s="17">
        <v>733.93263999999999</v>
      </c>
      <c r="J41" s="17">
        <v>960.88636681361209</v>
      </c>
      <c r="K41" s="17">
        <v>0</v>
      </c>
      <c r="L41" s="17">
        <v>0</v>
      </c>
      <c r="M41" s="17">
        <f t="shared" si="19"/>
        <v>1694.8190068136121</v>
      </c>
      <c r="N41" s="17">
        <v>1054.6273108067487</v>
      </c>
      <c r="O41" s="17">
        <v>458.81057566971219</v>
      </c>
      <c r="P41" s="17">
        <v>0</v>
      </c>
      <c r="Q41" s="17">
        <v>0</v>
      </c>
      <c r="R41" s="17">
        <f t="shared" si="20"/>
        <v>1513.4378864764608</v>
      </c>
      <c r="S41" s="17">
        <v>941.79664600000001</v>
      </c>
      <c r="T41" s="17">
        <v>692.864301194056</v>
      </c>
      <c r="U41" s="17">
        <v>0</v>
      </c>
      <c r="V41" s="17">
        <v>0</v>
      </c>
      <c r="W41" s="17">
        <f t="shared" si="21"/>
        <v>1634.660947194056</v>
      </c>
      <c r="X41" s="17">
        <v>1305.5396840000001</v>
      </c>
      <c r="Y41" s="17">
        <v>647.50699154615177</v>
      </c>
      <c r="Z41" s="17">
        <v>0</v>
      </c>
      <c r="AA41" s="17">
        <v>0</v>
      </c>
      <c r="AB41" s="17">
        <f t="shared" si="22"/>
        <v>1953.0466755461518</v>
      </c>
      <c r="AC41" s="17">
        <v>1204.803926</v>
      </c>
      <c r="AD41" s="17">
        <v>1037.2283161883349</v>
      </c>
      <c r="AE41" s="17">
        <v>0</v>
      </c>
      <c r="AF41" s="17">
        <v>0</v>
      </c>
      <c r="AG41" s="17">
        <f t="shared" si="23"/>
        <v>2242.0322421883347</v>
      </c>
      <c r="AH41" s="17">
        <v>1489.3562280000001</v>
      </c>
      <c r="AI41" s="17">
        <v>579.59067031168206</v>
      </c>
      <c r="AJ41" s="17">
        <v>0</v>
      </c>
      <c r="AK41" s="17">
        <v>0</v>
      </c>
      <c r="AL41" s="17">
        <f t="shared" si="24"/>
        <v>2068.9468983116822</v>
      </c>
      <c r="AM41" s="17">
        <v>1439.0776559999999</v>
      </c>
      <c r="AN41" s="17">
        <v>670.03051114305924</v>
      </c>
      <c r="AO41" s="17">
        <v>0</v>
      </c>
      <c r="AP41" s="17">
        <v>0</v>
      </c>
      <c r="AQ41" s="17">
        <f t="shared" si="25"/>
        <v>2109.1081671430593</v>
      </c>
      <c r="AR41" s="17">
        <v>1527.2456479999998</v>
      </c>
      <c r="AS41" s="17">
        <v>580.89073981408364</v>
      </c>
      <c r="AT41" s="17">
        <v>0</v>
      </c>
      <c r="AU41" s="17">
        <v>0</v>
      </c>
      <c r="AV41" s="17">
        <f t="shared" si="26"/>
        <v>2108.1363878140837</v>
      </c>
      <c r="AW41" s="17">
        <v>1527.2456479999998</v>
      </c>
      <c r="AX41" s="17">
        <v>617.47082970467602</v>
      </c>
      <c r="AY41" s="17">
        <v>0</v>
      </c>
      <c r="AZ41" s="17">
        <v>0</v>
      </c>
      <c r="BA41" s="17">
        <f t="shared" si="27"/>
        <v>2144.716477704676</v>
      </c>
      <c r="BB41" s="17">
        <v>1527.2456479999998</v>
      </c>
      <c r="BC41" s="17">
        <v>521.45257242303455</v>
      </c>
      <c r="BD41" s="17">
        <v>0</v>
      </c>
      <c r="BE41" s="17">
        <v>0</v>
      </c>
      <c r="BF41" s="17">
        <f t="shared" si="28"/>
        <v>2048.6982204230344</v>
      </c>
      <c r="BG41" s="17">
        <v>1527.2456479999998</v>
      </c>
      <c r="BH41" s="17">
        <v>536.55334379795147</v>
      </c>
      <c r="BI41" s="17">
        <v>0</v>
      </c>
      <c r="BJ41" s="17">
        <v>0</v>
      </c>
      <c r="BK41" s="17">
        <f t="shared" si="29"/>
        <v>2063.7989917979512</v>
      </c>
      <c r="BL41" s="17">
        <v>1527.2456479999998</v>
      </c>
      <c r="BM41" s="17">
        <v>535.5092000522385</v>
      </c>
      <c r="BN41" s="17">
        <v>0</v>
      </c>
      <c r="BO41" s="17">
        <v>0</v>
      </c>
      <c r="BP41" s="17">
        <f t="shared" si="30"/>
        <v>2062.7548480522382</v>
      </c>
      <c r="BQ41" s="17">
        <f t="shared" si="31"/>
        <v>15805.362330806751</v>
      </c>
      <c r="BR41" s="17">
        <f t="shared" si="31"/>
        <v>7838.7944186585919</v>
      </c>
      <c r="BS41" s="17">
        <f t="shared" si="31"/>
        <v>0</v>
      </c>
      <c r="BT41" s="17">
        <f t="shared" si="31"/>
        <v>0</v>
      </c>
      <c r="BU41" s="17">
        <f t="shared" si="16"/>
        <v>23644.156749465343</v>
      </c>
    </row>
    <row r="42" spans="1:73" hidden="1" outlineLevel="1">
      <c r="A42" s="27" t="s">
        <v>33</v>
      </c>
      <c r="B42" s="17" t="s">
        <v>112</v>
      </c>
      <c r="C42" s="17" t="s">
        <v>55</v>
      </c>
      <c r="D42" s="17" t="s">
        <v>113</v>
      </c>
      <c r="E42" s="17" t="s">
        <v>114</v>
      </c>
      <c r="F42" s="18" t="s">
        <v>125</v>
      </c>
      <c r="G42" s="17" t="s">
        <v>126</v>
      </c>
      <c r="H42" s="18" t="s">
        <v>39</v>
      </c>
      <c r="I42" s="17">
        <v>23.965513108610001</v>
      </c>
      <c r="J42" s="17">
        <v>0</v>
      </c>
      <c r="K42" s="17">
        <v>0</v>
      </c>
      <c r="L42" s="17">
        <v>0</v>
      </c>
      <c r="M42" s="17">
        <f t="shared" si="19"/>
        <v>23.965513108610001</v>
      </c>
      <c r="N42" s="17">
        <v>22.997157083054699</v>
      </c>
      <c r="O42" s="17">
        <v>0</v>
      </c>
      <c r="P42" s="17">
        <v>0</v>
      </c>
      <c r="Q42" s="17">
        <v>0</v>
      </c>
      <c r="R42" s="17">
        <f t="shared" si="20"/>
        <v>22.997157083054699</v>
      </c>
      <c r="S42" s="17">
        <v>23.587961128202302</v>
      </c>
      <c r="T42" s="17">
        <v>0</v>
      </c>
      <c r="U42" s="17">
        <v>0</v>
      </c>
      <c r="V42" s="17">
        <v>0</v>
      </c>
      <c r="W42" s="17">
        <f t="shared" si="21"/>
        <v>23.587961128202302</v>
      </c>
      <c r="X42" s="17">
        <v>28.19298492875334</v>
      </c>
      <c r="Y42" s="17">
        <v>0</v>
      </c>
      <c r="Z42" s="17">
        <v>0</v>
      </c>
      <c r="AA42" s="17">
        <v>0</v>
      </c>
      <c r="AB42" s="17">
        <f t="shared" si="22"/>
        <v>28.19298492875334</v>
      </c>
      <c r="AC42" s="17">
        <v>26.175922256404501</v>
      </c>
      <c r="AD42" s="17">
        <v>0</v>
      </c>
      <c r="AE42" s="17">
        <v>0</v>
      </c>
      <c r="AF42" s="17">
        <v>0</v>
      </c>
      <c r="AG42" s="17">
        <f t="shared" si="23"/>
        <v>26.175922256404501</v>
      </c>
      <c r="AH42" s="17">
        <v>32.548349424494404</v>
      </c>
      <c r="AI42" s="17">
        <v>0</v>
      </c>
      <c r="AJ42" s="17">
        <v>0</v>
      </c>
      <c r="AK42" s="17">
        <v>0</v>
      </c>
      <c r="AL42" s="17">
        <f t="shared" si="24"/>
        <v>32.548349424494404</v>
      </c>
      <c r="AM42" s="17">
        <v>33.122524136741603</v>
      </c>
      <c r="AN42" s="17">
        <v>0</v>
      </c>
      <c r="AO42" s="17">
        <v>0</v>
      </c>
      <c r="AP42" s="17">
        <v>0</v>
      </c>
      <c r="AQ42" s="17">
        <f t="shared" si="25"/>
        <v>33.122524136741603</v>
      </c>
      <c r="AR42" s="17">
        <v>28.862135840449447</v>
      </c>
      <c r="AS42" s="17">
        <v>0</v>
      </c>
      <c r="AT42" s="17">
        <v>0</v>
      </c>
      <c r="AU42" s="17">
        <v>0</v>
      </c>
      <c r="AV42" s="17">
        <f t="shared" si="26"/>
        <v>28.862135840449447</v>
      </c>
      <c r="AW42" s="17">
        <v>23.489708672359562</v>
      </c>
      <c r="AX42" s="17">
        <v>0</v>
      </c>
      <c r="AY42" s="17">
        <v>0</v>
      </c>
      <c r="AZ42" s="17">
        <v>0</v>
      </c>
      <c r="BA42" s="17">
        <f t="shared" si="27"/>
        <v>23.489708672359562</v>
      </c>
      <c r="BB42" s="17">
        <v>20.803495088314602</v>
      </c>
      <c r="BC42" s="17">
        <v>0</v>
      </c>
      <c r="BD42" s="17">
        <v>0</v>
      </c>
      <c r="BE42" s="17">
        <v>0</v>
      </c>
      <c r="BF42" s="17">
        <f t="shared" si="28"/>
        <v>20.803495088314602</v>
      </c>
      <c r="BG42" s="17">
        <v>21.803495088314602</v>
      </c>
      <c r="BH42" s="17">
        <v>0</v>
      </c>
      <c r="BI42" s="17">
        <v>0</v>
      </c>
      <c r="BJ42" s="17">
        <v>0</v>
      </c>
      <c r="BK42" s="17">
        <f t="shared" si="29"/>
        <v>21.803495088314602</v>
      </c>
      <c r="BL42" s="17">
        <v>21.803495088314602</v>
      </c>
      <c r="BM42" s="17">
        <v>0</v>
      </c>
      <c r="BN42" s="17">
        <v>0</v>
      </c>
      <c r="BO42" s="17">
        <v>0</v>
      </c>
      <c r="BP42" s="17">
        <f t="shared" si="30"/>
        <v>21.803495088314602</v>
      </c>
      <c r="BQ42" s="17">
        <f t="shared" si="31"/>
        <v>307.35274184401362</v>
      </c>
      <c r="BR42" s="17">
        <f t="shared" si="31"/>
        <v>0</v>
      </c>
      <c r="BS42" s="17">
        <f t="shared" si="31"/>
        <v>0</v>
      </c>
      <c r="BT42" s="17">
        <f t="shared" si="31"/>
        <v>0</v>
      </c>
      <c r="BU42" s="17">
        <f t="shared" si="16"/>
        <v>307.35274184401362</v>
      </c>
    </row>
    <row r="43" spans="1:73" hidden="1" outlineLevel="1">
      <c r="A43" s="27" t="s">
        <v>33</v>
      </c>
      <c r="B43" s="17" t="s">
        <v>112</v>
      </c>
      <c r="C43" s="17" t="s">
        <v>55</v>
      </c>
      <c r="D43" s="17" t="s">
        <v>113</v>
      </c>
      <c r="E43" s="17" t="s">
        <v>114</v>
      </c>
      <c r="F43" s="18" t="s">
        <v>127</v>
      </c>
      <c r="G43" s="17" t="s">
        <v>128</v>
      </c>
      <c r="H43" s="18" t="s">
        <v>39</v>
      </c>
      <c r="I43" s="17">
        <v>98.550256824452404</v>
      </c>
      <c r="J43" s="17">
        <v>0</v>
      </c>
      <c r="K43" s="17">
        <v>0</v>
      </c>
      <c r="L43" s="17">
        <v>0</v>
      </c>
      <c r="M43" s="17">
        <f t="shared" si="19"/>
        <v>98.550256824452404</v>
      </c>
      <c r="N43" s="17">
        <v>82.564268534461036</v>
      </c>
      <c r="O43" s="17">
        <v>0</v>
      </c>
      <c r="P43" s="17">
        <v>0</v>
      </c>
      <c r="Q43" s="17">
        <v>0</v>
      </c>
      <c r="R43" s="17">
        <f t="shared" si="20"/>
        <v>82.564268534461036</v>
      </c>
      <c r="S43" s="17">
        <v>101.27174150223105</v>
      </c>
      <c r="T43" s="17">
        <v>0</v>
      </c>
      <c r="U43" s="17">
        <v>0</v>
      </c>
      <c r="V43" s="17">
        <v>0</v>
      </c>
      <c r="W43" s="17">
        <f t="shared" si="21"/>
        <v>101.27174150223105</v>
      </c>
      <c r="X43" s="17">
        <v>132.04464628588454</v>
      </c>
      <c r="Y43" s="17">
        <v>0</v>
      </c>
      <c r="Z43" s="17">
        <v>0</v>
      </c>
      <c r="AA43" s="17">
        <v>0</v>
      </c>
      <c r="AB43" s="17">
        <f t="shared" si="22"/>
        <v>132.04464628588454</v>
      </c>
      <c r="AC43" s="17">
        <v>141.5210087303268</v>
      </c>
      <c r="AD43" s="17">
        <v>0</v>
      </c>
      <c r="AE43" s="17">
        <v>0</v>
      </c>
      <c r="AF43" s="17">
        <v>0</v>
      </c>
      <c r="AG43" s="17">
        <f t="shared" si="23"/>
        <v>141.5210087303268</v>
      </c>
      <c r="AH43" s="17">
        <v>138.40279392508089</v>
      </c>
      <c r="AI43" s="17">
        <v>0</v>
      </c>
      <c r="AJ43" s="17">
        <v>0</v>
      </c>
      <c r="AK43" s="17">
        <v>0</v>
      </c>
      <c r="AL43" s="17">
        <f t="shared" si="24"/>
        <v>138.40279392508089</v>
      </c>
      <c r="AM43" s="17">
        <v>197.3855292536557</v>
      </c>
      <c r="AN43" s="17">
        <v>0</v>
      </c>
      <c r="AO43" s="17">
        <v>0</v>
      </c>
      <c r="AP43" s="17">
        <v>0</v>
      </c>
      <c r="AQ43" s="17">
        <f t="shared" si="25"/>
        <v>197.3855292536557</v>
      </c>
      <c r="AR43" s="17">
        <v>187.72200185370701</v>
      </c>
      <c r="AS43" s="17">
        <v>0</v>
      </c>
      <c r="AT43" s="17">
        <v>0</v>
      </c>
      <c r="AU43" s="17">
        <v>0</v>
      </c>
      <c r="AV43" s="17">
        <f t="shared" si="26"/>
        <v>187.72200185370701</v>
      </c>
      <c r="AW43" s="17">
        <v>187.72200185370701</v>
      </c>
      <c r="AX43" s="17">
        <v>0</v>
      </c>
      <c r="AY43" s="17">
        <v>0</v>
      </c>
      <c r="AZ43" s="17">
        <v>0</v>
      </c>
      <c r="BA43" s="17">
        <f t="shared" si="27"/>
        <v>187.72200185370701</v>
      </c>
      <c r="BB43" s="17">
        <v>187.22200185370701</v>
      </c>
      <c r="BC43" s="17">
        <v>0</v>
      </c>
      <c r="BD43" s="17">
        <v>0</v>
      </c>
      <c r="BE43" s="17">
        <v>0</v>
      </c>
      <c r="BF43" s="17">
        <f t="shared" si="28"/>
        <v>187.22200185370701</v>
      </c>
      <c r="BG43" s="17">
        <v>130.8054012975945</v>
      </c>
      <c r="BH43" s="17">
        <v>0</v>
      </c>
      <c r="BI43" s="17">
        <v>0</v>
      </c>
      <c r="BJ43" s="17">
        <v>0</v>
      </c>
      <c r="BK43" s="17">
        <f t="shared" si="29"/>
        <v>130.8054012975945</v>
      </c>
      <c r="BL43" s="17">
        <v>130.8054012975945</v>
      </c>
      <c r="BM43" s="17">
        <v>0</v>
      </c>
      <c r="BN43" s="17">
        <v>0</v>
      </c>
      <c r="BO43" s="17">
        <v>0</v>
      </c>
      <c r="BP43" s="17">
        <f t="shared" si="30"/>
        <v>130.8054012975945</v>
      </c>
      <c r="BQ43" s="17">
        <f t="shared" si="31"/>
        <v>1716.0170532124023</v>
      </c>
      <c r="BR43" s="17">
        <f t="shared" si="31"/>
        <v>0</v>
      </c>
      <c r="BS43" s="17">
        <f t="shared" si="31"/>
        <v>0</v>
      </c>
      <c r="BT43" s="17">
        <f t="shared" si="31"/>
        <v>0</v>
      </c>
      <c r="BU43" s="17">
        <f t="shared" si="16"/>
        <v>1716.0170532124023</v>
      </c>
    </row>
    <row r="44" spans="1:73" hidden="1" outlineLevel="1">
      <c r="A44" s="27" t="s">
        <v>33</v>
      </c>
      <c r="B44" s="17" t="s">
        <v>112</v>
      </c>
      <c r="C44" s="17" t="s">
        <v>55</v>
      </c>
      <c r="D44" s="17" t="s">
        <v>113</v>
      </c>
      <c r="E44" s="17" t="s">
        <v>114</v>
      </c>
      <c r="F44" s="18" t="s">
        <v>129</v>
      </c>
      <c r="G44" s="17" t="s">
        <v>130</v>
      </c>
      <c r="H44" s="18" t="s">
        <v>39</v>
      </c>
      <c r="I44" s="17">
        <v>25.884178320962796</v>
      </c>
      <c r="J44" s="17">
        <v>0</v>
      </c>
      <c r="K44" s="17">
        <v>0</v>
      </c>
      <c r="L44" s="17">
        <v>0</v>
      </c>
      <c r="M44" s="17">
        <f t="shared" si="19"/>
        <v>25.884178320962796</v>
      </c>
      <c r="N44" s="17">
        <v>26.39585230004511</v>
      </c>
      <c r="O44" s="17">
        <v>0</v>
      </c>
      <c r="P44" s="17">
        <v>0</v>
      </c>
      <c r="Q44" s="17">
        <v>0</v>
      </c>
      <c r="R44" s="17">
        <f t="shared" si="20"/>
        <v>26.39585230004511</v>
      </c>
      <c r="S44" s="17">
        <v>26.287961128202301</v>
      </c>
      <c r="T44" s="17">
        <v>0</v>
      </c>
      <c r="U44" s="17">
        <v>0</v>
      </c>
      <c r="V44" s="17">
        <v>0</v>
      </c>
      <c r="W44" s="17">
        <f t="shared" si="21"/>
        <v>26.287961128202301</v>
      </c>
      <c r="X44" s="17">
        <v>27.146601880337101</v>
      </c>
      <c r="Y44" s="17">
        <v>0</v>
      </c>
      <c r="Z44" s="17">
        <v>0</v>
      </c>
      <c r="AA44" s="17">
        <v>0</v>
      </c>
      <c r="AB44" s="17">
        <f t="shared" si="22"/>
        <v>27.146601880337101</v>
      </c>
      <c r="AC44" s="17">
        <v>26.960388296292098</v>
      </c>
      <c r="AD44" s="17">
        <v>0</v>
      </c>
      <c r="AE44" s="17">
        <v>0</v>
      </c>
      <c r="AF44" s="17">
        <v>0</v>
      </c>
      <c r="AG44" s="17">
        <f t="shared" si="23"/>
        <v>26.960388296292098</v>
      </c>
      <c r="AH44" s="17">
        <v>44.636310552696635</v>
      </c>
      <c r="AI44" s="17">
        <v>0</v>
      </c>
      <c r="AJ44" s="17">
        <v>0</v>
      </c>
      <c r="AK44" s="17">
        <v>0</v>
      </c>
      <c r="AL44" s="17">
        <f t="shared" si="24"/>
        <v>44.636310552696635</v>
      </c>
      <c r="AM44" s="17">
        <v>52.351844512809002</v>
      </c>
      <c r="AN44" s="17">
        <v>0</v>
      </c>
      <c r="AO44" s="17">
        <v>0</v>
      </c>
      <c r="AP44" s="17">
        <v>0</v>
      </c>
      <c r="AQ44" s="17">
        <f t="shared" si="25"/>
        <v>52.351844512809002</v>
      </c>
      <c r="AR44" s="17">
        <v>43.293203760674203</v>
      </c>
      <c r="AS44" s="17">
        <v>0</v>
      </c>
      <c r="AT44" s="17">
        <v>0</v>
      </c>
      <c r="AU44" s="17">
        <v>0</v>
      </c>
      <c r="AV44" s="17">
        <f t="shared" si="26"/>
        <v>43.293203760674203</v>
      </c>
      <c r="AW44" s="17">
        <v>43.293203760674203</v>
      </c>
      <c r="AX44" s="17">
        <v>0</v>
      </c>
      <c r="AY44" s="17">
        <v>0</v>
      </c>
      <c r="AZ44" s="17">
        <v>0</v>
      </c>
      <c r="BA44" s="17">
        <f t="shared" si="27"/>
        <v>43.293203760674203</v>
      </c>
      <c r="BB44" s="17">
        <v>35.5932037606742</v>
      </c>
      <c r="BC44" s="17">
        <v>0</v>
      </c>
      <c r="BD44" s="17">
        <v>0</v>
      </c>
      <c r="BE44" s="17">
        <v>0</v>
      </c>
      <c r="BF44" s="17">
        <f t="shared" si="28"/>
        <v>35.5932037606742</v>
      </c>
      <c r="BG44" s="17">
        <v>35.293203760674203</v>
      </c>
      <c r="BH44" s="17">
        <v>0</v>
      </c>
      <c r="BI44" s="17">
        <v>0</v>
      </c>
      <c r="BJ44" s="17">
        <v>0</v>
      </c>
      <c r="BK44" s="17">
        <f t="shared" si="29"/>
        <v>35.293203760674203</v>
      </c>
      <c r="BL44" s="17">
        <v>33.293203760674203</v>
      </c>
      <c r="BM44" s="17">
        <v>0</v>
      </c>
      <c r="BN44" s="17">
        <v>0</v>
      </c>
      <c r="BO44" s="17">
        <v>0</v>
      </c>
      <c r="BP44" s="17">
        <f t="shared" si="30"/>
        <v>33.293203760674203</v>
      </c>
      <c r="BQ44" s="17">
        <f t="shared" si="31"/>
        <v>420.42915579471605</v>
      </c>
      <c r="BR44" s="17">
        <f t="shared" si="31"/>
        <v>0</v>
      </c>
      <c r="BS44" s="17">
        <f t="shared" si="31"/>
        <v>0</v>
      </c>
      <c r="BT44" s="17">
        <f t="shared" si="31"/>
        <v>0</v>
      </c>
      <c r="BU44" s="17">
        <f t="shared" si="16"/>
        <v>420.42915579471605</v>
      </c>
    </row>
    <row r="45" spans="1:73" hidden="1" outlineLevel="1">
      <c r="A45" s="27" t="s">
        <v>33</v>
      </c>
      <c r="B45" s="17" t="s">
        <v>112</v>
      </c>
      <c r="C45" s="17" t="s">
        <v>55</v>
      </c>
      <c r="D45" s="17" t="s">
        <v>131</v>
      </c>
      <c r="E45" s="17" t="s">
        <v>132</v>
      </c>
      <c r="F45" s="18" t="s">
        <v>133</v>
      </c>
      <c r="G45" s="17" t="s">
        <v>134</v>
      </c>
      <c r="H45" s="18" t="s">
        <v>45</v>
      </c>
      <c r="I45" s="17">
        <v>177.25532042472773</v>
      </c>
      <c r="J45" s="17">
        <v>308.81530482665386</v>
      </c>
      <c r="K45" s="17">
        <v>0</v>
      </c>
      <c r="L45" s="17">
        <v>0</v>
      </c>
      <c r="M45" s="17">
        <f t="shared" si="19"/>
        <v>486.07062525138156</v>
      </c>
      <c r="N45" s="17">
        <v>286.82595708683886</v>
      </c>
      <c r="O45" s="17">
        <v>59.324182856487738</v>
      </c>
      <c r="P45" s="17">
        <v>0</v>
      </c>
      <c r="Q45" s="17">
        <v>0</v>
      </c>
      <c r="R45" s="17">
        <f t="shared" si="20"/>
        <v>346.15013994332662</v>
      </c>
      <c r="S45" s="17">
        <v>177.422224</v>
      </c>
      <c r="T45" s="17">
        <v>309.6484012513975</v>
      </c>
      <c r="U45" s="17">
        <v>0</v>
      </c>
      <c r="V45" s="17">
        <v>0</v>
      </c>
      <c r="W45" s="17">
        <f t="shared" si="21"/>
        <v>487.07062525139747</v>
      </c>
      <c r="X45" s="17">
        <v>303.4468</v>
      </c>
      <c r="Y45" s="17">
        <v>178.54987597436929</v>
      </c>
      <c r="Z45" s="17">
        <v>0</v>
      </c>
      <c r="AA45" s="17">
        <v>0</v>
      </c>
      <c r="AB45" s="17">
        <f t="shared" si="22"/>
        <v>481.99667597436928</v>
      </c>
      <c r="AC45" s="17">
        <v>299.80279999999999</v>
      </c>
      <c r="AD45" s="17">
        <v>222.73152801361323</v>
      </c>
      <c r="AE45" s="17">
        <v>0</v>
      </c>
      <c r="AF45" s="17">
        <v>0</v>
      </c>
      <c r="AG45" s="17">
        <f t="shared" si="23"/>
        <v>522.53432801361328</v>
      </c>
      <c r="AH45" s="17">
        <v>248.56435200000001</v>
      </c>
      <c r="AI45" s="17">
        <v>282.4635132039968</v>
      </c>
      <c r="AJ45" s="17">
        <v>0</v>
      </c>
      <c r="AK45" s="17">
        <v>0</v>
      </c>
      <c r="AL45" s="17">
        <f t="shared" si="24"/>
        <v>531.02786520399684</v>
      </c>
      <c r="AM45" s="17">
        <v>353.87328000000002</v>
      </c>
      <c r="AN45" s="17">
        <v>246.21299977551794</v>
      </c>
      <c r="AO45" s="17">
        <v>0</v>
      </c>
      <c r="AP45" s="17">
        <v>0</v>
      </c>
      <c r="AQ45" s="17">
        <f t="shared" si="25"/>
        <v>600.08627977551794</v>
      </c>
      <c r="AR45" s="17">
        <v>327.73392000000001</v>
      </c>
      <c r="AS45" s="17">
        <v>273.01535901054194</v>
      </c>
      <c r="AT45" s="17">
        <v>0</v>
      </c>
      <c r="AU45" s="17">
        <v>0</v>
      </c>
      <c r="AV45" s="17">
        <f t="shared" si="26"/>
        <v>600.74927901054195</v>
      </c>
      <c r="AW45" s="17">
        <v>327.73392000000001</v>
      </c>
      <c r="AX45" s="17">
        <v>281.81128000000001</v>
      </c>
      <c r="AY45" s="17">
        <v>0</v>
      </c>
      <c r="AZ45" s="17">
        <v>0</v>
      </c>
      <c r="BA45" s="17">
        <f t="shared" si="27"/>
        <v>609.54520000000002</v>
      </c>
      <c r="BB45" s="17">
        <v>277.73392000000001</v>
      </c>
      <c r="BC45" s="17">
        <v>293.2692508832771</v>
      </c>
      <c r="BD45" s="17">
        <v>0</v>
      </c>
      <c r="BE45" s="17">
        <v>0</v>
      </c>
      <c r="BF45" s="17">
        <f t="shared" si="28"/>
        <v>571.00317088327711</v>
      </c>
      <c r="BG45" s="17">
        <v>277.73392000000001</v>
      </c>
      <c r="BH45" s="17">
        <v>306.01535901052659</v>
      </c>
      <c r="BI45" s="17">
        <v>0</v>
      </c>
      <c r="BJ45" s="17">
        <v>0</v>
      </c>
      <c r="BK45" s="17">
        <f t="shared" si="29"/>
        <v>583.74927901052661</v>
      </c>
      <c r="BL45" s="17">
        <v>307.73392000000001</v>
      </c>
      <c r="BM45" s="17">
        <v>306.01535901054183</v>
      </c>
      <c r="BN45" s="17">
        <v>0</v>
      </c>
      <c r="BO45" s="17">
        <v>0</v>
      </c>
      <c r="BP45" s="17">
        <f t="shared" si="30"/>
        <v>613.74927901054184</v>
      </c>
      <c r="BQ45" s="17">
        <f t="shared" si="31"/>
        <v>3365.8603335115672</v>
      </c>
      <c r="BR45" s="17">
        <f t="shared" si="31"/>
        <v>3067.8724138169241</v>
      </c>
      <c r="BS45" s="17">
        <f t="shared" si="31"/>
        <v>0</v>
      </c>
      <c r="BT45" s="17">
        <f t="shared" si="31"/>
        <v>0</v>
      </c>
      <c r="BU45" s="17">
        <f t="shared" si="16"/>
        <v>6433.7327473284913</v>
      </c>
    </row>
    <row r="46" spans="1:73" hidden="1" outlineLevel="1">
      <c r="A46" s="27" t="s">
        <v>33</v>
      </c>
      <c r="B46" s="17" t="s">
        <v>112</v>
      </c>
      <c r="C46" s="17" t="s">
        <v>55</v>
      </c>
      <c r="D46" s="17" t="s">
        <v>135</v>
      </c>
      <c r="E46" s="17" t="s">
        <v>136</v>
      </c>
      <c r="F46" s="18" t="s">
        <v>137</v>
      </c>
      <c r="G46" s="17" t="s">
        <v>138</v>
      </c>
      <c r="H46" s="18" t="s">
        <v>39</v>
      </c>
      <c r="I46" s="17">
        <v>58.872777409713997</v>
      </c>
      <c r="J46" s="17">
        <v>58.895241959959534</v>
      </c>
      <c r="K46" s="17">
        <v>0</v>
      </c>
      <c r="L46" s="17">
        <v>0</v>
      </c>
      <c r="M46" s="17">
        <f t="shared" si="19"/>
        <v>117.76801936967354</v>
      </c>
      <c r="N46" s="17">
        <v>61.586641977829991</v>
      </c>
      <c r="O46" s="17">
        <v>52</v>
      </c>
      <c r="P46" s="17">
        <v>0</v>
      </c>
      <c r="Q46" s="17">
        <v>0</v>
      </c>
      <c r="R46" s="17">
        <f t="shared" si="20"/>
        <v>113.58664197783</v>
      </c>
      <c r="S46" s="17">
        <v>101.7944840110659</v>
      </c>
      <c r="T46" s="17">
        <v>1</v>
      </c>
      <c r="U46" s="17">
        <v>0</v>
      </c>
      <c r="V46" s="17">
        <v>0</v>
      </c>
      <c r="W46" s="17">
        <f t="shared" si="21"/>
        <v>102.7944840110659</v>
      </c>
      <c r="X46" s="17">
        <v>66.525978681421194</v>
      </c>
      <c r="Y46" s="17">
        <v>85.677682799928249</v>
      </c>
      <c r="Z46" s="17">
        <v>0</v>
      </c>
      <c r="AA46" s="17">
        <v>0</v>
      </c>
      <c r="AB46" s="17">
        <f t="shared" si="22"/>
        <v>152.20366148134946</v>
      </c>
      <c r="AC46" s="17">
        <v>52.394484011065899</v>
      </c>
      <c r="AD46" s="17">
        <v>52.895241959959499</v>
      </c>
      <c r="AE46" s="17">
        <v>0</v>
      </c>
      <c r="AF46" s="17">
        <v>0</v>
      </c>
      <c r="AG46" s="17">
        <f t="shared" si="23"/>
        <v>105.2897259710254</v>
      </c>
      <c r="AH46" s="17">
        <v>80.139241762600307</v>
      </c>
      <c r="AI46" s="17">
        <v>83.191739479074499</v>
      </c>
      <c r="AJ46" s="17">
        <v>0</v>
      </c>
      <c r="AK46" s="17">
        <v>0</v>
      </c>
      <c r="AL46" s="17">
        <f t="shared" si="24"/>
        <v>163.33098124167481</v>
      </c>
      <c r="AM46" s="17">
        <v>104.7889680221317</v>
      </c>
      <c r="AN46" s="17">
        <v>37.082387495462996</v>
      </c>
      <c r="AO46" s="17">
        <v>0</v>
      </c>
      <c r="AP46" s="17">
        <v>0</v>
      </c>
      <c r="AQ46" s="17">
        <f t="shared" si="25"/>
        <v>141.87135551759468</v>
      </c>
      <c r="AR46" s="17">
        <v>85.875051815670375</v>
      </c>
      <c r="AS46" s="17">
        <v>79.8434199138201</v>
      </c>
      <c r="AT46" s="17">
        <v>0</v>
      </c>
      <c r="AU46" s="17">
        <v>0</v>
      </c>
      <c r="AV46" s="17">
        <f t="shared" si="26"/>
        <v>165.71847172949049</v>
      </c>
      <c r="AW46" s="17">
        <v>85.875051815670375</v>
      </c>
      <c r="AX46" s="17">
        <v>79.8434199138201</v>
      </c>
      <c r="AY46" s="17">
        <v>0</v>
      </c>
      <c r="AZ46" s="17">
        <v>0</v>
      </c>
      <c r="BA46" s="17">
        <f t="shared" si="27"/>
        <v>165.71847172949049</v>
      </c>
      <c r="BB46" s="17">
        <v>85.875051815670375</v>
      </c>
      <c r="BC46" s="17">
        <v>77.8434199138201</v>
      </c>
      <c r="BD46" s="17">
        <v>0</v>
      </c>
      <c r="BE46" s="17">
        <v>0</v>
      </c>
      <c r="BF46" s="17">
        <f t="shared" si="28"/>
        <v>163.71847172949049</v>
      </c>
      <c r="BG46" s="17">
        <v>85.875051815670375</v>
      </c>
      <c r="BH46" s="17">
        <v>77.8434199138201</v>
      </c>
      <c r="BI46" s="17">
        <v>0</v>
      </c>
      <c r="BJ46" s="17">
        <v>0</v>
      </c>
      <c r="BK46" s="17">
        <f t="shared" si="29"/>
        <v>163.71847172949049</v>
      </c>
      <c r="BL46" s="17">
        <v>85.875051815670375</v>
      </c>
      <c r="BM46" s="17">
        <v>77.8434199138201</v>
      </c>
      <c r="BN46" s="17">
        <v>0</v>
      </c>
      <c r="BO46" s="17">
        <v>0</v>
      </c>
      <c r="BP46" s="17">
        <f t="shared" si="30"/>
        <v>163.71847172949049</v>
      </c>
      <c r="BQ46" s="17">
        <f t="shared" si="31"/>
        <v>955.47783495418093</v>
      </c>
      <c r="BR46" s="17">
        <f t="shared" si="31"/>
        <v>763.95939326348525</v>
      </c>
      <c r="BS46" s="17">
        <f t="shared" si="31"/>
        <v>0</v>
      </c>
      <c r="BT46" s="17">
        <f t="shared" si="31"/>
        <v>0</v>
      </c>
      <c r="BU46" s="17">
        <f t="shared" si="16"/>
        <v>1719.4372282176662</v>
      </c>
    </row>
    <row r="47" spans="1:73" hidden="1" outlineLevel="1">
      <c r="A47" s="27" t="s">
        <v>33</v>
      </c>
      <c r="B47" s="17" t="s">
        <v>112</v>
      </c>
      <c r="C47" s="17" t="s">
        <v>55</v>
      </c>
      <c r="D47" s="17" t="s">
        <v>135</v>
      </c>
      <c r="E47" s="17" t="s">
        <v>136</v>
      </c>
      <c r="F47" s="18" t="s">
        <v>139</v>
      </c>
      <c r="G47" s="17" t="s">
        <v>140</v>
      </c>
      <c r="H47" s="18" t="s">
        <v>39</v>
      </c>
      <c r="I47" s="17">
        <v>4.2873396854607018</v>
      </c>
      <c r="J47" s="17">
        <v>25.711440700152693</v>
      </c>
      <c r="K47" s="17">
        <v>0</v>
      </c>
      <c r="L47" s="17">
        <v>0</v>
      </c>
      <c r="M47" s="17">
        <f t="shared" si="19"/>
        <v>29.998780385613394</v>
      </c>
      <c r="N47" s="17">
        <v>35.405242632471904</v>
      </c>
      <c r="O47" s="17">
        <v>3.05102907153764</v>
      </c>
      <c r="P47" s="17">
        <v>0</v>
      </c>
      <c r="Q47" s="17">
        <v>0</v>
      </c>
      <c r="R47" s="17">
        <f t="shared" si="20"/>
        <v>38.456271704009545</v>
      </c>
      <c r="S47" s="17">
        <v>31.410485264943802</v>
      </c>
      <c r="T47" s="17">
        <v>10.302058143075277</v>
      </c>
      <c r="U47" s="17">
        <v>0</v>
      </c>
      <c r="V47" s="17">
        <v>0</v>
      </c>
      <c r="W47" s="17">
        <f t="shared" si="21"/>
        <v>41.71254340801908</v>
      </c>
      <c r="X47" s="17">
        <v>30.8104852649438</v>
      </c>
      <c r="Y47" s="17">
        <v>10.302058143075241</v>
      </c>
      <c r="Z47" s="17">
        <v>0</v>
      </c>
      <c r="AA47" s="17">
        <v>0</v>
      </c>
      <c r="AB47" s="17">
        <f t="shared" si="22"/>
        <v>41.112543408019043</v>
      </c>
      <c r="AC47" s="17">
        <v>38.210485264943799</v>
      </c>
      <c r="AD47" s="17">
        <v>13.302058143075271</v>
      </c>
      <c r="AE47" s="17">
        <v>0</v>
      </c>
      <c r="AF47" s="17">
        <v>0</v>
      </c>
      <c r="AG47" s="17">
        <f t="shared" si="23"/>
        <v>51.51254340801907</v>
      </c>
      <c r="AH47" s="17">
        <v>37.410485264943802</v>
      </c>
      <c r="AI47" s="17">
        <v>17.502058143075228</v>
      </c>
      <c r="AJ47" s="17">
        <v>0</v>
      </c>
      <c r="AK47" s="17">
        <v>0</v>
      </c>
      <c r="AL47" s="17">
        <f t="shared" si="24"/>
        <v>54.912543408019033</v>
      </c>
      <c r="AM47" s="17">
        <v>48.965433616080112</v>
      </c>
      <c r="AN47" s="17">
        <v>15.302058143075277</v>
      </c>
      <c r="AO47" s="17">
        <v>0</v>
      </c>
      <c r="AP47" s="17">
        <v>0</v>
      </c>
      <c r="AQ47" s="17">
        <f t="shared" si="25"/>
        <v>64.267491759155391</v>
      </c>
      <c r="AR47" s="17">
        <v>43.410485264943802</v>
      </c>
      <c r="AS47" s="17">
        <v>24.302058143075271</v>
      </c>
      <c r="AT47" s="17">
        <v>0</v>
      </c>
      <c r="AU47" s="17">
        <v>0</v>
      </c>
      <c r="AV47" s="17">
        <f t="shared" si="26"/>
        <v>67.712543408019073</v>
      </c>
      <c r="AW47" s="17">
        <v>56.410485264943837</v>
      </c>
      <c r="AX47" s="17">
        <v>11.302058143075271</v>
      </c>
      <c r="AY47" s="17">
        <v>0</v>
      </c>
      <c r="AZ47" s="17">
        <v>0</v>
      </c>
      <c r="BA47" s="17">
        <f t="shared" si="27"/>
        <v>67.712543408019116</v>
      </c>
      <c r="BB47" s="17">
        <v>36.410485264943802</v>
      </c>
      <c r="BC47" s="17">
        <v>25.202058143075273</v>
      </c>
      <c r="BD47" s="17">
        <v>0</v>
      </c>
      <c r="BE47" s="17">
        <v>0</v>
      </c>
      <c r="BF47" s="17">
        <f t="shared" si="28"/>
        <v>61.612543408019079</v>
      </c>
      <c r="BG47" s="17">
        <v>37.410485264943802</v>
      </c>
      <c r="BH47" s="17">
        <v>17.502058143075274</v>
      </c>
      <c r="BI47" s="17">
        <v>0</v>
      </c>
      <c r="BJ47" s="17">
        <v>0</v>
      </c>
      <c r="BK47" s="17">
        <f t="shared" si="29"/>
        <v>54.912543408019076</v>
      </c>
      <c r="BL47" s="17">
        <v>45.410485264943802</v>
      </c>
      <c r="BM47" s="17">
        <v>19.202058143075273</v>
      </c>
      <c r="BN47" s="17">
        <v>0</v>
      </c>
      <c r="BO47" s="17">
        <v>0</v>
      </c>
      <c r="BP47" s="17">
        <f t="shared" si="30"/>
        <v>64.612543408019079</v>
      </c>
      <c r="BQ47" s="17">
        <f t="shared" si="31"/>
        <v>445.55238331850705</v>
      </c>
      <c r="BR47" s="17">
        <f t="shared" si="31"/>
        <v>192.98305120244299</v>
      </c>
      <c r="BS47" s="17">
        <f t="shared" si="31"/>
        <v>0</v>
      </c>
      <c r="BT47" s="17">
        <f t="shared" si="31"/>
        <v>0</v>
      </c>
      <c r="BU47" s="17">
        <f t="shared" si="16"/>
        <v>638.53543452095005</v>
      </c>
    </row>
    <row r="48" spans="1:73" hidden="1" outlineLevel="1">
      <c r="A48" s="27" t="s">
        <v>33</v>
      </c>
      <c r="B48" s="17" t="s">
        <v>112</v>
      </c>
      <c r="C48" s="17" t="s">
        <v>55</v>
      </c>
      <c r="D48" s="17" t="s">
        <v>135</v>
      </c>
      <c r="E48" s="17" t="s">
        <v>136</v>
      </c>
      <c r="F48" s="18" t="s">
        <v>141</v>
      </c>
      <c r="G48" s="17" t="s">
        <v>142</v>
      </c>
      <c r="H48" s="18" t="s">
        <v>45</v>
      </c>
      <c r="I48" s="17">
        <v>202.03076799999999</v>
      </c>
      <c r="J48" s="17">
        <v>279.29227226187601</v>
      </c>
      <c r="K48" s="17">
        <v>0</v>
      </c>
      <c r="L48" s="17">
        <v>0</v>
      </c>
      <c r="M48" s="17">
        <f t="shared" si="19"/>
        <v>481.32304026187603</v>
      </c>
      <c r="N48" s="17">
        <v>281.24322808440053</v>
      </c>
      <c r="O48" s="17">
        <v>147.95432083451189</v>
      </c>
      <c r="P48" s="17">
        <v>0</v>
      </c>
      <c r="Q48" s="17">
        <v>0</v>
      </c>
      <c r="R48" s="17">
        <f t="shared" si="20"/>
        <v>429.19754891891239</v>
      </c>
      <c r="S48" s="17">
        <v>429.08195999999998</v>
      </c>
      <c r="T48" s="17">
        <v>188.6706341801943</v>
      </c>
      <c r="U48" s="17">
        <v>0</v>
      </c>
      <c r="V48" s="17">
        <v>0</v>
      </c>
      <c r="W48" s="17">
        <f t="shared" si="21"/>
        <v>617.75259418019425</v>
      </c>
      <c r="X48" s="17">
        <v>254.17080000000001</v>
      </c>
      <c r="Y48" s="17">
        <v>356.04634971071397</v>
      </c>
      <c r="Z48" s="17">
        <v>0</v>
      </c>
      <c r="AA48" s="17">
        <v>0</v>
      </c>
      <c r="AB48" s="17">
        <f t="shared" si="22"/>
        <v>610.21714971071401</v>
      </c>
      <c r="AC48" s="17">
        <v>328.51035999999999</v>
      </c>
      <c r="AD48" s="17">
        <v>306.6762330380667</v>
      </c>
      <c r="AE48" s="17">
        <v>0</v>
      </c>
      <c r="AF48" s="17">
        <v>0</v>
      </c>
      <c r="AG48" s="17">
        <f t="shared" si="23"/>
        <v>635.18659303806669</v>
      </c>
      <c r="AH48" s="17">
        <v>266.26656000000003</v>
      </c>
      <c r="AI48" s="17">
        <v>429.31183524389598</v>
      </c>
      <c r="AJ48" s="17">
        <v>0</v>
      </c>
      <c r="AK48" s="17">
        <v>0</v>
      </c>
      <c r="AL48" s="17">
        <f t="shared" si="24"/>
        <v>695.57839524389601</v>
      </c>
      <c r="AM48" s="17">
        <v>300.12479999999999</v>
      </c>
      <c r="AN48" s="17">
        <v>506.42501785212602</v>
      </c>
      <c r="AO48" s="17">
        <v>0</v>
      </c>
      <c r="AP48" s="17">
        <v>0</v>
      </c>
      <c r="AQ48" s="17">
        <f t="shared" si="25"/>
        <v>806.54981785212601</v>
      </c>
      <c r="AR48" s="17">
        <v>183.55249599999999</v>
      </c>
      <c r="AS48" s="17">
        <v>642.36234733972526</v>
      </c>
      <c r="AT48" s="17">
        <v>0</v>
      </c>
      <c r="AU48" s="17">
        <v>0</v>
      </c>
      <c r="AV48" s="17">
        <f t="shared" si="26"/>
        <v>825.91484333972528</v>
      </c>
      <c r="AW48" s="17">
        <v>251.55249599999999</v>
      </c>
      <c r="AX48" s="17">
        <v>575.28285206898499</v>
      </c>
      <c r="AY48" s="17">
        <v>0</v>
      </c>
      <c r="AZ48" s="17">
        <v>0</v>
      </c>
      <c r="BA48" s="17">
        <f t="shared" si="27"/>
        <v>826.83534806898501</v>
      </c>
      <c r="BB48" s="17">
        <v>176.08674719999999</v>
      </c>
      <c r="BC48" s="17">
        <v>436.22271793627948</v>
      </c>
      <c r="BD48" s="17">
        <v>0</v>
      </c>
      <c r="BE48" s="17">
        <v>0</v>
      </c>
      <c r="BF48" s="17">
        <f t="shared" si="28"/>
        <v>612.30946513627941</v>
      </c>
      <c r="BG48" s="17">
        <v>176.08674719999999</v>
      </c>
      <c r="BH48" s="17">
        <v>448.58970167564115</v>
      </c>
      <c r="BI48" s="17">
        <v>0</v>
      </c>
      <c r="BJ48" s="17">
        <v>0</v>
      </c>
      <c r="BK48" s="17">
        <f t="shared" si="29"/>
        <v>624.6764488756412</v>
      </c>
      <c r="BL48" s="17">
        <v>176.08674719999999</v>
      </c>
      <c r="BM48" s="17">
        <v>441.8868512104271</v>
      </c>
      <c r="BN48" s="17">
        <v>0</v>
      </c>
      <c r="BO48" s="17">
        <v>0</v>
      </c>
      <c r="BP48" s="17">
        <f t="shared" si="30"/>
        <v>617.97359841042703</v>
      </c>
      <c r="BQ48" s="17">
        <f t="shared" si="31"/>
        <v>3024.7937096844007</v>
      </c>
      <c r="BR48" s="17">
        <f t="shared" si="31"/>
        <v>4758.7211333524438</v>
      </c>
      <c r="BS48" s="17">
        <f t="shared" si="31"/>
        <v>0</v>
      </c>
      <c r="BT48" s="17">
        <f t="shared" si="31"/>
        <v>0</v>
      </c>
      <c r="BU48" s="17">
        <f t="shared" si="16"/>
        <v>7783.5148430368445</v>
      </c>
    </row>
    <row r="49" spans="1:73" hidden="1" outlineLevel="1">
      <c r="A49" s="27" t="s">
        <v>33</v>
      </c>
      <c r="B49" s="17" t="s">
        <v>112</v>
      </c>
      <c r="C49" s="17" t="s">
        <v>55</v>
      </c>
      <c r="D49" s="17" t="s">
        <v>135</v>
      </c>
      <c r="E49" s="17" t="s">
        <v>136</v>
      </c>
      <c r="F49" s="18" t="s">
        <v>143</v>
      </c>
      <c r="G49" s="17" t="s">
        <v>144</v>
      </c>
      <c r="H49" s="18" t="s">
        <v>39</v>
      </c>
      <c r="I49" s="17">
        <v>5.5695992593348898</v>
      </c>
      <c r="J49" s="17">
        <v>19.744818704191193</v>
      </c>
      <c r="K49" s="17">
        <v>0</v>
      </c>
      <c r="L49" s="17">
        <v>0</v>
      </c>
      <c r="M49" s="17">
        <f t="shared" si="19"/>
        <v>25.314417963526083</v>
      </c>
      <c r="N49" s="17">
        <v>23.417595556009399</v>
      </c>
      <c r="O49" s="17">
        <v>11.187406684870329</v>
      </c>
      <c r="P49" s="17">
        <v>0</v>
      </c>
      <c r="Q49" s="17">
        <v>0</v>
      </c>
      <c r="R49" s="17">
        <f t="shared" si="20"/>
        <v>34.605002240879728</v>
      </c>
      <c r="S49" s="17">
        <v>13.1679578487075</v>
      </c>
      <c r="T49" s="17">
        <v>14.066921812543951</v>
      </c>
      <c r="U49" s="17">
        <v>0</v>
      </c>
      <c r="V49" s="17">
        <v>0</v>
      </c>
      <c r="W49" s="17">
        <f t="shared" si="21"/>
        <v>27.234879661251451</v>
      </c>
      <c r="X49" s="17">
        <v>20.613263081179202</v>
      </c>
      <c r="Y49" s="17">
        <v>21.219437831728371</v>
      </c>
      <c r="Z49" s="17">
        <v>0</v>
      </c>
      <c r="AA49" s="17">
        <v>0</v>
      </c>
      <c r="AB49" s="17">
        <f t="shared" si="22"/>
        <v>41.832700912907569</v>
      </c>
      <c r="AC49" s="17">
        <v>11.9270736432955</v>
      </c>
      <c r="AD49" s="17">
        <v>18.14060220831632</v>
      </c>
      <c r="AE49" s="17">
        <v>0</v>
      </c>
      <c r="AF49" s="17">
        <v>0</v>
      </c>
      <c r="AG49" s="17">
        <f t="shared" si="23"/>
        <v>30.067675851611821</v>
      </c>
      <c r="AH49" s="17">
        <v>20.613263081179202</v>
      </c>
      <c r="AI49" s="17">
        <v>24.974741603111841</v>
      </c>
      <c r="AJ49" s="17">
        <v>0</v>
      </c>
      <c r="AK49" s="17">
        <v>0</v>
      </c>
      <c r="AL49" s="17">
        <f t="shared" si="24"/>
        <v>45.588004684291043</v>
      </c>
      <c r="AM49" s="17">
        <v>13.1679578487075</v>
      </c>
      <c r="AN49" s="17">
        <v>13.066921812543951</v>
      </c>
      <c r="AO49" s="17">
        <v>0</v>
      </c>
      <c r="AP49" s="17">
        <v>0</v>
      </c>
      <c r="AQ49" s="17">
        <f t="shared" si="25"/>
        <v>26.234879661251451</v>
      </c>
      <c r="AR49" s="17">
        <v>19.854147286591129</v>
      </c>
      <c r="AS49" s="17">
        <v>27.733424666109503</v>
      </c>
      <c r="AT49" s="17">
        <v>0</v>
      </c>
      <c r="AU49" s="17">
        <v>0</v>
      </c>
      <c r="AV49" s="17">
        <f t="shared" si="26"/>
        <v>47.587571952700628</v>
      </c>
      <c r="AW49" s="17">
        <v>17.883317829272901</v>
      </c>
      <c r="AX49" s="17">
        <v>21.186739732887609</v>
      </c>
      <c r="AY49" s="17">
        <v>0</v>
      </c>
      <c r="AZ49" s="17">
        <v>0</v>
      </c>
      <c r="BA49" s="17">
        <f t="shared" si="27"/>
        <v>39.070057562160514</v>
      </c>
      <c r="BB49" s="17">
        <v>15.897903100613801</v>
      </c>
      <c r="BC49" s="17">
        <v>14.913397266276668</v>
      </c>
      <c r="BD49" s="17">
        <v>0</v>
      </c>
      <c r="BE49" s="17">
        <v>0</v>
      </c>
      <c r="BF49" s="17">
        <f t="shared" si="28"/>
        <v>30.811300366890471</v>
      </c>
      <c r="BG49" s="17">
        <v>13.897903100613787</v>
      </c>
      <c r="BH49" s="17">
        <v>16.913397266276668</v>
      </c>
      <c r="BI49" s="17">
        <v>0</v>
      </c>
      <c r="BJ49" s="17">
        <v>0</v>
      </c>
      <c r="BK49" s="17">
        <f t="shared" si="29"/>
        <v>30.811300366890457</v>
      </c>
      <c r="BL49" s="17">
        <v>13.897903100613787</v>
      </c>
      <c r="BM49" s="17">
        <v>16.913397266276668</v>
      </c>
      <c r="BN49" s="17">
        <v>0</v>
      </c>
      <c r="BO49" s="17">
        <v>0</v>
      </c>
      <c r="BP49" s="17">
        <f t="shared" si="30"/>
        <v>30.811300366890457</v>
      </c>
      <c r="BQ49" s="17">
        <f t="shared" si="31"/>
        <v>189.90788473611858</v>
      </c>
      <c r="BR49" s="17">
        <f t="shared" si="31"/>
        <v>220.06120685513309</v>
      </c>
      <c r="BS49" s="17">
        <f t="shared" si="31"/>
        <v>0</v>
      </c>
      <c r="BT49" s="17">
        <f t="shared" si="31"/>
        <v>0</v>
      </c>
      <c r="BU49" s="17">
        <f t="shared" si="16"/>
        <v>409.96909159125164</v>
      </c>
    </row>
    <row r="50" spans="1:73" hidden="1" outlineLevel="1">
      <c r="A50" s="27" t="s">
        <v>33</v>
      </c>
      <c r="B50" s="17" t="s">
        <v>112</v>
      </c>
      <c r="C50" s="17" t="s">
        <v>55</v>
      </c>
      <c r="D50" s="17" t="s">
        <v>135</v>
      </c>
      <c r="E50" s="17" t="s">
        <v>136</v>
      </c>
      <c r="F50" s="18" t="s">
        <v>145</v>
      </c>
      <c r="G50" s="17" t="s">
        <v>146</v>
      </c>
      <c r="H50" s="18" t="s">
        <v>39</v>
      </c>
      <c r="I50" s="17">
        <v>176.26840039949809</v>
      </c>
      <c r="J50" s="17">
        <v>0</v>
      </c>
      <c r="K50" s="17">
        <v>0</v>
      </c>
      <c r="L50" s="17">
        <v>0</v>
      </c>
      <c r="M50" s="17">
        <f t="shared" si="19"/>
        <v>176.26840039949809</v>
      </c>
      <c r="N50" s="17">
        <v>172.47564346509299</v>
      </c>
      <c r="O50" s="17">
        <v>0</v>
      </c>
      <c r="P50" s="17">
        <v>0</v>
      </c>
      <c r="Q50" s="17">
        <v>0</v>
      </c>
      <c r="R50" s="17">
        <f t="shared" si="20"/>
        <v>172.47564346509299</v>
      </c>
      <c r="S50" s="17">
        <v>180.37452261067529</v>
      </c>
      <c r="T50" s="17">
        <v>0</v>
      </c>
      <c r="U50" s="17">
        <v>0</v>
      </c>
      <c r="V50" s="17">
        <v>0</v>
      </c>
      <c r="W50" s="17">
        <f t="shared" si="21"/>
        <v>180.37452261067529</v>
      </c>
      <c r="X50" s="17">
        <v>188.31423257204</v>
      </c>
      <c r="Y50" s="17">
        <v>0</v>
      </c>
      <c r="Z50" s="17">
        <v>0</v>
      </c>
      <c r="AA50" s="17">
        <v>0</v>
      </c>
      <c r="AB50" s="17">
        <f t="shared" si="22"/>
        <v>188.31423257204</v>
      </c>
      <c r="AC50" s="17">
        <v>175.60067845036983</v>
      </c>
      <c r="AD50" s="17">
        <v>0</v>
      </c>
      <c r="AE50" s="17">
        <v>0</v>
      </c>
      <c r="AF50" s="17">
        <v>0</v>
      </c>
      <c r="AG50" s="17">
        <f t="shared" si="23"/>
        <v>175.60067845036983</v>
      </c>
      <c r="AH50" s="17">
        <v>198.26175701574201</v>
      </c>
      <c r="AI50" s="17">
        <v>0</v>
      </c>
      <c r="AJ50" s="17">
        <v>0</v>
      </c>
      <c r="AK50" s="17">
        <v>0</v>
      </c>
      <c r="AL50" s="17">
        <f t="shared" si="24"/>
        <v>198.26175701574201</v>
      </c>
      <c r="AM50" s="17">
        <v>188.66847814074507</v>
      </c>
      <c r="AN50" s="17">
        <v>0</v>
      </c>
      <c r="AO50" s="17">
        <v>0</v>
      </c>
      <c r="AP50" s="17">
        <v>0</v>
      </c>
      <c r="AQ50" s="17">
        <f t="shared" si="25"/>
        <v>188.66847814074507</v>
      </c>
      <c r="AR50" s="17">
        <v>178.4680616096835</v>
      </c>
      <c r="AS50" s="17">
        <v>0</v>
      </c>
      <c r="AT50" s="17">
        <v>0</v>
      </c>
      <c r="AU50" s="17">
        <v>0</v>
      </c>
      <c r="AV50" s="17">
        <f t="shared" si="26"/>
        <v>178.4680616096835</v>
      </c>
      <c r="AW50" s="17">
        <v>174.46806160968379</v>
      </c>
      <c r="AX50" s="17">
        <v>0</v>
      </c>
      <c r="AY50" s="17">
        <v>0</v>
      </c>
      <c r="AZ50" s="17">
        <v>0</v>
      </c>
      <c r="BA50" s="17">
        <f t="shared" si="27"/>
        <v>174.46806160968379</v>
      </c>
      <c r="BB50" s="17">
        <v>175.4680616096835</v>
      </c>
      <c r="BC50" s="17">
        <v>0</v>
      </c>
      <c r="BD50" s="17">
        <v>0</v>
      </c>
      <c r="BE50" s="17">
        <v>0</v>
      </c>
      <c r="BF50" s="17">
        <f t="shared" si="28"/>
        <v>175.4680616096835</v>
      </c>
      <c r="BG50" s="17">
        <v>172.46806160968347</v>
      </c>
      <c r="BH50" s="17">
        <v>0</v>
      </c>
      <c r="BI50" s="17">
        <v>0</v>
      </c>
      <c r="BJ50" s="17">
        <v>0</v>
      </c>
      <c r="BK50" s="17">
        <f t="shared" si="29"/>
        <v>172.46806160968347</v>
      </c>
      <c r="BL50" s="17">
        <v>168.46806160968382</v>
      </c>
      <c r="BM50" s="17">
        <v>0</v>
      </c>
      <c r="BN50" s="17">
        <v>0</v>
      </c>
      <c r="BO50" s="17">
        <v>0</v>
      </c>
      <c r="BP50" s="17">
        <f t="shared" si="30"/>
        <v>168.46806160968382</v>
      </c>
      <c r="BQ50" s="17">
        <f t="shared" si="31"/>
        <v>2149.3040207025815</v>
      </c>
      <c r="BR50" s="17">
        <f t="shared" si="31"/>
        <v>0</v>
      </c>
      <c r="BS50" s="17">
        <f t="shared" si="31"/>
        <v>0</v>
      </c>
      <c r="BT50" s="17">
        <f t="shared" si="31"/>
        <v>0</v>
      </c>
      <c r="BU50" s="17">
        <f t="shared" si="16"/>
        <v>2149.3040207025815</v>
      </c>
    </row>
    <row r="51" spans="1:73" hidden="1" outlineLevel="1">
      <c r="A51" s="27" t="s">
        <v>33</v>
      </c>
      <c r="B51" s="17" t="s">
        <v>112</v>
      </c>
      <c r="C51" s="17" t="s">
        <v>55</v>
      </c>
      <c r="D51" s="17" t="s">
        <v>147</v>
      </c>
      <c r="E51" s="17" t="s">
        <v>148</v>
      </c>
      <c r="F51" s="18" t="s">
        <v>149</v>
      </c>
      <c r="G51" s="17" t="s">
        <v>150</v>
      </c>
      <c r="H51" s="18" t="s">
        <v>39</v>
      </c>
      <c r="I51" s="17">
        <v>32.410485264943901</v>
      </c>
      <c r="J51" s="17">
        <v>0</v>
      </c>
      <c r="K51" s="17">
        <v>0</v>
      </c>
      <c r="L51" s="17">
        <v>0</v>
      </c>
      <c r="M51" s="17">
        <f t="shared" si="19"/>
        <v>32.410485264943901</v>
      </c>
      <c r="N51" s="17">
        <v>29.4873396854607</v>
      </c>
      <c r="O51" s="17">
        <v>0</v>
      </c>
      <c r="P51" s="17">
        <v>0</v>
      </c>
      <c r="Q51" s="17">
        <v>0</v>
      </c>
      <c r="R51" s="17">
        <f t="shared" si="20"/>
        <v>29.4873396854607</v>
      </c>
      <c r="S51" s="17">
        <v>35.610485264943897</v>
      </c>
      <c r="T51" s="17">
        <v>0</v>
      </c>
      <c r="U51" s="17">
        <v>0</v>
      </c>
      <c r="V51" s="17">
        <v>0</v>
      </c>
      <c r="W51" s="17">
        <f t="shared" si="21"/>
        <v>35.610485264943897</v>
      </c>
      <c r="X51" s="17">
        <v>38.910485264943901</v>
      </c>
      <c r="Y51" s="17">
        <v>0</v>
      </c>
      <c r="Z51" s="17">
        <v>0</v>
      </c>
      <c r="AA51" s="17">
        <v>0</v>
      </c>
      <c r="AB51" s="17">
        <f t="shared" si="22"/>
        <v>38.910485264943901</v>
      </c>
      <c r="AC51" s="17">
        <v>42.910485264943901</v>
      </c>
      <c r="AD51" s="17">
        <v>0</v>
      </c>
      <c r="AE51" s="17">
        <v>0</v>
      </c>
      <c r="AF51" s="17">
        <v>0</v>
      </c>
      <c r="AG51" s="17">
        <f t="shared" si="23"/>
        <v>42.910485264943901</v>
      </c>
      <c r="AH51" s="17">
        <v>46.293203760674203</v>
      </c>
      <c r="AI51" s="17">
        <v>0</v>
      </c>
      <c r="AJ51" s="17">
        <v>0</v>
      </c>
      <c r="AK51" s="17">
        <v>0</v>
      </c>
      <c r="AL51" s="17">
        <f t="shared" si="24"/>
        <v>46.293203760674203</v>
      </c>
      <c r="AM51" s="17">
        <v>63.604389283852996</v>
      </c>
      <c r="AN51" s="17">
        <v>0</v>
      </c>
      <c r="AO51" s="17">
        <v>0</v>
      </c>
      <c r="AP51" s="17">
        <v>0</v>
      </c>
      <c r="AQ51" s="17">
        <f t="shared" si="25"/>
        <v>63.604389283852996</v>
      </c>
      <c r="AR51" s="17">
        <v>86.586407521348406</v>
      </c>
      <c r="AS51" s="17">
        <v>0</v>
      </c>
      <c r="AT51" s="17">
        <v>0</v>
      </c>
      <c r="AU51" s="17">
        <v>0</v>
      </c>
      <c r="AV51" s="17">
        <f t="shared" si="26"/>
        <v>86.586407521348406</v>
      </c>
      <c r="AW51" s="17">
        <v>70.969126017078693</v>
      </c>
      <c r="AX51" s="17">
        <v>0</v>
      </c>
      <c r="AY51" s="17">
        <v>0</v>
      </c>
      <c r="AZ51" s="17">
        <v>0</v>
      </c>
      <c r="BA51" s="17">
        <f t="shared" si="27"/>
        <v>70.969126017078693</v>
      </c>
      <c r="BB51" s="17">
        <v>61.410485264943901</v>
      </c>
      <c r="BC51" s="17">
        <v>0</v>
      </c>
      <c r="BD51" s="17">
        <v>0</v>
      </c>
      <c r="BE51" s="17">
        <v>0</v>
      </c>
      <c r="BF51" s="17">
        <f t="shared" si="28"/>
        <v>61.410485264943901</v>
      </c>
      <c r="BG51" s="17">
        <v>60.410485264943901</v>
      </c>
      <c r="BH51" s="17">
        <v>0</v>
      </c>
      <c r="BI51" s="17">
        <v>0</v>
      </c>
      <c r="BJ51" s="17">
        <v>0</v>
      </c>
      <c r="BK51" s="17">
        <f t="shared" si="29"/>
        <v>60.410485264943901</v>
      </c>
      <c r="BL51" s="17">
        <v>60.410485264943901</v>
      </c>
      <c r="BM51" s="17">
        <v>0</v>
      </c>
      <c r="BN51" s="17">
        <v>0</v>
      </c>
      <c r="BO51" s="17">
        <v>0</v>
      </c>
      <c r="BP51" s="17">
        <f t="shared" si="30"/>
        <v>60.410485264943901</v>
      </c>
      <c r="BQ51" s="17">
        <f t="shared" si="31"/>
        <v>629.01386312302225</v>
      </c>
      <c r="BR51" s="17">
        <f t="shared" si="31"/>
        <v>0</v>
      </c>
      <c r="BS51" s="17">
        <f t="shared" si="31"/>
        <v>0</v>
      </c>
      <c r="BT51" s="17">
        <f t="shared" si="31"/>
        <v>0</v>
      </c>
      <c r="BU51" s="17">
        <f t="shared" si="16"/>
        <v>629.01386312302225</v>
      </c>
    </row>
    <row r="52" spans="1:73" hidden="1" outlineLevel="1">
      <c r="A52" s="27" t="s">
        <v>33</v>
      </c>
      <c r="B52" s="17" t="s">
        <v>112</v>
      </c>
      <c r="C52" s="17" t="s">
        <v>55</v>
      </c>
      <c r="D52" s="17" t="s">
        <v>147</v>
      </c>
      <c r="E52" s="17" t="s">
        <v>148</v>
      </c>
      <c r="F52" s="18" t="s">
        <v>151</v>
      </c>
      <c r="G52" s="17" t="s">
        <v>152</v>
      </c>
      <c r="H52" s="18" t="s">
        <v>45</v>
      </c>
      <c r="I52" s="17">
        <v>330.46126522775131</v>
      </c>
      <c r="J52" s="17">
        <v>591.64857885192646</v>
      </c>
      <c r="K52" s="17">
        <v>0</v>
      </c>
      <c r="L52" s="17">
        <v>0</v>
      </c>
      <c r="M52" s="17">
        <f t="shared" si="19"/>
        <v>922.10984407967771</v>
      </c>
      <c r="N52" s="17">
        <v>521.99134761718949</v>
      </c>
      <c r="O52" s="17">
        <v>334.25352776824354</v>
      </c>
      <c r="P52" s="17">
        <v>0</v>
      </c>
      <c r="Q52" s="17">
        <v>0</v>
      </c>
      <c r="R52" s="17">
        <f t="shared" si="20"/>
        <v>856.24487538543303</v>
      </c>
      <c r="S52" s="17">
        <v>542.05251999999996</v>
      </c>
      <c r="T52" s="17">
        <v>386.42627144969521</v>
      </c>
      <c r="U52" s="17">
        <v>0</v>
      </c>
      <c r="V52" s="17">
        <v>0</v>
      </c>
      <c r="W52" s="17">
        <f t="shared" si="21"/>
        <v>928.47879144969511</v>
      </c>
      <c r="X52" s="17">
        <v>606.11720000000003</v>
      </c>
      <c r="Y52" s="17">
        <v>325.14175033234199</v>
      </c>
      <c r="Z52" s="17">
        <v>0</v>
      </c>
      <c r="AA52" s="17">
        <v>0</v>
      </c>
      <c r="AB52" s="17">
        <f t="shared" si="22"/>
        <v>931.25895033234201</v>
      </c>
      <c r="AC52" s="17">
        <v>575.38786400000004</v>
      </c>
      <c r="AD52" s="17">
        <v>428.10722992853272</v>
      </c>
      <c r="AE52" s="17">
        <v>0</v>
      </c>
      <c r="AF52" s="17">
        <v>0</v>
      </c>
      <c r="AG52" s="17">
        <f t="shared" si="23"/>
        <v>1003.4950939285327</v>
      </c>
      <c r="AH52" s="17">
        <v>668.06667379337011</v>
      </c>
      <c r="AI52" s="17">
        <v>529.71934534382126</v>
      </c>
      <c r="AJ52" s="17">
        <v>0</v>
      </c>
      <c r="AK52" s="17">
        <v>0</v>
      </c>
      <c r="AL52" s="17">
        <f t="shared" si="24"/>
        <v>1197.7860191371915</v>
      </c>
      <c r="AM52" s="17">
        <v>675.35198829873548</v>
      </c>
      <c r="AN52" s="17">
        <v>465.64513056000601</v>
      </c>
      <c r="AO52" s="17">
        <v>0</v>
      </c>
      <c r="AP52" s="17">
        <v>0</v>
      </c>
      <c r="AQ52" s="17">
        <f t="shared" si="25"/>
        <v>1140.9971188587415</v>
      </c>
      <c r="AR52" s="17">
        <v>744.50368000000003</v>
      </c>
      <c r="AS52" s="17">
        <v>547.75659729375525</v>
      </c>
      <c r="AT52" s="17">
        <v>0</v>
      </c>
      <c r="AU52" s="17">
        <v>0</v>
      </c>
      <c r="AV52" s="17">
        <f t="shared" si="26"/>
        <v>1292.2602772937553</v>
      </c>
      <c r="AW52" s="17">
        <v>768.50368000000003</v>
      </c>
      <c r="AX52" s="17">
        <v>499.98405002127646</v>
      </c>
      <c r="AY52" s="17">
        <v>0</v>
      </c>
      <c r="AZ52" s="17">
        <v>0</v>
      </c>
      <c r="BA52" s="17">
        <f t="shared" si="27"/>
        <v>1268.4877300212765</v>
      </c>
      <c r="BB52" s="17">
        <v>744.50368000000003</v>
      </c>
      <c r="BC52" s="17">
        <v>497.75659729374632</v>
      </c>
      <c r="BD52" s="17">
        <v>0</v>
      </c>
      <c r="BE52" s="17">
        <v>0</v>
      </c>
      <c r="BF52" s="17">
        <f t="shared" si="28"/>
        <v>1242.2602772937464</v>
      </c>
      <c r="BG52" s="17">
        <v>626.50368000000003</v>
      </c>
      <c r="BH52" s="17">
        <v>505.41754478697146</v>
      </c>
      <c r="BI52" s="17">
        <v>0</v>
      </c>
      <c r="BJ52" s="17">
        <v>0</v>
      </c>
      <c r="BK52" s="17">
        <f t="shared" si="29"/>
        <v>1131.9212247869714</v>
      </c>
      <c r="BL52" s="17">
        <v>626.50368000000003</v>
      </c>
      <c r="BM52" s="17">
        <v>661.02682309591614</v>
      </c>
      <c r="BN52" s="17">
        <v>0</v>
      </c>
      <c r="BO52" s="17">
        <v>0</v>
      </c>
      <c r="BP52" s="17">
        <f t="shared" si="30"/>
        <v>1287.5305030959162</v>
      </c>
      <c r="BQ52" s="17">
        <f t="shared" si="31"/>
        <v>7429.9472589370462</v>
      </c>
      <c r="BR52" s="17">
        <f t="shared" si="31"/>
        <v>5772.8834467262323</v>
      </c>
      <c r="BS52" s="17">
        <f t="shared" si="31"/>
        <v>0</v>
      </c>
      <c r="BT52" s="17">
        <f t="shared" si="31"/>
        <v>0</v>
      </c>
      <c r="BU52" s="17">
        <f t="shared" si="16"/>
        <v>13202.830705663278</v>
      </c>
    </row>
    <row r="53" spans="1:73" hidden="1" outlineLevel="1">
      <c r="A53" s="27" t="s">
        <v>33</v>
      </c>
      <c r="B53" s="17" t="s">
        <v>112</v>
      </c>
      <c r="C53" s="17" t="s">
        <v>55</v>
      </c>
      <c r="D53" s="17" t="s">
        <v>147</v>
      </c>
      <c r="E53" s="17" t="s">
        <v>148</v>
      </c>
      <c r="F53" s="18" t="s">
        <v>153</v>
      </c>
      <c r="G53" s="17" t="s">
        <v>154</v>
      </c>
      <c r="H53" s="18" t="s">
        <v>39</v>
      </c>
      <c r="I53" s="17">
        <v>9.6703689025618047</v>
      </c>
      <c r="J53" s="17">
        <v>0</v>
      </c>
      <c r="K53" s="17">
        <v>0</v>
      </c>
      <c r="L53" s="17">
        <v>0</v>
      </c>
      <c r="M53" s="17">
        <f t="shared" si="19"/>
        <v>9.6703689025618047</v>
      </c>
      <c r="N53" s="17">
        <v>9.6703689025618047</v>
      </c>
      <c r="O53" s="17">
        <v>0</v>
      </c>
      <c r="P53" s="17">
        <v>0</v>
      </c>
      <c r="Q53" s="17">
        <v>0</v>
      </c>
      <c r="R53" s="17">
        <f t="shared" si="20"/>
        <v>9.6703689025618047</v>
      </c>
      <c r="S53" s="17">
        <v>9.6703689025618047</v>
      </c>
      <c r="T53" s="17">
        <v>0</v>
      </c>
      <c r="U53" s="17">
        <v>0</v>
      </c>
      <c r="V53" s="17">
        <v>0</v>
      </c>
      <c r="W53" s="17">
        <f t="shared" si="21"/>
        <v>9.6703689025618047</v>
      </c>
      <c r="X53" s="17">
        <v>9.6703689025618047</v>
      </c>
      <c r="Y53" s="17">
        <v>0</v>
      </c>
      <c r="Z53" s="17">
        <v>0</v>
      </c>
      <c r="AA53" s="17">
        <v>0</v>
      </c>
      <c r="AB53" s="17">
        <f t="shared" si="22"/>
        <v>9.6703689025618047</v>
      </c>
      <c r="AC53" s="17">
        <v>9.6703689025618047</v>
      </c>
      <c r="AD53" s="17">
        <v>0</v>
      </c>
      <c r="AE53" s="17">
        <v>0</v>
      </c>
      <c r="AF53" s="17">
        <v>0</v>
      </c>
      <c r="AG53" s="17">
        <f t="shared" si="23"/>
        <v>9.6703689025618047</v>
      </c>
      <c r="AH53" s="17">
        <v>9.6703689025618047</v>
      </c>
      <c r="AI53" s="17">
        <v>0</v>
      </c>
      <c r="AJ53" s="17">
        <v>0</v>
      </c>
      <c r="AK53" s="17">
        <v>0</v>
      </c>
      <c r="AL53" s="17">
        <f t="shared" si="24"/>
        <v>9.6703689025618047</v>
      </c>
      <c r="AM53" s="17">
        <v>12.087961128202254</v>
      </c>
      <c r="AN53" s="17">
        <v>0</v>
      </c>
      <c r="AO53" s="17">
        <v>0</v>
      </c>
      <c r="AP53" s="17">
        <v>0</v>
      </c>
      <c r="AQ53" s="17">
        <f t="shared" si="25"/>
        <v>12.087961128202254</v>
      </c>
      <c r="AR53" s="17">
        <v>16.11728150426967</v>
      </c>
      <c r="AS53" s="17">
        <v>0</v>
      </c>
      <c r="AT53" s="17">
        <v>0</v>
      </c>
      <c r="AU53" s="17">
        <v>0</v>
      </c>
      <c r="AV53" s="17">
        <f t="shared" si="26"/>
        <v>16.11728150426967</v>
      </c>
      <c r="AW53" s="17">
        <v>12.893825203415737</v>
      </c>
      <c r="AX53" s="17">
        <v>0</v>
      </c>
      <c r="AY53" s="17">
        <v>0</v>
      </c>
      <c r="AZ53" s="17">
        <v>0</v>
      </c>
      <c r="BA53" s="17">
        <f t="shared" si="27"/>
        <v>12.893825203415737</v>
      </c>
      <c r="BB53" s="17">
        <v>11.282097052988767</v>
      </c>
      <c r="BC53" s="17">
        <v>0</v>
      </c>
      <c r="BD53" s="17">
        <v>0</v>
      </c>
      <c r="BE53" s="17">
        <v>0</v>
      </c>
      <c r="BF53" s="17">
        <f t="shared" si="28"/>
        <v>11.282097052988767</v>
      </c>
      <c r="BG53" s="17">
        <v>11.282097052988767</v>
      </c>
      <c r="BH53" s="17">
        <v>0</v>
      </c>
      <c r="BI53" s="17">
        <v>0</v>
      </c>
      <c r="BJ53" s="17">
        <v>0</v>
      </c>
      <c r="BK53" s="17">
        <f t="shared" si="29"/>
        <v>11.282097052988767</v>
      </c>
      <c r="BL53" s="17">
        <v>11.282097052988767</v>
      </c>
      <c r="BM53" s="17">
        <v>0</v>
      </c>
      <c r="BN53" s="17">
        <v>0</v>
      </c>
      <c r="BO53" s="17">
        <v>0</v>
      </c>
      <c r="BP53" s="17">
        <f t="shared" si="30"/>
        <v>11.282097052988767</v>
      </c>
      <c r="BQ53" s="17">
        <f t="shared" si="31"/>
        <v>132.96757241022479</v>
      </c>
      <c r="BR53" s="17">
        <f t="shared" si="31"/>
        <v>0</v>
      </c>
      <c r="BS53" s="17">
        <f t="shared" si="31"/>
        <v>0</v>
      </c>
      <c r="BT53" s="17">
        <f t="shared" si="31"/>
        <v>0</v>
      </c>
      <c r="BU53" s="17">
        <f t="shared" si="16"/>
        <v>132.96757241022479</v>
      </c>
    </row>
    <row r="54" spans="1:73" hidden="1" outlineLevel="1">
      <c r="A54" s="27" t="s">
        <v>33</v>
      </c>
      <c r="B54" s="17" t="s">
        <v>112</v>
      </c>
      <c r="C54" s="17" t="s">
        <v>55</v>
      </c>
      <c r="D54" s="17"/>
      <c r="E54" s="28" t="s">
        <v>155</v>
      </c>
      <c r="F54" s="18" t="s">
        <v>156</v>
      </c>
      <c r="G54" s="17" t="s">
        <v>157</v>
      </c>
      <c r="H54" s="18" t="s">
        <v>45</v>
      </c>
      <c r="I54" s="17">
        <v>892.70854813568678</v>
      </c>
      <c r="J54" s="17">
        <v>443.9979532179176</v>
      </c>
      <c r="K54" s="17">
        <v>0</v>
      </c>
      <c r="L54" s="17">
        <v>0</v>
      </c>
      <c r="M54" s="17">
        <f t="shared" si="19"/>
        <v>1336.7065013536044</v>
      </c>
      <c r="N54" s="17">
        <v>417.67612721557856</v>
      </c>
      <c r="O54" s="17">
        <v>651.83156265698665</v>
      </c>
      <c r="P54" s="17">
        <v>0</v>
      </c>
      <c r="Q54" s="17">
        <v>0</v>
      </c>
      <c r="R54" s="17">
        <f t="shared" si="20"/>
        <v>1069.5076898725652</v>
      </c>
      <c r="S54" s="17">
        <v>756.67787947196064</v>
      </c>
      <c r="T54" s="17">
        <v>456.4713666121819</v>
      </c>
      <c r="U54" s="17">
        <v>0</v>
      </c>
      <c r="V54" s="17">
        <v>0</v>
      </c>
      <c r="W54" s="17">
        <f t="shared" si="21"/>
        <v>1213.1492460841425</v>
      </c>
      <c r="X54" s="17">
        <v>916.15785600000004</v>
      </c>
      <c r="Y54" s="17">
        <v>559.43852674536993</v>
      </c>
      <c r="Z54" s="17">
        <v>0</v>
      </c>
      <c r="AA54" s="17">
        <v>0</v>
      </c>
      <c r="AB54" s="17">
        <f t="shared" si="22"/>
        <v>1475.59638274537</v>
      </c>
      <c r="AC54" s="17">
        <v>798.29079999999988</v>
      </c>
      <c r="AD54" s="17">
        <v>704.59875637917423</v>
      </c>
      <c r="AE54" s="17">
        <v>0</v>
      </c>
      <c r="AF54" s="17">
        <v>0</v>
      </c>
      <c r="AG54" s="17">
        <f t="shared" si="23"/>
        <v>1502.8895563791741</v>
      </c>
      <c r="AH54" s="17">
        <v>858.98367199999996</v>
      </c>
      <c r="AI54" s="17">
        <v>828.0377197006261</v>
      </c>
      <c r="AJ54" s="17">
        <v>0</v>
      </c>
      <c r="AK54" s="17">
        <v>0</v>
      </c>
      <c r="AL54" s="17">
        <f t="shared" si="24"/>
        <v>1687.0213917006261</v>
      </c>
      <c r="AM54" s="17">
        <v>841.7004720000001</v>
      </c>
      <c r="AN54" s="17">
        <v>810.14623114014194</v>
      </c>
      <c r="AO54" s="17">
        <v>0</v>
      </c>
      <c r="AP54" s="17">
        <v>0</v>
      </c>
      <c r="AQ54" s="17">
        <f t="shared" si="25"/>
        <v>1651.8467031401419</v>
      </c>
      <c r="AR54" s="17">
        <v>937.76920800000028</v>
      </c>
      <c r="AS54" s="17">
        <v>954.53147950139976</v>
      </c>
      <c r="AT54" s="17">
        <v>0</v>
      </c>
      <c r="AU54" s="17">
        <v>0</v>
      </c>
      <c r="AV54" s="17">
        <f t="shared" si="26"/>
        <v>1892.3006875014</v>
      </c>
      <c r="AW54" s="17">
        <v>961.76920800000005</v>
      </c>
      <c r="AX54" s="17">
        <v>1006.9735287282826</v>
      </c>
      <c r="AY54" s="17">
        <v>0</v>
      </c>
      <c r="AZ54" s="17">
        <v>0</v>
      </c>
      <c r="BA54" s="17">
        <f t="shared" si="27"/>
        <v>1968.7427367282826</v>
      </c>
      <c r="BB54" s="17">
        <v>937.76920800000005</v>
      </c>
      <c r="BC54" s="17">
        <v>907.27758762865847</v>
      </c>
      <c r="BD54" s="17">
        <v>0</v>
      </c>
      <c r="BE54" s="17">
        <v>0</v>
      </c>
      <c r="BF54" s="17">
        <f t="shared" si="28"/>
        <v>1845.0467956286584</v>
      </c>
      <c r="BG54" s="17">
        <v>937.76920800000005</v>
      </c>
      <c r="BH54" s="17">
        <v>957.30700020515042</v>
      </c>
      <c r="BI54" s="17">
        <v>0</v>
      </c>
      <c r="BJ54" s="17">
        <v>0</v>
      </c>
      <c r="BK54" s="17">
        <f t="shared" si="29"/>
        <v>1895.0762082051506</v>
      </c>
      <c r="BL54" s="17">
        <v>937.76920800000005</v>
      </c>
      <c r="BM54" s="17">
        <v>951.72684034693498</v>
      </c>
      <c r="BN54" s="17">
        <v>0</v>
      </c>
      <c r="BO54" s="17">
        <v>0</v>
      </c>
      <c r="BP54" s="17">
        <f t="shared" si="30"/>
        <v>1889.4960483469349</v>
      </c>
      <c r="BQ54" s="17">
        <f t="shared" si="31"/>
        <v>10195.041394823225</v>
      </c>
      <c r="BR54" s="17">
        <f t="shared" si="31"/>
        <v>9232.3385528628241</v>
      </c>
      <c r="BS54" s="17">
        <f t="shared" si="31"/>
        <v>0</v>
      </c>
      <c r="BT54" s="17">
        <f t="shared" si="31"/>
        <v>0</v>
      </c>
      <c r="BU54" s="17">
        <f t="shared" si="16"/>
        <v>19427.379947686051</v>
      </c>
    </row>
    <row r="55" spans="1:73" hidden="1" outlineLevel="1">
      <c r="A55" s="27" t="s">
        <v>33</v>
      </c>
      <c r="B55" s="17" t="s">
        <v>112</v>
      </c>
      <c r="C55" s="17" t="s">
        <v>55</v>
      </c>
      <c r="D55" s="17"/>
      <c r="E55" s="28" t="s">
        <v>155</v>
      </c>
      <c r="F55" s="18" t="s">
        <v>158</v>
      </c>
      <c r="G55" s="17" t="s">
        <v>159</v>
      </c>
      <c r="H55" s="18" t="s">
        <v>39</v>
      </c>
      <c r="I55" s="17">
        <v>4.6703689025617994</v>
      </c>
      <c r="J55" s="17">
        <v>0</v>
      </c>
      <c r="K55" s="17">
        <v>0</v>
      </c>
      <c r="L55" s="17">
        <v>0</v>
      </c>
      <c r="M55" s="17">
        <f t="shared" si="19"/>
        <v>4.6703689025617994</v>
      </c>
      <c r="N55" s="17">
        <v>5.9692582317932601</v>
      </c>
      <c r="O55" s="17">
        <v>0</v>
      </c>
      <c r="P55" s="17">
        <v>0</v>
      </c>
      <c r="Q55" s="17">
        <v>0</v>
      </c>
      <c r="R55" s="17">
        <f t="shared" si="20"/>
        <v>5.9692582317932601</v>
      </c>
      <c r="S55" s="17">
        <v>6.8703689025618004</v>
      </c>
      <c r="T55" s="17">
        <v>0</v>
      </c>
      <c r="U55" s="17">
        <v>0</v>
      </c>
      <c r="V55" s="17">
        <v>0</v>
      </c>
      <c r="W55" s="17">
        <f t="shared" si="21"/>
        <v>6.8703689025618004</v>
      </c>
      <c r="X55" s="17">
        <v>7.6703689025618003</v>
      </c>
      <c r="Y55" s="17">
        <v>0</v>
      </c>
      <c r="Z55" s="17">
        <v>0</v>
      </c>
      <c r="AA55" s="17">
        <v>0</v>
      </c>
      <c r="AB55" s="17">
        <f t="shared" si="22"/>
        <v>7.6703689025618003</v>
      </c>
      <c r="AC55" s="17">
        <v>7.6703689025618003</v>
      </c>
      <c r="AD55" s="17">
        <v>0</v>
      </c>
      <c r="AE55" s="17">
        <v>0</v>
      </c>
      <c r="AF55" s="17">
        <v>0</v>
      </c>
      <c r="AG55" s="17">
        <f t="shared" si="23"/>
        <v>7.6703689025618003</v>
      </c>
      <c r="AH55" s="17">
        <v>11.272636964768008</v>
      </c>
      <c r="AI55" s="17">
        <v>0</v>
      </c>
      <c r="AJ55" s="17">
        <v>0</v>
      </c>
      <c r="AK55" s="17">
        <v>0</v>
      </c>
      <c r="AL55" s="17">
        <f t="shared" si="24"/>
        <v>11.272636964768008</v>
      </c>
      <c r="AM55" s="17">
        <v>13.1172815042697</v>
      </c>
      <c r="AN55" s="17">
        <v>0</v>
      </c>
      <c r="AO55" s="17">
        <v>0</v>
      </c>
      <c r="AP55" s="17">
        <v>0</v>
      </c>
      <c r="AQ55" s="17">
        <f t="shared" si="25"/>
        <v>13.1172815042697</v>
      </c>
      <c r="AR55" s="17">
        <v>11.844854336179781</v>
      </c>
      <c r="AS55" s="17">
        <v>0</v>
      </c>
      <c r="AT55" s="17">
        <v>0</v>
      </c>
      <c r="AU55" s="17">
        <v>0</v>
      </c>
      <c r="AV55" s="17">
        <f t="shared" si="26"/>
        <v>11.844854336179781</v>
      </c>
      <c r="AW55" s="17">
        <v>11.844854336179781</v>
      </c>
      <c r="AX55" s="17">
        <v>0</v>
      </c>
      <c r="AY55" s="17">
        <v>0</v>
      </c>
      <c r="AZ55" s="17">
        <v>0</v>
      </c>
      <c r="BA55" s="17">
        <f t="shared" si="27"/>
        <v>11.844854336179781</v>
      </c>
      <c r="BB55" s="17">
        <v>11.54485433617978</v>
      </c>
      <c r="BC55" s="17">
        <v>0</v>
      </c>
      <c r="BD55" s="17">
        <v>0</v>
      </c>
      <c r="BE55" s="17">
        <v>0</v>
      </c>
      <c r="BF55" s="17">
        <f t="shared" si="28"/>
        <v>11.54485433617978</v>
      </c>
      <c r="BG55" s="17">
        <v>11.54485433617978</v>
      </c>
      <c r="BH55" s="17">
        <v>0</v>
      </c>
      <c r="BI55" s="17">
        <v>0</v>
      </c>
      <c r="BJ55" s="17">
        <v>0</v>
      </c>
      <c r="BK55" s="17">
        <f t="shared" si="29"/>
        <v>11.54485433617978</v>
      </c>
      <c r="BL55" s="17">
        <v>11.54485433617978</v>
      </c>
      <c r="BM55" s="17">
        <v>0</v>
      </c>
      <c r="BN55" s="17">
        <v>0</v>
      </c>
      <c r="BO55" s="17">
        <v>0</v>
      </c>
      <c r="BP55" s="17">
        <f t="shared" si="30"/>
        <v>11.54485433617978</v>
      </c>
      <c r="BQ55" s="17">
        <f t="shared" si="31"/>
        <v>115.56492399197708</v>
      </c>
      <c r="BR55" s="17">
        <f t="shared" si="31"/>
        <v>0</v>
      </c>
      <c r="BS55" s="17">
        <f t="shared" si="31"/>
        <v>0</v>
      </c>
      <c r="BT55" s="17">
        <f t="shared" si="31"/>
        <v>0</v>
      </c>
      <c r="BU55" s="17">
        <f t="shared" si="16"/>
        <v>115.56492399197708</v>
      </c>
    </row>
    <row r="56" spans="1:73" hidden="1" outlineLevel="1">
      <c r="A56" s="27" t="s">
        <v>33</v>
      </c>
      <c r="B56" s="17" t="s">
        <v>112</v>
      </c>
      <c r="C56" s="17" t="s">
        <v>101</v>
      </c>
      <c r="D56" s="17"/>
      <c r="E56" s="29" t="s">
        <v>160</v>
      </c>
      <c r="F56" s="18" t="s">
        <v>161</v>
      </c>
      <c r="G56" s="17" t="s">
        <v>162</v>
      </c>
      <c r="H56" s="18" t="s">
        <v>45</v>
      </c>
      <c r="I56" s="17">
        <v>192.73686656163898</v>
      </c>
      <c r="J56" s="17">
        <v>89.79916966907119</v>
      </c>
      <c r="K56" s="17">
        <v>0</v>
      </c>
      <c r="L56" s="17">
        <v>0</v>
      </c>
      <c r="M56" s="17">
        <f t="shared" si="19"/>
        <v>282.53603623071018</v>
      </c>
      <c r="N56" s="17">
        <v>192.47966424977534</v>
      </c>
      <c r="O56" s="17">
        <v>76.543068755854648</v>
      </c>
      <c r="P56" s="17">
        <v>0</v>
      </c>
      <c r="Q56" s="17">
        <v>12.973157214382448</v>
      </c>
      <c r="R56" s="17">
        <f t="shared" si="20"/>
        <v>281.99589022001248</v>
      </c>
      <c r="S56" s="17">
        <v>219.12672000000001</v>
      </c>
      <c r="T56" s="17">
        <v>73.033703364572844</v>
      </c>
      <c r="U56" s="17">
        <v>0</v>
      </c>
      <c r="V56" s="17">
        <v>12.586557129393851</v>
      </c>
      <c r="W56" s="17">
        <f t="shared" si="21"/>
        <v>304.7469804939667</v>
      </c>
      <c r="X56" s="17">
        <v>286.32682399999999</v>
      </c>
      <c r="Y56" s="17">
        <v>36.428752839695875</v>
      </c>
      <c r="Z56" s="17">
        <v>0</v>
      </c>
      <c r="AA56" s="17">
        <v>8.3676864032766805</v>
      </c>
      <c r="AB56" s="17">
        <f t="shared" si="22"/>
        <v>331.1232632429726</v>
      </c>
      <c r="AC56" s="17">
        <v>213.93504558805736</v>
      </c>
      <c r="AD56" s="17">
        <v>97.697727667462743</v>
      </c>
      <c r="AE56" s="17">
        <v>0</v>
      </c>
      <c r="AF56" s="17">
        <v>0</v>
      </c>
      <c r="AG56" s="17">
        <f t="shared" si="23"/>
        <v>311.63277325552008</v>
      </c>
      <c r="AH56" s="17">
        <v>310.03416600000003</v>
      </c>
      <c r="AI56" s="17">
        <v>26.020404442700936</v>
      </c>
      <c r="AJ56" s="17">
        <v>0</v>
      </c>
      <c r="AK56" s="17">
        <v>0</v>
      </c>
      <c r="AL56" s="17">
        <f t="shared" si="24"/>
        <v>336.05457044270099</v>
      </c>
      <c r="AM56" s="17">
        <v>221.21014400000001</v>
      </c>
      <c r="AN56" s="17">
        <v>82.012294072966569</v>
      </c>
      <c r="AO56" s="17">
        <v>0</v>
      </c>
      <c r="AP56" s="17">
        <v>0</v>
      </c>
      <c r="AQ56" s="17">
        <f t="shared" si="25"/>
        <v>303.22243807296661</v>
      </c>
      <c r="AR56" s="17">
        <v>250.32868599999998</v>
      </c>
      <c r="AS56" s="17">
        <v>51.758208000000003</v>
      </c>
      <c r="AT56" s="17">
        <v>0</v>
      </c>
      <c r="AU56" s="17">
        <v>0.127136940700948</v>
      </c>
      <c r="AV56" s="17">
        <f t="shared" si="26"/>
        <v>302.21403094070092</v>
      </c>
      <c r="AW56" s="17">
        <v>250.32868599999998</v>
      </c>
      <c r="AX56" s="17">
        <v>51.758208000000003</v>
      </c>
      <c r="AY56" s="17">
        <v>0</v>
      </c>
      <c r="AZ56" s="17">
        <v>0</v>
      </c>
      <c r="BA56" s="17">
        <f t="shared" si="27"/>
        <v>302.08689399999997</v>
      </c>
      <c r="BB56" s="17">
        <v>250.32868599999998</v>
      </c>
      <c r="BC56" s="17">
        <v>51.758208000000003</v>
      </c>
      <c r="BD56" s="17">
        <v>0</v>
      </c>
      <c r="BE56" s="17">
        <v>0</v>
      </c>
      <c r="BF56" s="17">
        <f t="shared" si="28"/>
        <v>302.08689399999997</v>
      </c>
      <c r="BG56" s="17">
        <v>250.32868599999998</v>
      </c>
      <c r="BH56" s="17">
        <v>51.758208000000003</v>
      </c>
      <c r="BI56" s="17">
        <v>0</v>
      </c>
      <c r="BJ56" s="17">
        <v>0</v>
      </c>
      <c r="BK56" s="17">
        <f t="shared" si="29"/>
        <v>302.08689399999997</v>
      </c>
      <c r="BL56" s="17">
        <v>250.32868599999998</v>
      </c>
      <c r="BM56" s="17">
        <v>51.758208000000003</v>
      </c>
      <c r="BN56" s="17">
        <v>0</v>
      </c>
      <c r="BO56" s="17">
        <v>0</v>
      </c>
      <c r="BP56" s="17">
        <f t="shared" si="30"/>
        <v>302.08689399999997</v>
      </c>
      <c r="BQ56" s="17">
        <f t="shared" si="31"/>
        <v>2887.4928603994717</v>
      </c>
      <c r="BR56" s="17">
        <f t="shared" si="31"/>
        <v>740.3261608123247</v>
      </c>
      <c r="BS56" s="17">
        <f t="shared" si="31"/>
        <v>0</v>
      </c>
      <c r="BT56" s="17">
        <f t="shared" si="31"/>
        <v>34.054537687753928</v>
      </c>
      <c r="BU56" s="17">
        <f t="shared" si="16"/>
        <v>3661.8735588995505</v>
      </c>
    </row>
    <row r="57" spans="1:73" hidden="1" outlineLevel="1">
      <c r="A57" s="27" t="s">
        <v>33</v>
      </c>
      <c r="B57" s="17" t="s">
        <v>112</v>
      </c>
      <c r="C57" s="17" t="s">
        <v>101</v>
      </c>
      <c r="D57" s="17"/>
      <c r="E57" s="30" t="s">
        <v>163</v>
      </c>
      <c r="F57" s="18" t="s">
        <v>164</v>
      </c>
      <c r="G57" s="17" t="s">
        <v>165</v>
      </c>
      <c r="H57" s="18" t="s">
        <v>39</v>
      </c>
      <c r="I57" s="17">
        <v>12.698096870620486</v>
      </c>
      <c r="J57" s="17">
        <v>0</v>
      </c>
      <c r="K57" s="17">
        <v>0</v>
      </c>
      <c r="L57" s="17">
        <v>14.459735821573624</v>
      </c>
      <c r="M57" s="17">
        <f t="shared" si="19"/>
        <v>27.157832692194109</v>
      </c>
      <c r="N57" s="17">
        <v>7.6535178574210203</v>
      </c>
      <c r="O57" s="17">
        <v>0</v>
      </c>
      <c r="P57" s="17">
        <v>0</v>
      </c>
      <c r="Q57" s="17">
        <v>0</v>
      </c>
      <c r="R57" s="17">
        <f t="shared" si="20"/>
        <v>7.6535178574210203</v>
      </c>
      <c r="S57" s="17">
        <v>12.029001818934919</v>
      </c>
      <c r="T57" s="17">
        <v>0</v>
      </c>
      <c r="U57" s="17">
        <v>11.428328580949209</v>
      </c>
      <c r="V57" s="17">
        <v>0</v>
      </c>
      <c r="W57" s="17">
        <f t="shared" si="21"/>
        <v>23.457330399884128</v>
      </c>
      <c r="X57" s="17">
        <v>7.6535178574210176</v>
      </c>
      <c r="Y57" s="17">
        <v>0</v>
      </c>
      <c r="Z57" s="17">
        <v>15</v>
      </c>
      <c r="AA57" s="17">
        <v>0</v>
      </c>
      <c r="AB57" s="17">
        <f t="shared" si="22"/>
        <v>22.653517857421019</v>
      </c>
      <c r="AC57" s="17">
        <v>7.6535178574210176</v>
      </c>
      <c r="AD57" s="17">
        <v>0</v>
      </c>
      <c r="AE57" s="17">
        <v>0</v>
      </c>
      <c r="AF57" s="17">
        <v>0</v>
      </c>
      <c r="AG57" s="17">
        <f t="shared" si="23"/>
        <v>7.6535178574210176</v>
      </c>
      <c r="AH57" s="17">
        <v>5.7919016755210908</v>
      </c>
      <c r="AI57" s="17">
        <v>0</v>
      </c>
      <c r="AJ57" s="17">
        <v>0</v>
      </c>
      <c r="AK57" s="17">
        <v>2</v>
      </c>
      <c r="AL57" s="17">
        <f t="shared" si="24"/>
        <v>7.7919016755210908</v>
      </c>
      <c r="AM57" s="17">
        <v>6.6535178574210203</v>
      </c>
      <c r="AN57" s="17">
        <v>0</v>
      </c>
      <c r="AO57" s="17">
        <v>0</v>
      </c>
      <c r="AP57" s="17">
        <v>0</v>
      </c>
      <c r="AQ57" s="17">
        <f t="shared" si="25"/>
        <v>6.6535178574210203</v>
      </c>
      <c r="AR57" s="17">
        <v>6.6535178574210203</v>
      </c>
      <c r="AS57" s="17">
        <v>0</v>
      </c>
      <c r="AT57" s="17">
        <v>0</v>
      </c>
      <c r="AU57" s="17">
        <v>3</v>
      </c>
      <c r="AV57" s="17">
        <f t="shared" si="26"/>
        <v>9.6535178574210203</v>
      </c>
      <c r="AW57" s="17">
        <v>6.6535178574210203</v>
      </c>
      <c r="AX57" s="17">
        <v>0</v>
      </c>
      <c r="AY57" s="17">
        <v>0</v>
      </c>
      <c r="AZ57" s="17">
        <v>0</v>
      </c>
      <c r="BA57" s="17">
        <f t="shared" si="27"/>
        <v>6.6535178574210203</v>
      </c>
      <c r="BB57" s="17">
        <v>6.6535178574210203</v>
      </c>
      <c r="BC57" s="17">
        <v>0</v>
      </c>
      <c r="BD57" s="17">
        <v>0</v>
      </c>
      <c r="BE57" s="17">
        <v>0</v>
      </c>
      <c r="BF57" s="17">
        <f t="shared" si="28"/>
        <v>6.6535178574210203</v>
      </c>
      <c r="BG57" s="17">
        <v>6.6535178574210203</v>
      </c>
      <c r="BH57" s="17">
        <v>0</v>
      </c>
      <c r="BI57" s="17">
        <v>0</v>
      </c>
      <c r="BJ57" s="17">
        <v>0</v>
      </c>
      <c r="BK57" s="17">
        <f t="shared" si="29"/>
        <v>6.6535178574210203</v>
      </c>
      <c r="BL57" s="17">
        <v>6.6535178574210203</v>
      </c>
      <c r="BM57" s="17">
        <v>0</v>
      </c>
      <c r="BN57" s="17">
        <v>0</v>
      </c>
      <c r="BO57" s="17">
        <v>0</v>
      </c>
      <c r="BP57" s="17">
        <f t="shared" si="30"/>
        <v>6.6535178574210203</v>
      </c>
      <c r="BQ57" s="17">
        <f t="shared" si="31"/>
        <v>93.400661081865678</v>
      </c>
      <c r="BR57" s="17">
        <f t="shared" si="31"/>
        <v>0</v>
      </c>
      <c r="BS57" s="17">
        <f t="shared" si="31"/>
        <v>26.428328580949209</v>
      </c>
      <c r="BT57" s="17">
        <f t="shared" si="31"/>
        <v>19.459735821573624</v>
      </c>
      <c r="BU57" s="17">
        <f t="shared" si="16"/>
        <v>139.28872548438849</v>
      </c>
    </row>
    <row r="58" spans="1:73" hidden="1" outlineLevel="1">
      <c r="A58" s="27" t="s">
        <v>33</v>
      </c>
      <c r="B58" s="17" t="s">
        <v>112</v>
      </c>
      <c r="C58" s="17" t="s">
        <v>101</v>
      </c>
      <c r="D58" s="17"/>
      <c r="E58" s="30" t="s">
        <v>163</v>
      </c>
      <c r="F58" s="18" t="s">
        <v>166</v>
      </c>
      <c r="G58" s="17" t="s">
        <v>167</v>
      </c>
      <c r="H58" s="18" t="s">
        <v>45</v>
      </c>
      <c r="I58" s="17">
        <v>102.19829825769875</v>
      </c>
      <c r="J58" s="17">
        <v>63.034509391362839</v>
      </c>
      <c r="K58" s="17">
        <v>60.44837691308296</v>
      </c>
      <c r="L58" s="17">
        <v>0</v>
      </c>
      <c r="M58" s="17">
        <f t="shared" si="19"/>
        <v>225.68118456214455</v>
      </c>
      <c r="N58" s="17">
        <v>100.22625082704226</v>
      </c>
      <c r="O58" s="17">
        <v>50.720325413450595</v>
      </c>
      <c r="P58" s="17">
        <v>59.243630150203181</v>
      </c>
      <c r="Q58" s="17">
        <v>0</v>
      </c>
      <c r="R58" s="17">
        <f t="shared" si="20"/>
        <v>210.19020639069603</v>
      </c>
      <c r="S58" s="17">
        <v>74.102815636964039</v>
      </c>
      <c r="T58" s="17">
        <v>72.979701550094276</v>
      </c>
      <c r="U58" s="17">
        <v>79.412125634839583</v>
      </c>
      <c r="V58" s="17">
        <v>0</v>
      </c>
      <c r="W58" s="17">
        <f t="shared" si="21"/>
        <v>226.49464282189791</v>
      </c>
      <c r="X58" s="17">
        <v>84.627799999999993</v>
      </c>
      <c r="Y58" s="17">
        <v>51.29378332146716</v>
      </c>
      <c r="Z58" s="17">
        <v>90.082036952859738</v>
      </c>
      <c r="AA58" s="17">
        <v>0</v>
      </c>
      <c r="AB58" s="17">
        <f t="shared" si="22"/>
        <v>226.00362027432689</v>
      </c>
      <c r="AC58" s="17">
        <v>69.225549999999998</v>
      </c>
      <c r="AD58" s="17">
        <v>92.565433403538918</v>
      </c>
      <c r="AE58" s="17">
        <v>64.824221541372665</v>
      </c>
      <c r="AF58" s="17">
        <v>0</v>
      </c>
      <c r="AG58" s="17">
        <f t="shared" si="23"/>
        <v>226.61520494491157</v>
      </c>
      <c r="AH58" s="17">
        <v>108.51040322376943</v>
      </c>
      <c r="AI58" s="17">
        <v>45.841848548371459</v>
      </c>
      <c r="AJ58" s="17">
        <v>72.919471643147375</v>
      </c>
      <c r="AK58" s="17">
        <v>0</v>
      </c>
      <c r="AL58" s="17">
        <f t="shared" si="24"/>
        <v>227.27172341528828</v>
      </c>
      <c r="AM58" s="17">
        <v>108.85437327733521</v>
      </c>
      <c r="AN58" s="17">
        <v>102.27083345935435</v>
      </c>
      <c r="AO58" s="17">
        <v>14.14108221028442</v>
      </c>
      <c r="AP58" s="17">
        <v>0</v>
      </c>
      <c r="AQ58" s="17">
        <f t="shared" si="25"/>
        <v>225.26628894697399</v>
      </c>
      <c r="AR58" s="17">
        <v>126.20803639874214</v>
      </c>
      <c r="AS58" s="17">
        <v>79.14509769579962</v>
      </c>
      <c r="AT58" s="17">
        <v>34.233925587161707</v>
      </c>
      <c r="AU58" s="17">
        <v>0</v>
      </c>
      <c r="AV58" s="17">
        <f t="shared" si="26"/>
        <v>239.58705968170347</v>
      </c>
      <c r="AW58" s="17">
        <v>170.51651093702677</v>
      </c>
      <c r="AX58" s="17">
        <v>39.322164720140016</v>
      </c>
      <c r="AY58" s="17">
        <v>20.351042149655324</v>
      </c>
      <c r="AZ58" s="17">
        <v>0</v>
      </c>
      <c r="BA58" s="17">
        <f t="shared" si="27"/>
        <v>230.1897178068221</v>
      </c>
      <c r="BB58" s="17">
        <v>130.67587453713017</v>
      </c>
      <c r="BC58" s="17">
        <v>88.413640790143745</v>
      </c>
      <c r="BD58" s="17">
        <v>6.411546712315479</v>
      </c>
      <c r="BE58" s="17">
        <v>0</v>
      </c>
      <c r="BF58" s="17">
        <f t="shared" si="28"/>
        <v>225.50106203958939</v>
      </c>
      <c r="BG58" s="17">
        <v>133.8752973483102</v>
      </c>
      <c r="BH58" s="17">
        <v>88.528111190059334</v>
      </c>
      <c r="BI58" s="17">
        <v>5.4872603004062572</v>
      </c>
      <c r="BJ58" s="17">
        <v>0</v>
      </c>
      <c r="BK58" s="17">
        <f t="shared" si="29"/>
        <v>227.89066883877581</v>
      </c>
      <c r="BL58" s="17">
        <v>177.6451725096243</v>
      </c>
      <c r="BM58" s="17">
        <v>35.822009007478876</v>
      </c>
      <c r="BN58" s="17">
        <v>12.020226640688522</v>
      </c>
      <c r="BO58" s="17">
        <v>0</v>
      </c>
      <c r="BP58" s="17">
        <f t="shared" si="30"/>
        <v>225.48740815779169</v>
      </c>
      <c r="BQ58" s="17">
        <f t="shared" si="31"/>
        <v>1386.6663829536433</v>
      </c>
      <c r="BR58" s="17">
        <f t="shared" si="31"/>
        <v>809.93745849126117</v>
      </c>
      <c r="BS58" s="17">
        <f t="shared" si="31"/>
        <v>519.57494643601717</v>
      </c>
      <c r="BT58" s="17">
        <f t="shared" si="31"/>
        <v>0</v>
      </c>
      <c r="BU58" s="17">
        <f t="shared" si="16"/>
        <v>2716.1787878809218</v>
      </c>
    </row>
    <row r="59" spans="1:73" hidden="1" outlineLevel="1">
      <c r="A59" s="27" t="s">
        <v>33</v>
      </c>
      <c r="B59" s="17" t="s">
        <v>112</v>
      </c>
      <c r="C59" s="17" t="s">
        <v>168</v>
      </c>
      <c r="D59" s="17" t="s">
        <v>169</v>
      </c>
      <c r="E59" s="17" t="s">
        <v>170</v>
      </c>
      <c r="F59" s="18" t="s">
        <v>171</v>
      </c>
      <c r="G59" s="17" t="s">
        <v>172</v>
      </c>
      <c r="H59" s="18" t="s">
        <v>39</v>
      </c>
      <c r="I59" s="17">
        <v>77.895277303929859</v>
      </c>
      <c r="J59" s="17">
        <v>0</v>
      </c>
      <c r="K59" s="17">
        <v>0</v>
      </c>
      <c r="L59" s="17">
        <v>0</v>
      </c>
      <c r="M59" s="17">
        <f t="shared" si="19"/>
        <v>77.895277303929859</v>
      </c>
      <c r="N59" s="17">
        <v>54.526694112750896</v>
      </c>
      <c r="O59" s="17">
        <v>0</v>
      </c>
      <c r="P59" s="17">
        <v>0</v>
      </c>
      <c r="Q59" s="17">
        <v>0</v>
      </c>
      <c r="R59" s="17">
        <f t="shared" si="20"/>
        <v>54.526694112750896</v>
      </c>
      <c r="S59" s="17">
        <v>77.895277303929859</v>
      </c>
      <c r="T59" s="17">
        <v>0</v>
      </c>
      <c r="U59" s="17">
        <v>0</v>
      </c>
      <c r="V59" s="17">
        <v>0</v>
      </c>
      <c r="W59" s="17">
        <f t="shared" si="21"/>
        <v>77.895277303929859</v>
      </c>
      <c r="X59" s="17">
        <v>77.895277303929859</v>
      </c>
      <c r="Y59" s="17">
        <v>0</v>
      </c>
      <c r="Z59" s="17">
        <v>0</v>
      </c>
      <c r="AA59" s="17">
        <v>0</v>
      </c>
      <c r="AB59" s="17">
        <f t="shared" si="22"/>
        <v>77.895277303929859</v>
      </c>
      <c r="AC59" s="17">
        <v>77.895277303929845</v>
      </c>
      <c r="AD59" s="17">
        <v>0</v>
      </c>
      <c r="AE59" s="17">
        <v>0</v>
      </c>
      <c r="AF59" s="17">
        <v>0</v>
      </c>
      <c r="AG59" s="17">
        <f t="shared" si="23"/>
        <v>77.895277303929845</v>
      </c>
      <c r="AH59" s="17">
        <v>77.895277303929845</v>
      </c>
      <c r="AI59" s="17">
        <v>0</v>
      </c>
      <c r="AJ59" s="17">
        <v>0</v>
      </c>
      <c r="AK59" s="17">
        <v>0</v>
      </c>
      <c r="AL59" s="17">
        <f t="shared" si="24"/>
        <v>77.895277303929845</v>
      </c>
      <c r="AM59" s="17">
        <v>77.895277303929845</v>
      </c>
      <c r="AN59" s="17">
        <v>0</v>
      </c>
      <c r="AO59" s="17">
        <v>0</v>
      </c>
      <c r="AP59" s="17">
        <v>0</v>
      </c>
      <c r="AQ59" s="17">
        <f t="shared" si="25"/>
        <v>77.895277303929845</v>
      </c>
      <c r="AR59" s="17">
        <v>77.895277303929845</v>
      </c>
      <c r="AS59" s="17">
        <v>0</v>
      </c>
      <c r="AT59" s="17">
        <v>0</v>
      </c>
      <c r="AU59" s="17">
        <v>0</v>
      </c>
      <c r="AV59" s="17">
        <f t="shared" si="26"/>
        <v>77.895277303929845</v>
      </c>
      <c r="AW59" s="17">
        <v>77.895277303929845</v>
      </c>
      <c r="AX59" s="17">
        <v>0</v>
      </c>
      <c r="AY59" s="17">
        <v>0</v>
      </c>
      <c r="AZ59" s="17">
        <v>0</v>
      </c>
      <c r="BA59" s="17">
        <f t="shared" si="27"/>
        <v>77.895277303929845</v>
      </c>
      <c r="BB59" s="17">
        <v>77.895277303929845</v>
      </c>
      <c r="BC59" s="17">
        <v>0</v>
      </c>
      <c r="BD59" s="17">
        <v>0</v>
      </c>
      <c r="BE59" s="17">
        <v>0</v>
      </c>
      <c r="BF59" s="17">
        <f t="shared" si="28"/>
        <v>77.895277303929845</v>
      </c>
      <c r="BG59" s="17">
        <v>77.895277303929845</v>
      </c>
      <c r="BH59" s="17">
        <v>0</v>
      </c>
      <c r="BI59" s="17">
        <v>0</v>
      </c>
      <c r="BJ59" s="17">
        <v>0</v>
      </c>
      <c r="BK59" s="17">
        <f t="shared" si="29"/>
        <v>77.895277303929845</v>
      </c>
      <c r="BL59" s="17">
        <v>86.550308115477605</v>
      </c>
      <c r="BM59" s="17">
        <v>0</v>
      </c>
      <c r="BN59" s="17">
        <v>0</v>
      </c>
      <c r="BO59" s="17">
        <v>0</v>
      </c>
      <c r="BP59" s="17">
        <f t="shared" si="30"/>
        <v>86.550308115477605</v>
      </c>
      <c r="BQ59" s="17">
        <f t="shared" si="31"/>
        <v>920.02977526752704</v>
      </c>
      <c r="BR59" s="17">
        <f t="shared" si="31"/>
        <v>0</v>
      </c>
      <c r="BS59" s="17">
        <f t="shared" si="31"/>
        <v>0</v>
      </c>
      <c r="BT59" s="17">
        <f t="shared" si="31"/>
        <v>0</v>
      </c>
      <c r="BU59" s="17">
        <f t="shared" si="16"/>
        <v>920.02977526752704</v>
      </c>
    </row>
    <row r="60" spans="1:73" hidden="1" outlineLevel="1">
      <c r="A60" s="27" t="s">
        <v>33</v>
      </c>
      <c r="B60" s="17" t="s">
        <v>112</v>
      </c>
      <c r="C60" s="17" t="s">
        <v>168</v>
      </c>
      <c r="D60" s="17" t="s">
        <v>169</v>
      </c>
      <c r="E60" s="17" t="s">
        <v>170</v>
      </c>
      <c r="F60" s="18" t="s">
        <v>173</v>
      </c>
      <c r="G60" s="17" t="s">
        <v>174</v>
      </c>
      <c r="H60" s="18" t="s">
        <v>45</v>
      </c>
      <c r="I60" s="17">
        <v>47.140308836557324</v>
      </c>
      <c r="J60" s="17">
        <v>131.91229890331419</v>
      </c>
      <c r="K60" s="17">
        <v>0</v>
      </c>
      <c r="L60" s="17">
        <v>0</v>
      </c>
      <c r="M60" s="17">
        <f t="shared" si="19"/>
        <v>179.05260773987152</v>
      </c>
      <c r="N60" s="17">
        <v>51.422907773685317</v>
      </c>
      <c r="O60" s="17">
        <v>104.88656714000331</v>
      </c>
      <c r="P60" s="17">
        <v>0</v>
      </c>
      <c r="Q60" s="17">
        <v>0</v>
      </c>
      <c r="R60" s="17">
        <f t="shared" si="20"/>
        <v>156.30947491368863</v>
      </c>
      <c r="S60" s="17">
        <v>97.983169945775472</v>
      </c>
      <c r="T60" s="17">
        <v>79.070340943003544</v>
      </c>
      <c r="U60" s="17">
        <v>0</v>
      </c>
      <c r="V60" s="17">
        <v>0</v>
      </c>
      <c r="W60" s="17">
        <f t="shared" si="21"/>
        <v>177.05351088877902</v>
      </c>
      <c r="X60" s="17">
        <v>58.948832390980343</v>
      </c>
      <c r="Y60" s="17">
        <v>118.10467849779783</v>
      </c>
      <c r="Z60" s="17">
        <v>0</v>
      </c>
      <c r="AA60" s="17">
        <v>0</v>
      </c>
      <c r="AB60" s="17">
        <f t="shared" si="22"/>
        <v>177.05351088877819</v>
      </c>
      <c r="AC60" s="17">
        <v>38.591296776344635</v>
      </c>
      <c r="AD60" s="17">
        <v>141.74087777027691</v>
      </c>
      <c r="AE60" s="17">
        <v>0</v>
      </c>
      <c r="AF60" s="17">
        <v>0</v>
      </c>
      <c r="AG60" s="17">
        <f t="shared" si="23"/>
        <v>180.33217454662156</v>
      </c>
      <c r="AH60" s="17">
        <v>22.257110602769561</v>
      </c>
      <c r="AI60" s="17">
        <v>150.82816877819079</v>
      </c>
      <c r="AJ60" s="17">
        <v>0</v>
      </c>
      <c r="AK60" s="17">
        <v>0</v>
      </c>
      <c r="AL60" s="17">
        <f t="shared" si="24"/>
        <v>173.08527938096034</v>
      </c>
      <c r="AM60" s="17">
        <v>33.983169945775472</v>
      </c>
      <c r="AN60" s="17">
        <v>139.07034094300354</v>
      </c>
      <c r="AO60" s="17">
        <v>0</v>
      </c>
      <c r="AP60" s="17">
        <v>0</v>
      </c>
      <c r="AQ60" s="17">
        <f t="shared" si="25"/>
        <v>173.05351088877902</v>
      </c>
      <c r="AR60" s="17">
        <v>64.936282222218011</v>
      </c>
      <c r="AS60" s="17">
        <v>108.42017148409703</v>
      </c>
      <c r="AT60" s="17">
        <v>0</v>
      </c>
      <c r="AU60" s="17">
        <v>0</v>
      </c>
      <c r="AV60" s="17">
        <f t="shared" si="26"/>
        <v>173.35645370631505</v>
      </c>
      <c r="AW60" s="17">
        <v>58.936282222218011</v>
      </c>
      <c r="AX60" s="17">
        <v>109.42017148409691</v>
      </c>
      <c r="AY60" s="17">
        <v>0</v>
      </c>
      <c r="AZ60" s="17">
        <v>0</v>
      </c>
      <c r="BA60" s="17">
        <f t="shared" si="27"/>
        <v>168.35645370631494</v>
      </c>
      <c r="BB60" s="17">
        <v>58.936282222218011</v>
      </c>
      <c r="BC60" s="17">
        <v>109.42017148409691</v>
      </c>
      <c r="BD60" s="17">
        <v>0</v>
      </c>
      <c r="BE60" s="17">
        <v>0</v>
      </c>
      <c r="BF60" s="17">
        <f t="shared" si="28"/>
        <v>168.35645370631494</v>
      </c>
      <c r="BG60" s="17">
        <v>58.936282222218011</v>
      </c>
      <c r="BH60" s="17">
        <v>109.42017148409691</v>
      </c>
      <c r="BI60" s="17">
        <v>0</v>
      </c>
      <c r="BJ60" s="17">
        <v>0</v>
      </c>
      <c r="BK60" s="17">
        <f t="shared" si="29"/>
        <v>168.35645370631494</v>
      </c>
      <c r="BL60" s="17">
        <v>58.936282222218011</v>
      </c>
      <c r="BM60" s="17">
        <v>109.42017148409691</v>
      </c>
      <c r="BN60" s="17">
        <v>0</v>
      </c>
      <c r="BO60" s="17">
        <v>0</v>
      </c>
      <c r="BP60" s="17">
        <f t="shared" si="30"/>
        <v>168.35645370631494</v>
      </c>
      <c r="BQ60" s="17">
        <f t="shared" si="31"/>
        <v>651.00820738297807</v>
      </c>
      <c r="BR60" s="17">
        <f t="shared" si="31"/>
        <v>1411.7141303960748</v>
      </c>
      <c r="BS60" s="17">
        <f t="shared" si="31"/>
        <v>0</v>
      </c>
      <c r="BT60" s="17">
        <f t="shared" si="31"/>
        <v>0</v>
      </c>
      <c r="BU60" s="17">
        <f t="shared" si="16"/>
        <v>2062.7223377790529</v>
      </c>
    </row>
    <row r="61" spans="1:73" hidden="1" outlineLevel="1">
      <c r="A61" s="27" t="s">
        <v>33</v>
      </c>
      <c r="B61" s="17" t="s">
        <v>112</v>
      </c>
      <c r="C61" s="17" t="s">
        <v>168</v>
      </c>
      <c r="D61" s="17" t="s">
        <v>169</v>
      </c>
      <c r="E61" s="17" t="s">
        <v>170</v>
      </c>
      <c r="F61" s="18" t="s">
        <v>175</v>
      </c>
      <c r="G61" s="17" t="s">
        <v>176</v>
      </c>
      <c r="H61" s="18" t="s">
        <v>39</v>
      </c>
      <c r="I61" s="17">
        <v>31.007817163075742</v>
      </c>
      <c r="J61" s="17">
        <v>19.278992719327402</v>
      </c>
      <c r="K61" s="17">
        <v>0</v>
      </c>
      <c r="L61" s="17">
        <v>0</v>
      </c>
      <c r="M61" s="17">
        <f t="shared" si="19"/>
        <v>50.286809882403148</v>
      </c>
      <c r="N61" s="17">
        <v>26.124547326743052</v>
      </c>
      <c r="O61" s="17">
        <v>30.70507303374325</v>
      </c>
      <c r="P61" s="17">
        <v>0</v>
      </c>
      <c r="Q61" s="17">
        <v>0</v>
      </c>
      <c r="R61" s="17">
        <f t="shared" si="20"/>
        <v>56.829620360486302</v>
      </c>
      <c r="S61" s="17">
        <v>5.9929534277003205</v>
      </c>
      <c r="T61" s="17">
        <v>5.7855473414218519</v>
      </c>
      <c r="U61" s="17">
        <v>0</v>
      </c>
      <c r="V61" s="17">
        <v>0</v>
      </c>
      <c r="W61" s="17">
        <f t="shared" si="21"/>
        <v>11.778500769122171</v>
      </c>
      <c r="X61" s="17">
        <v>5.9929534277003205</v>
      </c>
      <c r="Y61" s="17">
        <v>5.7855473414218519</v>
      </c>
      <c r="Z61" s="17">
        <v>0</v>
      </c>
      <c r="AA61" s="17">
        <v>0</v>
      </c>
      <c r="AB61" s="17">
        <f t="shared" si="22"/>
        <v>11.778500769122171</v>
      </c>
      <c r="AC61" s="17">
        <v>5.9929534277003169</v>
      </c>
      <c r="AD61" s="17">
        <v>5.7855473414218519</v>
      </c>
      <c r="AE61" s="17">
        <v>0</v>
      </c>
      <c r="AF61" s="17">
        <v>0</v>
      </c>
      <c r="AG61" s="17">
        <f t="shared" si="23"/>
        <v>11.778500769122168</v>
      </c>
      <c r="AH61" s="17">
        <v>5.9929534277003169</v>
      </c>
      <c r="AI61" s="17">
        <v>5.7855473414218519</v>
      </c>
      <c r="AJ61" s="17">
        <v>0</v>
      </c>
      <c r="AK61" s="17">
        <v>0</v>
      </c>
      <c r="AL61" s="17">
        <f t="shared" si="24"/>
        <v>11.778500769122168</v>
      </c>
      <c r="AM61" s="17">
        <v>17.544189871594334</v>
      </c>
      <c r="AN61" s="17">
        <v>18.876316312457408</v>
      </c>
      <c r="AO61" s="17">
        <v>0</v>
      </c>
      <c r="AP61" s="17">
        <v>0</v>
      </c>
      <c r="AQ61" s="17">
        <f t="shared" si="25"/>
        <v>36.420506184051746</v>
      </c>
      <c r="AR61" s="17">
        <v>9.6566868600509608</v>
      </c>
      <c r="AS61" s="17">
        <v>29.362953205420013</v>
      </c>
      <c r="AT61" s="17">
        <v>0</v>
      </c>
      <c r="AU61" s="17">
        <v>0</v>
      </c>
      <c r="AV61" s="17">
        <f t="shared" si="26"/>
        <v>39.019640065470973</v>
      </c>
      <c r="AW61" s="17">
        <v>9.6566868600509608</v>
      </c>
      <c r="AX61" s="17">
        <v>29.362953205420013</v>
      </c>
      <c r="AY61" s="17">
        <v>0</v>
      </c>
      <c r="AZ61" s="17">
        <v>0</v>
      </c>
      <c r="BA61" s="17">
        <f t="shared" si="27"/>
        <v>39.019640065470973</v>
      </c>
      <c r="BB61" s="17">
        <v>9.6566868600509608</v>
      </c>
      <c r="BC61" s="17">
        <v>29.362953205420013</v>
      </c>
      <c r="BD61" s="17">
        <v>0</v>
      </c>
      <c r="BE61" s="17">
        <v>0</v>
      </c>
      <c r="BF61" s="17">
        <f t="shared" si="28"/>
        <v>39.019640065470973</v>
      </c>
      <c r="BG61" s="17">
        <v>9.6566868600509608</v>
      </c>
      <c r="BH61" s="17">
        <v>29.362953205420013</v>
      </c>
      <c r="BI61" s="17">
        <v>0</v>
      </c>
      <c r="BJ61" s="17">
        <v>0</v>
      </c>
      <c r="BK61" s="17">
        <f t="shared" si="29"/>
        <v>39.019640065470973</v>
      </c>
      <c r="BL61" s="17">
        <v>9.656686860050959</v>
      </c>
      <c r="BM61" s="17">
        <v>29.362953205420013</v>
      </c>
      <c r="BN61" s="17">
        <v>0</v>
      </c>
      <c r="BO61" s="17">
        <v>0</v>
      </c>
      <c r="BP61" s="17">
        <f t="shared" si="30"/>
        <v>39.019640065470973</v>
      </c>
      <c r="BQ61" s="17">
        <f t="shared" si="31"/>
        <v>146.93180237246918</v>
      </c>
      <c r="BR61" s="17">
        <f t="shared" si="31"/>
        <v>238.81733745831551</v>
      </c>
      <c r="BS61" s="17">
        <f t="shared" si="31"/>
        <v>0</v>
      </c>
      <c r="BT61" s="17">
        <f t="shared" si="31"/>
        <v>0</v>
      </c>
      <c r="BU61" s="17">
        <f t="shared" si="16"/>
        <v>385.74913983078466</v>
      </c>
    </row>
    <row r="62" spans="1:73" hidden="1" outlineLevel="1">
      <c r="A62" s="27" t="s">
        <v>33</v>
      </c>
      <c r="B62" s="17" t="s">
        <v>112</v>
      </c>
      <c r="C62" s="17" t="s">
        <v>168</v>
      </c>
      <c r="D62" s="17" t="s">
        <v>169</v>
      </c>
      <c r="E62" s="17" t="s">
        <v>170</v>
      </c>
      <c r="F62" s="18" t="s">
        <v>177</v>
      </c>
      <c r="G62" s="17" t="s">
        <v>178</v>
      </c>
      <c r="H62" s="18" t="s">
        <v>45</v>
      </c>
      <c r="I62" s="17">
        <v>98.907880000000006</v>
      </c>
      <c r="J62" s="17">
        <v>66.770842769249413</v>
      </c>
      <c r="K62" s="17">
        <v>0</v>
      </c>
      <c r="L62" s="17">
        <v>0</v>
      </c>
      <c r="M62" s="17">
        <f t="shared" si="19"/>
        <v>165.67872276924942</v>
      </c>
      <c r="N62" s="17">
        <v>33.16823336931747</v>
      </c>
      <c r="O62" s="17">
        <v>102.14629471402168</v>
      </c>
      <c r="P62" s="17">
        <v>0</v>
      </c>
      <c r="Q62" s="17">
        <v>0</v>
      </c>
      <c r="R62" s="17">
        <f t="shared" si="20"/>
        <v>135.31452808333916</v>
      </c>
      <c r="S62" s="17">
        <v>85.851339447243063</v>
      </c>
      <c r="T62" s="17">
        <v>69.552616959272271</v>
      </c>
      <c r="U62" s="17">
        <v>0</v>
      </c>
      <c r="V62" s="17">
        <v>0</v>
      </c>
      <c r="W62" s="17">
        <f t="shared" si="21"/>
        <v>155.40395640651533</v>
      </c>
      <c r="X62" s="17">
        <v>97.080178344798099</v>
      </c>
      <c r="Y62" s="17">
        <v>66.506548363726523</v>
      </c>
      <c r="Z62" s="17">
        <v>0</v>
      </c>
      <c r="AA62" s="17">
        <v>0</v>
      </c>
      <c r="AB62" s="17">
        <f t="shared" si="22"/>
        <v>163.58672670852462</v>
      </c>
      <c r="AC62" s="17">
        <v>70.429050000000004</v>
      </c>
      <c r="AD62" s="17">
        <v>105.13943187825416</v>
      </c>
      <c r="AE62" s="17">
        <v>0</v>
      </c>
      <c r="AF62" s="17">
        <v>0</v>
      </c>
      <c r="AG62" s="17">
        <f t="shared" si="23"/>
        <v>175.56848187825415</v>
      </c>
      <c r="AH62" s="17">
        <v>106.7654</v>
      </c>
      <c r="AI62" s="17">
        <v>64.451985284352574</v>
      </c>
      <c r="AJ62" s="17">
        <v>0</v>
      </c>
      <c r="AK62" s="17">
        <v>0</v>
      </c>
      <c r="AL62" s="17">
        <f t="shared" si="24"/>
        <v>171.21738528435259</v>
      </c>
      <c r="AM62" s="17">
        <v>123.13568847107895</v>
      </c>
      <c r="AN62" s="17">
        <v>61.232071022240987</v>
      </c>
      <c r="AO62" s="17">
        <v>0</v>
      </c>
      <c r="AP62" s="17">
        <v>0</v>
      </c>
      <c r="AQ62" s="17">
        <f t="shared" si="25"/>
        <v>184.36775949331994</v>
      </c>
      <c r="AR62" s="17">
        <v>74.557280000000006</v>
      </c>
      <c r="AS62" s="17">
        <v>121.62647718406063</v>
      </c>
      <c r="AT62" s="17">
        <v>0</v>
      </c>
      <c r="AU62" s="17">
        <v>0</v>
      </c>
      <c r="AV62" s="17">
        <f t="shared" si="26"/>
        <v>196.18375718406065</v>
      </c>
      <c r="AW62" s="17">
        <v>59.557279999999999</v>
      </c>
      <c r="AX62" s="17">
        <v>136.1264771840606</v>
      </c>
      <c r="AY62" s="17">
        <v>0</v>
      </c>
      <c r="AZ62" s="17">
        <v>0</v>
      </c>
      <c r="BA62" s="17">
        <f t="shared" si="27"/>
        <v>195.6837571840606</v>
      </c>
      <c r="BB62" s="17">
        <v>54.557279999999999</v>
      </c>
      <c r="BC62" s="17">
        <v>136.12647718406063</v>
      </c>
      <c r="BD62" s="17">
        <v>0</v>
      </c>
      <c r="BE62" s="17">
        <v>0</v>
      </c>
      <c r="BF62" s="17">
        <f t="shared" si="28"/>
        <v>190.68375718406062</v>
      </c>
      <c r="BG62" s="17">
        <v>70.557280000000006</v>
      </c>
      <c r="BH62" s="17">
        <v>120.12647718406063</v>
      </c>
      <c r="BI62" s="17">
        <v>0</v>
      </c>
      <c r="BJ62" s="17">
        <v>0</v>
      </c>
      <c r="BK62" s="17">
        <f t="shared" si="29"/>
        <v>190.68375718406065</v>
      </c>
      <c r="BL62" s="17">
        <v>71.557280000000006</v>
      </c>
      <c r="BM62" s="17">
        <v>119.12647718405333</v>
      </c>
      <c r="BN62" s="17">
        <v>0</v>
      </c>
      <c r="BO62" s="17">
        <v>0</v>
      </c>
      <c r="BP62" s="17">
        <f t="shared" si="30"/>
        <v>190.68375718405332</v>
      </c>
      <c r="BQ62" s="17">
        <f t="shared" si="31"/>
        <v>946.12416963243754</v>
      </c>
      <c r="BR62" s="17">
        <f t="shared" si="31"/>
        <v>1168.9321769114135</v>
      </c>
      <c r="BS62" s="17">
        <f t="shared" si="31"/>
        <v>0</v>
      </c>
      <c r="BT62" s="17">
        <f t="shared" si="31"/>
        <v>0</v>
      </c>
      <c r="BU62" s="17">
        <f t="shared" si="16"/>
        <v>2115.0563465438509</v>
      </c>
    </row>
    <row r="63" spans="1:73" hidden="1" outlineLevel="1">
      <c r="A63" s="27" t="s">
        <v>33</v>
      </c>
      <c r="B63" s="17" t="s">
        <v>112</v>
      </c>
      <c r="C63" s="17" t="s">
        <v>168</v>
      </c>
      <c r="D63" s="17" t="s">
        <v>169</v>
      </c>
      <c r="E63" s="17" t="s">
        <v>170</v>
      </c>
      <c r="F63" s="18" t="s">
        <v>179</v>
      </c>
      <c r="G63" s="17" t="s">
        <v>180</v>
      </c>
      <c r="H63" s="18" t="s">
        <v>45</v>
      </c>
      <c r="I63" s="17">
        <v>95.982893547215554</v>
      </c>
      <c r="J63" s="17">
        <v>130.55806458713428</v>
      </c>
      <c r="K63" s="17">
        <v>0</v>
      </c>
      <c r="L63" s="17">
        <v>0</v>
      </c>
      <c r="M63" s="17">
        <f t="shared" si="19"/>
        <v>226.54095813434984</v>
      </c>
      <c r="N63" s="17">
        <v>127.4626139263615</v>
      </c>
      <c r="O63" s="17">
        <v>98.220686180265204</v>
      </c>
      <c r="P63" s="17">
        <v>0</v>
      </c>
      <c r="Q63" s="17">
        <v>0</v>
      </c>
      <c r="R63" s="17">
        <f t="shared" si="20"/>
        <v>225.68330010662669</v>
      </c>
      <c r="S63" s="17">
        <v>114.23230560908748</v>
      </c>
      <c r="T63" s="17">
        <v>111.31526597180751</v>
      </c>
      <c r="U63" s="17">
        <v>0</v>
      </c>
      <c r="V63" s="17">
        <v>0</v>
      </c>
      <c r="W63" s="17">
        <f t="shared" si="21"/>
        <v>225.54757158089498</v>
      </c>
      <c r="X63" s="17">
        <v>164.23230560908746</v>
      </c>
      <c r="Y63" s="17">
        <v>61.315265971807527</v>
      </c>
      <c r="Z63" s="17">
        <v>0</v>
      </c>
      <c r="AA63" s="17">
        <v>0</v>
      </c>
      <c r="AB63" s="17">
        <f t="shared" si="22"/>
        <v>225.54757158089498</v>
      </c>
      <c r="AC63" s="17">
        <v>114.23230560908748</v>
      </c>
      <c r="AD63" s="17">
        <v>112.31526597180751</v>
      </c>
      <c r="AE63" s="17">
        <v>0</v>
      </c>
      <c r="AF63" s="17">
        <v>0</v>
      </c>
      <c r="AG63" s="17">
        <f t="shared" si="23"/>
        <v>226.54757158089498</v>
      </c>
      <c r="AH63" s="17">
        <v>114.23230560908748</v>
      </c>
      <c r="AI63" s="17">
        <v>112.31526597180751</v>
      </c>
      <c r="AJ63" s="17">
        <v>0</v>
      </c>
      <c r="AK63" s="17">
        <v>0</v>
      </c>
      <c r="AL63" s="17">
        <f t="shared" si="24"/>
        <v>226.54757158089498</v>
      </c>
      <c r="AM63" s="17">
        <v>154.23230560908746</v>
      </c>
      <c r="AN63" s="17">
        <v>72.315265971807506</v>
      </c>
      <c r="AO63" s="17">
        <v>0</v>
      </c>
      <c r="AP63" s="17">
        <v>0</v>
      </c>
      <c r="AQ63" s="17">
        <f t="shared" si="25"/>
        <v>226.54757158089495</v>
      </c>
      <c r="AR63" s="17">
        <v>132.20502999999999</v>
      </c>
      <c r="AS63" s="17">
        <v>98.471411890260995</v>
      </c>
      <c r="AT63" s="17">
        <v>0</v>
      </c>
      <c r="AU63" s="17">
        <v>0</v>
      </c>
      <c r="AV63" s="17">
        <f t="shared" si="26"/>
        <v>230.676441890261</v>
      </c>
      <c r="AW63" s="17">
        <v>143.32817879277829</v>
      </c>
      <c r="AX63" s="17">
        <v>87.135520550842301</v>
      </c>
      <c r="AY63" s="17">
        <v>0</v>
      </c>
      <c r="AZ63" s="17">
        <v>0</v>
      </c>
      <c r="BA63" s="17">
        <f t="shared" si="27"/>
        <v>230.46369934362059</v>
      </c>
      <c r="BB63" s="17">
        <v>145.07876673090578</v>
      </c>
      <c r="BC63" s="17">
        <v>85.378319166169021</v>
      </c>
      <c r="BD63" s="17">
        <v>0</v>
      </c>
      <c r="BE63" s="17">
        <v>0</v>
      </c>
      <c r="BF63" s="17">
        <f t="shared" si="28"/>
        <v>230.45708589707482</v>
      </c>
      <c r="BG63" s="17">
        <v>145.07876673090578</v>
      </c>
      <c r="BH63" s="17">
        <v>85.378319166169021</v>
      </c>
      <c r="BI63" s="17">
        <v>0</v>
      </c>
      <c r="BJ63" s="17">
        <v>0</v>
      </c>
      <c r="BK63" s="17">
        <f t="shared" si="29"/>
        <v>230.45708589707482</v>
      </c>
      <c r="BL63" s="17">
        <v>145.07876673090578</v>
      </c>
      <c r="BM63" s="17">
        <v>85.378319166169021</v>
      </c>
      <c r="BN63" s="17">
        <v>0</v>
      </c>
      <c r="BO63" s="17">
        <v>0</v>
      </c>
      <c r="BP63" s="17">
        <f t="shared" si="30"/>
        <v>230.45708589707482</v>
      </c>
      <c r="BQ63" s="17">
        <f t="shared" si="31"/>
        <v>1595.3765445045099</v>
      </c>
      <c r="BR63" s="17">
        <f t="shared" si="31"/>
        <v>1140.0969705660475</v>
      </c>
      <c r="BS63" s="17">
        <f t="shared" si="31"/>
        <v>0</v>
      </c>
      <c r="BT63" s="17">
        <f t="shared" si="31"/>
        <v>0</v>
      </c>
      <c r="BU63" s="17">
        <f t="shared" si="16"/>
        <v>2735.4735150705574</v>
      </c>
    </row>
    <row r="64" spans="1:73" collapsed="1">
      <c r="A64" s="24" t="s">
        <v>33</v>
      </c>
      <c r="B64" s="25" t="s">
        <v>181</v>
      </c>
      <c r="C64" s="25"/>
      <c r="D64" s="26"/>
      <c r="E64" s="25" t="s">
        <v>182</v>
      </c>
      <c r="F64" s="25"/>
      <c r="G64" s="25" t="s">
        <v>181</v>
      </c>
      <c r="H64" s="20">
        <v>0</v>
      </c>
      <c r="I64" s="25">
        <f>SUM(I37:I63)</f>
        <v>3651.9809957488965</v>
      </c>
      <c r="J64" s="25">
        <f t="shared" ref="J64:BU64" si="32">SUM(J37:J63)</f>
        <v>3231.9880904920224</v>
      </c>
      <c r="K64" s="25">
        <f t="shared" si="32"/>
        <v>60.44837691308296</v>
      </c>
      <c r="L64" s="25">
        <f t="shared" si="32"/>
        <v>14.459735821573624</v>
      </c>
      <c r="M64" s="25">
        <f t="shared" si="32"/>
        <v>6958.8771989755742</v>
      </c>
      <c r="N64" s="25">
        <f t="shared" si="32"/>
        <v>3888.9937994317884</v>
      </c>
      <c r="O64" s="25">
        <f t="shared" si="32"/>
        <v>2206.3981276698987</v>
      </c>
      <c r="P64" s="25">
        <f t="shared" si="32"/>
        <v>59.243630150203181</v>
      </c>
      <c r="Q64" s="25">
        <f t="shared" si="32"/>
        <v>12.973157214382448</v>
      </c>
      <c r="R64" s="25">
        <f t="shared" si="32"/>
        <v>6167.6087144662733</v>
      </c>
      <c r="S64" s="25">
        <f t="shared" si="32"/>
        <v>4357.5937154804487</v>
      </c>
      <c r="T64" s="25">
        <f t="shared" si="32"/>
        <v>2513.4200335910755</v>
      </c>
      <c r="U64" s="25">
        <f t="shared" si="32"/>
        <v>90.840454215788796</v>
      </c>
      <c r="V64" s="25">
        <f t="shared" si="32"/>
        <v>12.586557129393851</v>
      </c>
      <c r="W64" s="25">
        <f t="shared" si="32"/>
        <v>6974.4407604167054</v>
      </c>
      <c r="X64" s="25">
        <f t="shared" si="32"/>
        <v>5043.7508456427395</v>
      </c>
      <c r="Y64" s="25">
        <f t="shared" si="32"/>
        <v>2562.8454368178695</v>
      </c>
      <c r="Z64" s="25">
        <f t="shared" si="32"/>
        <v>105.08203695285974</v>
      </c>
      <c r="AA64" s="25">
        <f t="shared" si="32"/>
        <v>8.3676864032766805</v>
      </c>
      <c r="AB64" s="25">
        <f t="shared" si="32"/>
        <v>7720.0460058167464</v>
      </c>
      <c r="AC64" s="25">
        <f t="shared" si="32"/>
        <v>4659.0783627451765</v>
      </c>
      <c r="AD64" s="25">
        <f t="shared" si="32"/>
        <v>3374.695703962459</v>
      </c>
      <c r="AE64" s="25">
        <f t="shared" si="32"/>
        <v>64.824221541372665</v>
      </c>
      <c r="AF64" s="25">
        <f t="shared" si="32"/>
        <v>0</v>
      </c>
      <c r="AG64" s="25">
        <f t="shared" si="32"/>
        <v>8098.5982882490089</v>
      </c>
      <c r="AH64" s="25">
        <f t="shared" si="32"/>
        <v>5238.6042481369586</v>
      </c>
      <c r="AI64" s="25">
        <f t="shared" si="32"/>
        <v>3223.955203613064</v>
      </c>
      <c r="AJ64" s="25">
        <f t="shared" si="32"/>
        <v>72.919471643147375</v>
      </c>
      <c r="AK64" s="25">
        <f t="shared" si="32"/>
        <v>2</v>
      </c>
      <c r="AL64" s="25">
        <f t="shared" si="32"/>
        <v>8537.4789233931679</v>
      </c>
      <c r="AM64" s="25">
        <f t="shared" si="32"/>
        <v>5446.2207239054105</v>
      </c>
      <c r="AN64" s="25">
        <f t="shared" si="32"/>
        <v>3283.6965689030844</v>
      </c>
      <c r="AO64" s="25">
        <f t="shared" si="32"/>
        <v>14.14108221028442</v>
      </c>
      <c r="AP64" s="25">
        <f t="shared" si="32"/>
        <v>0</v>
      </c>
      <c r="AQ64" s="25">
        <f t="shared" si="32"/>
        <v>8744.0583750187816</v>
      </c>
      <c r="AR64" s="25">
        <f t="shared" si="32"/>
        <v>5531.652776290488</v>
      </c>
      <c r="AS64" s="25">
        <f t="shared" si="32"/>
        <v>3656.8446993628199</v>
      </c>
      <c r="AT64" s="25">
        <f t="shared" si="32"/>
        <v>34.233925587161707</v>
      </c>
      <c r="AU64" s="25">
        <f t="shared" si="32"/>
        <v>3.1271369407009479</v>
      </c>
      <c r="AV64" s="25">
        <f t="shared" si="32"/>
        <v>9225.8585381811699</v>
      </c>
      <c r="AW64" s="25">
        <f t="shared" si="32"/>
        <v>5611.7609102713777</v>
      </c>
      <c r="AX64" s="25">
        <f t="shared" si="32"/>
        <v>3584.6052076782335</v>
      </c>
      <c r="AY64" s="25">
        <f t="shared" si="32"/>
        <v>20.351042149655324</v>
      </c>
      <c r="AZ64" s="25">
        <f t="shared" si="32"/>
        <v>0</v>
      </c>
      <c r="BA64" s="25">
        <f t="shared" si="32"/>
        <v>9216.717160099266</v>
      </c>
      <c r="BB64" s="25">
        <f t="shared" si="32"/>
        <v>5313.2933683345227</v>
      </c>
      <c r="BC64" s="25">
        <f t="shared" si="32"/>
        <v>3312.0223255387295</v>
      </c>
      <c r="BD64" s="25">
        <f t="shared" si="32"/>
        <v>6.411546712315479</v>
      </c>
      <c r="BE64" s="25">
        <f t="shared" si="32"/>
        <v>0</v>
      </c>
      <c r="BF64" s="25">
        <f t="shared" si="32"/>
        <v>8631.7272405855656</v>
      </c>
      <c r="BG64" s="25">
        <f t="shared" si="32"/>
        <v>5153.7761905895914</v>
      </c>
      <c r="BH64" s="25">
        <f t="shared" si="32"/>
        <v>3388.3410192498905</v>
      </c>
      <c r="BI64" s="25">
        <f t="shared" si="32"/>
        <v>5.4872603004062572</v>
      </c>
      <c r="BJ64" s="25">
        <f t="shared" si="32"/>
        <v>0</v>
      </c>
      <c r="BK64" s="25">
        <f t="shared" si="32"/>
        <v>8547.6044701398878</v>
      </c>
      <c r="BL64" s="25">
        <f t="shared" si="32"/>
        <v>5243.2010965624522</v>
      </c>
      <c r="BM64" s="25">
        <f t="shared" si="32"/>
        <v>3474.61704130712</v>
      </c>
      <c r="BN64" s="25">
        <f t="shared" si="32"/>
        <v>12.020226640688522</v>
      </c>
      <c r="BO64" s="25">
        <f t="shared" si="32"/>
        <v>0</v>
      </c>
      <c r="BP64" s="25">
        <f t="shared" si="32"/>
        <v>8729.8383645102604</v>
      </c>
      <c r="BQ64" s="25">
        <f t="shared" si="32"/>
        <v>59139.90703313984</v>
      </c>
      <c r="BR64" s="25">
        <f t="shared" si="32"/>
        <v>37813.429458186256</v>
      </c>
      <c r="BS64" s="25">
        <f t="shared" si="32"/>
        <v>546.00327501696643</v>
      </c>
      <c r="BT64" s="25">
        <f t="shared" si="32"/>
        <v>53.514273509327552</v>
      </c>
      <c r="BU64" s="25">
        <f t="shared" si="32"/>
        <v>97552.854039852391</v>
      </c>
    </row>
    <row r="65" spans="1:73" hidden="1" outlineLevel="1">
      <c r="A65" s="27" t="s">
        <v>33</v>
      </c>
      <c r="B65" s="17" t="s">
        <v>183</v>
      </c>
      <c r="C65" s="17" t="s">
        <v>184</v>
      </c>
      <c r="D65" s="17" t="s">
        <v>185</v>
      </c>
      <c r="E65" s="17" t="s">
        <v>186</v>
      </c>
      <c r="F65" s="17" t="s">
        <v>187</v>
      </c>
      <c r="G65" s="17" t="s">
        <v>188</v>
      </c>
      <c r="H65" s="18" t="s">
        <v>45</v>
      </c>
      <c r="I65" s="17">
        <v>11.717286130895632</v>
      </c>
      <c r="J65" s="17">
        <v>149.77884562844426</v>
      </c>
      <c r="K65" s="17">
        <v>0</v>
      </c>
      <c r="L65" s="17">
        <v>0</v>
      </c>
      <c r="M65" s="17">
        <f t="shared" ref="M65:M85" si="33">SUM(I65:L65)</f>
        <v>161.4961317593399</v>
      </c>
      <c r="N65" s="17">
        <v>14.717286130895632</v>
      </c>
      <c r="O65" s="17">
        <v>154.77884562844426</v>
      </c>
      <c r="P65" s="17">
        <v>0</v>
      </c>
      <c r="Q65" s="17">
        <v>0</v>
      </c>
      <c r="R65" s="17">
        <f t="shared" ref="R65:R85" si="34">SUM(N65:Q65)</f>
        <v>169.4961317593399</v>
      </c>
      <c r="S65" s="17">
        <v>18.989542551793335</v>
      </c>
      <c r="T65" s="17">
        <v>146.92224718414511</v>
      </c>
      <c r="U65" s="17">
        <v>0</v>
      </c>
      <c r="V65" s="17">
        <v>0</v>
      </c>
      <c r="W65" s="17">
        <f t="shared" ref="W65:W85" si="35">SUM(S65:V65)</f>
        <v>165.91178973593844</v>
      </c>
      <c r="X65" s="17">
        <v>37.545557517806088</v>
      </c>
      <c r="Y65" s="17">
        <v>140.30096106559986</v>
      </c>
      <c r="Z65" s="17">
        <v>0</v>
      </c>
      <c r="AA65" s="17">
        <v>0</v>
      </c>
      <c r="AB65" s="17">
        <f t="shared" ref="AB65:AB85" si="36">SUM(X65:AA65)</f>
        <v>177.84651858340595</v>
      </c>
      <c r="AC65" s="17">
        <v>22.545557517806092</v>
      </c>
      <c r="AD65" s="17">
        <v>150.20096106559987</v>
      </c>
      <c r="AE65" s="17">
        <v>0</v>
      </c>
      <c r="AF65" s="17">
        <v>0</v>
      </c>
      <c r="AG65" s="17">
        <f t="shared" ref="AG65:AG85" si="37">SUM(AC65:AF65)</f>
        <v>172.74651858340596</v>
      </c>
      <c r="AH65" s="17">
        <v>22.545557517806092</v>
      </c>
      <c r="AI65" s="17">
        <v>150.20096106559987</v>
      </c>
      <c r="AJ65" s="17">
        <v>0</v>
      </c>
      <c r="AK65" s="17">
        <v>0</v>
      </c>
      <c r="AL65" s="17">
        <f t="shared" ref="AL65:AL85" si="38">SUM(AH65:AK65)</f>
        <v>172.74651858340596</v>
      </c>
      <c r="AM65" s="17">
        <v>16.28796459817174</v>
      </c>
      <c r="AN65" s="17">
        <v>156.83413422133322</v>
      </c>
      <c r="AO65" s="17">
        <v>0</v>
      </c>
      <c r="AP65" s="17">
        <v>0</v>
      </c>
      <c r="AQ65" s="17">
        <f t="shared" ref="AQ65:AQ85" si="39">SUM(AM65:AP65)</f>
        <v>173.12209881950497</v>
      </c>
      <c r="AR65" s="17">
        <v>20.287964598171754</v>
      </c>
      <c r="AS65" s="17">
        <v>152.83413422133322</v>
      </c>
      <c r="AT65" s="17">
        <v>0</v>
      </c>
      <c r="AU65" s="17">
        <v>0</v>
      </c>
      <c r="AV65" s="17">
        <f t="shared" ref="AV65:AV85" si="40">SUM(AR65:AU65)</f>
        <v>173.12209881950497</v>
      </c>
      <c r="AW65" s="17">
        <v>18.641090440128099</v>
      </c>
      <c r="AX65" s="17">
        <v>156.83413422133322</v>
      </c>
      <c r="AY65" s="17">
        <v>0</v>
      </c>
      <c r="AZ65" s="17">
        <v>0</v>
      </c>
      <c r="BA65" s="17">
        <f t="shared" ref="BA65:BA85" si="41">SUM(AW65:AZ65)</f>
        <v>175.47522466146131</v>
      </c>
      <c r="BB65" s="17">
        <v>28.287964598171758</v>
      </c>
      <c r="BC65" s="17">
        <v>136.83413422133322</v>
      </c>
      <c r="BD65" s="17">
        <v>0</v>
      </c>
      <c r="BE65" s="17">
        <v>0</v>
      </c>
      <c r="BF65" s="17">
        <f t="shared" ref="BF65:BF85" si="42">SUM(BB65:BE65)</f>
        <v>165.12209881950497</v>
      </c>
      <c r="BG65" s="17">
        <v>22.919778322507753</v>
      </c>
      <c r="BH65" s="17">
        <v>151.59835985093019</v>
      </c>
      <c r="BI65" s="17">
        <v>0</v>
      </c>
      <c r="BJ65" s="17">
        <v>0</v>
      </c>
      <c r="BK65" s="17">
        <f t="shared" ref="BK65:BK85" si="43">SUM(BG65:BJ65)</f>
        <v>174.51813817343793</v>
      </c>
      <c r="BL65" s="17">
        <v>32.919778322507753</v>
      </c>
      <c r="BM65" s="17">
        <v>141.59835985093019</v>
      </c>
      <c r="BN65" s="17">
        <v>0</v>
      </c>
      <c r="BO65" s="17">
        <v>0</v>
      </c>
      <c r="BP65" s="17">
        <f t="shared" ref="BP65:BP85" si="44">SUM(BL65:BO65)</f>
        <v>174.51813817343793</v>
      </c>
      <c r="BQ65" s="17">
        <f t="shared" ref="BQ65:BT85" si="45">BL65+BG65+BB65+AW65+AR65+AM65+AH65+AC65+X65+S65+N65+I65</f>
        <v>267.40532824666172</v>
      </c>
      <c r="BR65" s="17">
        <f t="shared" si="45"/>
        <v>1788.7160782250266</v>
      </c>
      <c r="BS65" s="17">
        <f t="shared" si="45"/>
        <v>0</v>
      </c>
      <c r="BT65" s="17">
        <f t="shared" si="45"/>
        <v>0</v>
      </c>
      <c r="BU65" s="17">
        <f t="shared" si="16"/>
        <v>2056.1214064716883</v>
      </c>
    </row>
    <row r="66" spans="1:73" hidden="1" outlineLevel="1">
      <c r="A66" s="27" t="s">
        <v>33</v>
      </c>
      <c r="B66" s="17" t="s">
        <v>183</v>
      </c>
      <c r="C66" s="17" t="s">
        <v>184</v>
      </c>
      <c r="D66" s="17" t="s">
        <v>185</v>
      </c>
      <c r="E66" s="17" t="s">
        <v>186</v>
      </c>
      <c r="F66" s="17" t="s">
        <v>189</v>
      </c>
      <c r="G66" s="17" t="s">
        <v>190</v>
      </c>
      <c r="H66" s="18" t="s">
        <v>45</v>
      </c>
      <c r="I66" s="17">
        <v>31.578064260640481</v>
      </c>
      <c r="J66" s="17">
        <v>148.89768491025134</v>
      </c>
      <c r="K66" s="17">
        <v>0</v>
      </c>
      <c r="L66" s="17">
        <v>0</v>
      </c>
      <c r="M66" s="17">
        <f t="shared" si="33"/>
        <v>180.47574917089182</v>
      </c>
      <c r="N66" s="17">
        <v>41.578064260640467</v>
      </c>
      <c r="O66" s="17">
        <v>137.89768491025134</v>
      </c>
      <c r="P66" s="17">
        <v>0</v>
      </c>
      <c r="Q66" s="17">
        <v>0</v>
      </c>
      <c r="R66" s="17">
        <f t="shared" si="34"/>
        <v>179.47574917089182</v>
      </c>
      <c r="S66" s="17">
        <v>33.876110252570228</v>
      </c>
      <c r="T66" s="17">
        <v>149.46335017317006</v>
      </c>
      <c r="U66" s="17">
        <v>0</v>
      </c>
      <c r="V66" s="17">
        <v>0</v>
      </c>
      <c r="W66" s="17">
        <f t="shared" si="35"/>
        <v>183.3394604257403</v>
      </c>
      <c r="X66" s="17">
        <v>37.420257834576411</v>
      </c>
      <c r="Y66" s="17">
        <v>143.00791641922601</v>
      </c>
      <c r="Z66" s="17">
        <v>0</v>
      </c>
      <c r="AA66" s="17">
        <v>0</v>
      </c>
      <c r="AB66" s="17">
        <f t="shared" si="36"/>
        <v>180.42817425380241</v>
      </c>
      <c r="AC66" s="17">
        <v>37.420257834576411</v>
      </c>
      <c r="AD66" s="17">
        <v>143.00791641922626</v>
      </c>
      <c r="AE66" s="17">
        <v>0</v>
      </c>
      <c r="AF66" s="17">
        <v>0</v>
      </c>
      <c r="AG66" s="17">
        <f t="shared" si="37"/>
        <v>180.42817425380267</v>
      </c>
      <c r="AH66" s="17">
        <v>37.420257834576411</v>
      </c>
      <c r="AI66" s="17">
        <v>143.00791641922601</v>
      </c>
      <c r="AJ66" s="17">
        <v>0</v>
      </c>
      <c r="AK66" s="17">
        <v>0</v>
      </c>
      <c r="AL66" s="17">
        <f t="shared" si="38"/>
        <v>180.42817425380241</v>
      </c>
      <c r="AM66" s="17">
        <v>31.183548195480352</v>
      </c>
      <c r="AN66" s="17">
        <v>140.17326368268854</v>
      </c>
      <c r="AO66" s="17">
        <v>0</v>
      </c>
      <c r="AP66" s="17">
        <v>0</v>
      </c>
      <c r="AQ66" s="17">
        <f t="shared" si="39"/>
        <v>171.35681187816888</v>
      </c>
      <c r="AR66" s="17">
        <v>31.183548195480352</v>
      </c>
      <c r="AS66" s="17">
        <v>129.17326368268851</v>
      </c>
      <c r="AT66" s="17">
        <v>0</v>
      </c>
      <c r="AU66" s="17">
        <v>0</v>
      </c>
      <c r="AV66" s="17">
        <f t="shared" si="40"/>
        <v>160.35681187816886</v>
      </c>
      <c r="AW66" s="17">
        <v>31.183548195480352</v>
      </c>
      <c r="AX66" s="17">
        <v>129.17326368268851</v>
      </c>
      <c r="AY66" s="17">
        <v>0</v>
      </c>
      <c r="AZ66" s="17">
        <v>0</v>
      </c>
      <c r="BA66" s="17">
        <f t="shared" si="41"/>
        <v>160.35681187816886</v>
      </c>
      <c r="BB66" s="17">
        <v>31.183548195480352</v>
      </c>
      <c r="BC66" s="17">
        <v>139.17326368268854</v>
      </c>
      <c r="BD66" s="17">
        <v>0</v>
      </c>
      <c r="BE66" s="17">
        <v>0</v>
      </c>
      <c r="BF66" s="17">
        <f t="shared" si="42"/>
        <v>170.35681187816888</v>
      </c>
      <c r="BG66" s="17">
        <v>37.793229763208949</v>
      </c>
      <c r="BH66" s="17">
        <v>144.43329244502462</v>
      </c>
      <c r="BI66" s="17">
        <v>0</v>
      </c>
      <c r="BJ66" s="17">
        <v>0</v>
      </c>
      <c r="BK66" s="17">
        <f t="shared" si="43"/>
        <v>182.22652220823358</v>
      </c>
      <c r="BL66" s="17">
        <v>27.793229763208991</v>
      </c>
      <c r="BM66" s="17">
        <v>144.43329244502462</v>
      </c>
      <c r="BN66" s="17">
        <v>0</v>
      </c>
      <c r="BO66" s="17">
        <v>0</v>
      </c>
      <c r="BP66" s="17">
        <f t="shared" si="44"/>
        <v>172.2265222082336</v>
      </c>
      <c r="BQ66" s="17">
        <f t="shared" si="45"/>
        <v>409.61366458591976</v>
      </c>
      <c r="BR66" s="17">
        <f t="shared" si="45"/>
        <v>1691.8421088721545</v>
      </c>
      <c r="BS66" s="17">
        <f t="shared" si="45"/>
        <v>0</v>
      </c>
      <c r="BT66" s="17">
        <f t="shared" si="45"/>
        <v>0</v>
      </c>
      <c r="BU66" s="17">
        <f t="shared" si="16"/>
        <v>2101.4557734580744</v>
      </c>
    </row>
    <row r="67" spans="1:73" hidden="1" outlineLevel="1">
      <c r="A67" s="27" t="s">
        <v>33</v>
      </c>
      <c r="B67" s="17" t="s">
        <v>183</v>
      </c>
      <c r="C67" s="17" t="s">
        <v>191</v>
      </c>
      <c r="D67" s="17"/>
      <c r="E67" s="19" t="s">
        <v>192</v>
      </c>
      <c r="F67" s="17" t="s">
        <v>193</v>
      </c>
      <c r="G67" s="17" t="s">
        <v>194</v>
      </c>
      <c r="H67" s="18" t="s">
        <v>39</v>
      </c>
      <c r="I67" s="17">
        <v>0</v>
      </c>
      <c r="J67" s="17">
        <v>18.300000000000011</v>
      </c>
      <c r="K67" s="17">
        <v>0</v>
      </c>
      <c r="L67" s="17">
        <v>0</v>
      </c>
      <c r="M67" s="17">
        <f t="shared" si="33"/>
        <v>18.300000000000011</v>
      </c>
      <c r="N67" s="17">
        <v>0</v>
      </c>
      <c r="O67" s="17">
        <v>21.70000000000001</v>
      </c>
      <c r="P67" s="17">
        <v>0</v>
      </c>
      <c r="Q67" s="17">
        <v>0</v>
      </c>
      <c r="R67" s="17">
        <f t="shared" si="34"/>
        <v>21.70000000000001</v>
      </c>
      <c r="S67" s="17">
        <v>0</v>
      </c>
      <c r="T67" s="17">
        <v>20.700000000000045</v>
      </c>
      <c r="U67" s="17">
        <v>0</v>
      </c>
      <c r="V67" s="17">
        <v>0</v>
      </c>
      <c r="W67" s="17">
        <f t="shared" si="35"/>
        <v>20.700000000000045</v>
      </c>
      <c r="X67" s="17">
        <v>0</v>
      </c>
      <c r="Y67" s="17">
        <v>20</v>
      </c>
      <c r="Z67" s="17">
        <v>0</v>
      </c>
      <c r="AA67" s="17">
        <v>0</v>
      </c>
      <c r="AB67" s="17">
        <f t="shared" si="36"/>
        <v>20</v>
      </c>
      <c r="AC67" s="17">
        <v>0</v>
      </c>
      <c r="AD67" s="17">
        <v>20</v>
      </c>
      <c r="AE67" s="17">
        <v>0</v>
      </c>
      <c r="AF67" s="17">
        <v>0</v>
      </c>
      <c r="AG67" s="17">
        <f t="shared" si="37"/>
        <v>20</v>
      </c>
      <c r="AH67" s="17">
        <v>0</v>
      </c>
      <c r="AI67" s="17">
        <v>23.000000000000028</v>
      </c>
      <c r="AJ67" s="17">
        <v>0</v>
      </c>
      <c r="AK67" s="17">
        <v>0</v>
      </c>
      <c r="AL67" s="17">
        <f t="shared" si="38"/>
        <v>23.000000000000028</v>
      </c>
      <c r="AM67" s="17">
        <v>0</v>
      </c>
      <c r="AN67" s="17">
        <v>15.000000000000048</v>
      </c>
      <c r="AO67" s="17">
        <v>0</v>
      </c>
      <c r="AP67" s="17">
        <v>0</v>
      </c>
      <c r="AQ67" s="17">
        <f t="shared" si="39"/>
        <v>15.000000000000048</v>
      </c>
      <c r="AR67" s="17">
        <v>0</v>
      </c>
      <c r="AS67" s="17">
        <v>15</v>
      </c>
      <c r="AT67" s="17">
        <v>0</v>
      </c>
      <c r="AU67" s="17">
        <v>0</v>
      </c>
      <c r="AV67" s="17">
        <f t="shared" si="40"/>
        <v>15</v>
      </c>
      <c r="AW67" s="17">
        <v>0</v>
      </c>
      <c r="AX67" s="17">
        <v>18.00000000000005</v>
      </c>
      <c r="AY67" s="17">
        <v>0</v>
      </c>
      <c r="AZ67" s="17">
        <v>0</v>
      </c>
      <c r="BA67" s="17">
        <f t="shared" si="41"/>
        <v>18.00000000000005</v>
      </c>
      <c r="BB67" s="17">
        <v>0</v>
      </c>
      <c r="BC67" s="17">
        <v>18.50000000000005</v>
      </c>
      <c r="BD67" s="17">
        <v>0</v>
      </c>
      <c r="BE67" s="17">
        <v>0</v>
      </c>
      <c r="BF67" s="17">
        <f t="shared" si="42"/>
        <v>18.50000000000005</v>
      </c>
      <c r="BG67" s="17">
        <v>0</v>
      </c>
      <c r="BH67" s="17">
        <v>25.3</v>
      </c>
      <c r="BI67" s="17">
        <v>0</v>
      </c>
      <c r="BJ67" s="17">
        <v>0</v>
      </c>
      <c r="BK67" s="17">
        <f t="shared" si="43"/>
        <v>25.3</v>
      </c>
      <c r="BL67" s="17">
        <v>0</v>
      </c>
      <c r="BM67" s="17">
        <v>24.5</v>
      </c>
      <c r="BN67" s="17">
        <v>0</v>
      </c>
      <c r="BO67" s="17">
        <v>0</v>
      </c>
      <c r="BP67" s="17">
        <f t="shared" si="44"/>
        <v>24.5</v>
      </c>
      <c r="BQ67" s="17">
        <f t="shared" si="45"/>
        <v>0</v>
      </c>
      <c r="BR67" s="17">
        <f t="shared" si="45"/>
        <v>240.00000000000026</v>
      </c>
      <c r="BS67" s="17">
        <f t="shared" si="45"/>
        <v>0</v>
      </c>
      <c r="BT67" s="17">
        <f t="shared" si="45"/>
        <v>0</v>
      </c>
      <c r="BU67" s="17">
        <f t="shared" si="16"/>
        <v>240.00000000000026</v>
      </c>
    </row>
    <row r="68" spans="1:73" hidden="1" outlineLevel="1">
      <c r="A68" s="27" t="s">
        <v>33</v>
      </c>
      <c r="B68" s="17" t="s">
        <v>183</v>
      </c>
      <c r="C68" s="17" t="s">
        <v>191</v>
      </c>
      <c r="D68" s="17"/>
      <c r="E68" s="19" t="s">
        <v>192</v>
      </c>
      <c r="F68" s="17" t="s">
        <v>195</v>
      </c>
      <c r="G68" s="17" t="s">
        <v>196</v>
      </c>
      <c r="H68" s="18" t="s">
        <v>45</v>
      </c>
      <c r="I68" s="17">
        <v>98.615012968068626</v>
      </c>
      <c r="J68" s="17">
        <v>137.76006568872069</v>
      </c>
      <c r="K68" s="17">
        <v>8.6639494489833844</v>
      </c>
      <c r="L68" s="17">
        <v>0</v>
      </c>
      <c r="M68" s="17">
        <f t="shared" si="33"/>
        <v>245.03902810577267</v>
      </c>
      <c r="N68" s="17">
        <v>98.615012968068626</v>
      </c>
      <c r="O68" s="17">
        <v>122.76006568872073</v>
      </c>
      <c r="P68" s="17">
        <v>8.6639494489833844</v>
      </c>
      <c r="Q68" s="17">
        <v>0</v>
      </c>
      <c r="R68" s="17">
        <f t="shared" si="34"/>
        <v>230.03902810577273</v>
      </c>
      <c r="S68" s="17">
        <v>65.743341978712422</v>
      </c>
      <c r="T68" s="17">
        <v>168.84004379248037</v>
      </c>
      <c r="U68" s="17">
        <v>5.7759662993222562</v>
      </c>
      <c r="V68" s="17">
        <v>0</v>
      </c>
      <c r="W68" s="17">
        <f t="shared" si="35"/>
        <v>240.35935207051506</v>
      </c>
      <c r="X68" s="17">
        <v>82.179177473390538</v>
      </c>
      <c r="Y68" s="17">
        <v>157.80005474060059</v>
      </c>
      <c r="Z68" s="17">
        <v>7.2199578741528203</v>
      </c>
      <c r="AA68" s="17">
        <v>0</v>
      </c>
      <c r="AB68" s="17">
        <f t="shared" si="36"/>
        <v>247.19919008814392</v>
      </c>
      <c r="AC68" s="17">
        <v>90.397095220729568</v>
      </c>
      <c r="AD68" s="17">
        <v>143.78006021466064</v>
      </c>
      <c r="AE68" s="17">
        <v>7.9419536615681023</v>
      </c>
      <c r="AF68" s="17">
        <v>0</v>
      </c>
      <c r="AG68" s="17">
        <f t="shared" si="37"/>
        <v>242.11910909695831</v>
      </c>
      <c r="AH68" s="17">
        <v>90.397095220729568</v>
      </c>
      <c r="AI68" s="17">
        <v>140.78006021466064</v>
      </c>
      <c r="AJ68" s="17">
        <v>7.9419536615681023</v>
      </c>
      <c r="AK68" s="17">
        <v>0</v>
      </c>
      <c r="AL68" s="17">
        <f t="shared" si="38"/>
        <v>239.11910909695831</v>
      </c>
      <c r="AM68" s="17">
        <v>97.743341978712436</v>
      </c>
      <c r="AN68" s="17">
        <v>141.84004379248049</v>
      </c>
      <c r="AO68" s="17">
        <v>5.7759662993222562</v>
      </c>
      <c r="AP68" s="17">
        <v>0</v>
      </c>
      <c r="AQ68" s="17">
        <f t="shared" si="39"/>
        <v>245.35935207051517</v>
      </c>
      <c r="AR68" s="17">
        <v>58.347216006107281</v>
      </c>
      <c r="AS68" s="17">
        <v>181.95803886582581</v>
      </c>
      <c r="AT68" s="17">
        <v>5.1261700906485022</v>
      </c>
      <c r="AU68" s="17">
        <v>0</v>
      </c>
      <c r="AV68" s="17">
        <f t="shared" si="40"/>
        <v>245.43142496258162</v>
      </c>
      <c r="AW68" s="17">
        <v>57.525424231373371</v>
      </c>
      <c r="AX68" s="17">
        <v>171.86003831841961</v>
      </c>
      <c r="AY68" s="17">
        <v>5.0539705119069742</v>
      </c>
      <c r="AZ68" s="17">
        <v>0</v>
      </c>
      <c r="BA68" s="17">
        <f t="shared" si="41"/>
        <v>234.43943306169996</v>
      </c>
      <c r="BB68" s="17">
        <v>57.525424231373371</v>
      </c>
      <c r="BC68" s="17">
        <v>171.86003831841961</v>
      </c>
      <c r="BD68" s="17">
        <v>5.0539705119069742</v>
      </c>
      <c r="BE68" s="17">
        <v>0</v>
      </c>
      <c r="BF68" s="17">
        <f t="shared" si="42"/>
        <v>234.43943306169996</v>
      </c>
      <c r="BG68" s="17">
        <v>98.615012968068626</v>
      </c>
      <c r="BH68" s="17">
        <v>131.76006568872072</v>
      </c>
      <c r="BI68" s="17">
        <v>8.6639494489833844</v>
      </c>
      <c r="BJ68" s="17">
        <v>0</v>
      </c>
      <c r="BK68" s="17">
        <f t="shared" si="43"/>
        <v>239.03902810577273</v>
      </c>
      <c r="BL68" s="17">
        <v>122.44697443535208</v>
      </c>
      <c r="BM68" s="17">
        <v>92.602081563495048</v>
      </c>
      <c r="BN68" s="17">
        <v>10.757737232487719</v>
      </c>
      <c r="BO68" s="17">
        <v>0</v>
      </c>
      <c r="BP68" s="17">
        <f t="shared" si="44"/>
        <v>225.80679323133484</v>
      </c>
      <c r="BQ68" s="17">
        <f t="shared" si="45"/>
        <v>1018.1501296806866</v>
      </c>
      <c r="BR68" s="17">
        <f t="shared" si="45"/>
        <v>1763.6006568872051</v>
      </c>
      <c r="BS68" s="17">
        <f t="shared" si="45"/>
        <v>86.639494489833851</v>
      </c>
      <c r="BT68" s="17">
        <f t="shared" si="45"/>
        <v>0</v>
      </c>
      <c r="BU68" s="17">
        <f t="shared" si="16"/>
        <v>2868.3902810577256</v>
      </c>
    </row>
    <row r="69" spans="1:73" hidden="1" outlineLevel="1">
      <c r="A69" s="27" t="s">
        <v>33</v>
      </c>
      <c r="B69" s="17" t="s">
        <v>183</v>
      </c>
      <c r="C69" s="17" t="s">
        <v>191</v>
      </c>
      <c r="D69" s="17">
        <v>0</v>
      </c>
      <c r="E69" s="17" t="s">
        <v>197</v>
      </c>
      <c r="F69" s="17" t="s">
        <v>198</v>
      </c>
      <c r="G69" s="17" t="s">
        <v>199</v>
      </c>
      <c r="H69" s="18" t="s">
        <v>39</v>
      </c>
      <c r="I69" s="17">
        <v>5.1491880379661907</v>
      </c>
      <c r="J69" s="17">
        <v>79.18480342424391</v>
      </c>
      <c r="K69" s="17">
        <v>0</v>
      </c>
      <c r="L69" s="17">
        <v>0</v>
      </c>
      <c r="M69" s="17">
        <f t="shared" si="33"/>
        <v>84.333991462210093</v>
      </c>
      <c r="N69" s="17">
        <v>5.1491880379661907</v>
      </c>
      <c r="O69" s="17">
        <v>84.184803424243427</v>
      </c>
      <c r="P69" s="17">
        <v>0</v>
      </c>
      <c r="Q69" s="17">
        <v>0</v>
      </c>
      <c r="R69" s="17">
        <f t="shared" si="34"/>
        <v>89.33399146220961</v>
      </c>
      <c r="S69" s="17">
        <v>7.7824441626870469</v>
      </c>
      <c r="T69" s="17">
        <v>24.631690440176946</v>
      </c>
      <c r="U69" s="17">
        <v>1.7260811163884284</v>
      </c>
      <c r="V69" s="17">
        <v>0</v>
      </c>
      <c r="W69" s="17">
        <f t="shared" si="35"/>
        <v>34.140215719252424</v>
      </c>
      <c r="X69" s="17">
        <v>4.7885518489085701</v>
      </c>
      <c r="Y69" s="17">
        <v>19.166794739858606</v>
      </c>
      <c r="Z69" s="17">
        <v>2.1659873622458461</v>
      </c>
      <c r="AA69" s="17">
        <v>0</v>
      </c>
      <c r="AB69" s="17">
        <f t="shared" si="36"/>
        <v>26.121333951013025</v>
      </c>
      <c r="AC69" s="17">
        <v>8.5695415179087941</v>
      </c>
      <c r="AD69" s="17">
        <v>24.631690440176946</v>
      </c>
      <c r="AE69" s="17">
        <v>2.1659873622458461</v>
      </c>
      <c r="AF69" s="17">
        <v>0</v>
      </c>
      <c r="AG69" s="17">
        <f t="shared" si="37"/>
        <v>35.367219320331586</v>
      </c>
      <c r="AH69" s="17">
        <v>6.569541517908795</v>
      </c>
      <c r="AI69" s="17">
        <v>24.631690440176946</v>
      </c>
      <c r="AJ69" s="17">
        <v>2.1659873622458461</v>
      </c>
      <c r="AK69" s="17">
        <v>0</v>
      </c>
      <c r="AL69" s="17">
        <f t="shared" si="38"/>
        <v>33.367219320331586</v>
      </c>
      <c r="AM69" s="17">
        <v>3.3328988570350986</v>
      </c>
      <c r="AN69" s="17">
        <v>17.50031585433949</v>
      </c>
      <c r="AO69" s="17">
        <v>2.1659873622458461</v>
      </c>
      <c r="AP69" s="17">
        <v>0</v>
      </c>
      <c r="AQ69" s="17">
        <f t="shared" si="39"/>
        <v>22.999202073620435</v>
      </c>
      <c r="AR69" s="17">
        <v>6.569541517908795</v>
      </c>
      <c r="AS69" s="17">
        <v>41.45886217384345</v>
      </c>
      <c r="AT69" s="17">
        <v>2.1659873622458461</v>
      </c>
      <c r="AU69" s="17">
        <v>0</v>
      </c>
      <c r="AV69" s="17">
        <f t="shared" si="40"/>
        <v>50.194391053998089</v>
      </c>
      <c r="AW69" s="17">
        <v>6.569541517908795</v>
      </c>
      <c r="AX69" s="17">
        <v>13.047300097625779</v>
      </c>
      <c r="AY69" s="17">
        <v>2.1659873622458461</v>
      </c>
      <c r="AZ69" s="17">
        <v>0</v>
      </c>
      <c r="BA69" s="17">
        <f t="shared" si="41"/>
        <v>21.782828977780422</v>
      </c>
      <c r="BB69" s="17">
        <v>10.569541517908794</v>
      </c>
      <c r="BC69" s="17">
        <v>10.50031585433949</v>
      </c>
      <c r="BD69" s="17">
        <v>2.1659873622458461</v>
      </c>
      <c r="BE69" s="17">
        <v>0</v>
      </c>
      <c r="BF69" s="17">
        <f t="shared" si="42"/>
        <v>23.235844734494133</v>
      </c>
      <c r="BG69" s="17">
        <v>6.569541517908795</v>
      </c>
      <c r="BH69" s="17">
        <v>29.45886217384346</v>
      </c>
      <c r="BI69" s="17">
        <v>2.1659873622458461</v>
      </c>
      <c r="BJ69" s="17">
        <v>0</v>
      </c>
      <c r="BK69" s="17">
        <f t="shared" si="43"/>
        <v>38.194391053998096</v>
      </c>
      <c r="BL69" s="17">
        <v>6.569541517908795</v>
      </c>
      <c r="BM69" s="17">
        <v>31.458862173843457</v>
      </c>
      <c r="BN69" s="17">
        <v>10.165987362245801</v>
      </c>
      <c r="BO69" s="17">
        <v>0</v>
      </c>
      <c r="BP69" s="17">
        <f t="shared" si="44"/>
        <v>48.194391053998054</v>
      </c>
      <c r="BQ69" s="17">
        <f t="shared" si="45"/>
        <v>78.189061569924661</v>
      </c>
      <c r="BR69" s="17">
        <f t="shared" si="45"/>
        <v>399.85599123671193</v>
      </c>
      <c r="BS69" s="17">
        <f t="shared" si="45"/>
        <v>29.219967376601005</v>
      </c>
      <c r="BT69" s="17">
        <f t="shared" si="45"/>
        <v>0</v>
      </c>
      <c r="BU69" s="17">
        <f t="shared" si="16"/>
        <v>507.2650201832376</v>
      </c>
    </row>
    <row r="70" spans="1:73" hidden="1" outlineLevel="1">
      <c r="A70" s="27" t="s">
        <v>33</v>
      </c>
      <c r="B70" s="17" t="s">
        <v>183</v>
      </c>
      <c r="C70" s="17" t="s">
        <v>191</v>
      </c>
      <c r="D70" s="17">
        <v>0</v>
      </c>
      <c r="E70" s="17" t="s">
        <v>197</v>
      </c>
      <c r="F70" s="31" t="s">
        <v>200</v>
      </c>
      <c r="G70" s="32" t="s">
        <v>201</v>
      </c>
      <c r="H70" s="18" t="s">
        <v>39</v>
      </c>
      <c r="I70" s="17">
        <v>7.538028375709839</v>
      </c>
      <c r="J70" s="17">
        <v>71.756672232039264</v>
      </c>
      <c r="K70" s="17">
        <v>0</v>
      </c>
      <c r="L70" s="17">
        <v>0</v>
      </c>
      <c r="M70" s="17">
        <f t="shared" si="33"/>
        <v>79.294700607749107</v>
      </c>
      <c r="N70" s="17">
        <v>7.538028375709839</v>
      </c>
      <c r="O70" s="17">
        <v>71.756672232039207</v>
      </c>
      <c r="P70" s="17">
        <v>0</v>
      </c>
      <c r="Q70" s="17">
        <v>0</v>
      </c>
      <c r="R70" s="17">
        <f t="shared" si="34"/>
        <v>79.29470060774905</v>
      </c>
      <c r="S70" s="17">
        <v>0.51647626149383574</v>
      </c>
      <c r="T70" s="17">
        <v>24</v>
      </c>
      <c r="U70" s="17">
        <v>1.2851961088528681</v>
      </c>
      <c r="V70" s="17">
        <v>0</v>
      </c>
      <c r="W70" s="17">
        <f t="shared" si="35"/>
        <v>25.801672370346704</v>
      </c>
      <c r="X70" s="17">
        <v>3.3669508041954344</v>
      </c>
      <c r="Y70" s="17">
        <v>25.379042508921845</v>
      </c>
      <c r="Z70" s="17">
        <v>1.2851961088528681</v>
      </c>
      <c r="AA70" s="17">
        <v>0</v>
      </c>
      <c r="AB70" s="17">
        <f t="shared" si="36"/>
        <v>30.031189421970147</v>
      </c>
      <c r="AC70" s="17">
        <v>3.3669508041954344</v>
      </c>
      <c r="AD70" s="17">
        <v>22.379042508921845</v>
      </c>
      <c r="AE70" s="17">
        <v>1.2851961088528681</v>
      </c>
      <c r="AF70" s="17">
        <v>0</v>
      </c>
      <c r="AG70" s="17">
        <f t="shared" si="37"/>
        <v>27.031189421970147</v>
      </c>
      <c r="AH70" s="17">
        <v>3.3669508041954344</v>
      </c>
      <c r="AI70" s="17">
        <v>22.379042508921845</v>
      </c>
      <c r="AJ70" s="17">
        <v>6.2851961088528698</v>
      </c>
      <c r="AK70" s="17">
        <v>0</v>
      </c>
      <c r="AL70" s="17">
        <f t="shared" si="38"/>
        <v>32.031189421970147</v>
      </c>
      <c r="AM70" s="17">
        <v>3.3669508041954344</v>
      </c>
      <c r="AN70" s="17">
        <v>23.588597667837746</v>
      </c>
      <c r="AO70" s="17">
        <v>1.2851961088528681</v>
      </c>
      <c r="AP70" s="17">
        <v>0</v>
      </c>
      <c r="AQ70" s="17">
        <f t="shared" si="39"/>
        <v>28.240744580886048</v>
      </c>
      <c r="AR70" s="17">
        <v>0.51647626149383574</v>
      </c>
      <c r="AS70" s="17">
        <v>18.057848157160119</v>
      </c>
      <c r="AT70" s="17">
        <v>1.2851961088528681</v>
      </c>
      <c r="AU70" s="17">
        <v>0</v>
      </c>
      <c r="AV70" s="17">
        <f t="shared" si="40"/>
        <v>19.859520527506824</v>
      </c>
      <c r="AW70" s="17">
        <v>0.51647626149383574</v>
      </c>
      <c r="AX70" s="17">
        <v>33.359833878760611</v>
      </c>
      <c r="AY70" s="17">
        <v>5.2851961088528698</v>
      </c>
      <c r="AZ70" s="17">
        <v>0</v>
      </c>
      <c r="BA70" s="17">
        <f t="shared" si="41"/>
        <v>39.161506249107319</v>
      </c>
      <c r="BB70" s="17">
        <v>3.3669508041954344</v>
      </c>
      <c r="BC70" s="17">
        <v>34.417682035920727</v>
      </c>
      <c r="BD70" s="17">
        <v>1.2851961088528681</v>
      </c>
      <c r="BE70" s="17">
        <v>0</v>
      </c>
      <c r="BF70" s="17">
        <f t="shared" si="42"/>
        <v>39.069828948969025</v>
      </c>
      <c r="BG70" s="17">
        <v>3.3669508041954344</v>
      </c>
      <c r="BH70" s="17">
        <v>34.417682035920727</v>
      </c>
      <c r="BI70" s="17">
        <v>1.2851961088528681</v>
      </c>
      <c r="BJ70" s="17">
        <v>0</v>
      </c>
      <c r="BK70" s="17">
        <f t="shared" si="43"/>
        <v>39.069828948969025</v>
      </c>
      <c r="BL70" s="17">
        <v>3.3669508041954344</v>
      </c>
      <c r="BM70" s="17">
        <v>24.417682035920727</v>
      </c>
      <c r="BN70" s="17">
        <v>1.2851961088528681</v>
      </c>
      <c r="BO70" s="17">
        <v>0</v>
      </c>
      <c r="BP70" s="17">
        <f t="shared" si="44"/>
        <v>29.069828948969029</v>
      </c>
      <c r="BQ70" s="17">
        <f t="shared" si="45"/>
        <v>40.19414116526923</v>
      </c>
      <c r="BR70" s="17">
        <f t="shared" si="45"/>
        <v>405.90979780236466</v>
      </c>
      <c r="BS70" s="17">
        <f t="shared" si="45"/>
        <v>21.851961088528686</v>
      </c>
      <c r="BT70" s="17">
        <f t="shared" si="45"/>
        <v>0</v>
      </c>
      <c r="BU70" s="17">
        <f t="shared" si="16"/>
        <v>467.95590005616259</v>
      </c>
    </row>
    <row r="71" spans="1:73" hidden="1" outlineLevel="1">
      <c r="A71" s="27" t="s">
        <v>33</v>
      </c>
      <c r="B71" s="17" t="s">
        <v>183</v>
      </c>
      <c r="C71" s="17" t="s">
        <v>191</v>
      </c>
      <c r="D71" s="17">
        <v>0</v>
      </c>
      <c r="E71" s="17" t="s">
        <v>197</v>
      </c>
      <c r="F71" s="17" t="s">
        <v>202</v>
      </c>
      <c r="G71" s="17" t="s">
        <v>203</v>
      </c>
      <c r="H71" s="18" t="s">
        <v>39</v>
      </c>
      <c r="I71" s="17">
        <v>6.8679085314320956</v>
      </c>
      <c r="J71" s="17">
        <v>47.650329559800745</v>
      </c>
      <c r="K71" s="17">
        <v>0</v>
      </c>
      <c r="L71" s="17">
        <v>0</v>
      </c>
      <c r="M71" s="17">
        <f t="shared" si="33"/>
        <v>54.518238091232838</v>
      </c>
      <c r="N71" s="17">
        <v>2.8679085314320965</v>
      </c>
      <c r="O71" s="17">
        <v>62.671419151102633</v>
      </c>
      <c r="P71" s="17">
        <v>2.25916098094</v>
      </c>
      <c r="Q71" s="17">
        <v>0</v>
      </c>
      <c r="R71" s="17">
        <f t="shared" si="34"/>
        <v>67.798488663474728</v>
      </c>
      <c r="S71" s="17">
        <v>1.2755916693979055</v>
      </c>
      <c r="T71" s="17">
        <v>21.524905197721054</v>
      </c>
      <c r="U71" s="17">
        <v>0</v>
      </c>
      <c r="V71" s="17">
        <v>0</v>
      </c>
      <c r="W71" s="17">
        <f t="shared" si="35"/>
        <v>22.800496867118959</v>
      </c>
      <c r="X71" s="17">
        <v>1.2755916693979055</v>
      </c>
      <c r="Y71" s="17">
        <v>24.524905197721054</v>
      </c>
      <c r="Z71" s="17">
        <v>0</v>
      </c>
      <c r="AA71" s="17">
        <v>0</v>
      </c>
      <c r="AB71" s="17">
        <f t="shared" si="36"/>
        <v>25.800496867118959</v>
      </c>
      <c r="AC71" s="17">
        <v>1.2755916693979055</v>
      </c>
      <c r="AD71" s="17">
        <v>24.524905197721054</v>
      </c>
      <c r="AE71" s="17">
        <v>0</v>
      </c>
      <c r="AF71" s="17">
        <v>0</v>
      </c>
      <c r="AG71" s="17">
        <f t="shared" si="37"/>
        <v>25.800496867118959</v>
      </c>
      <c r="AH71" s="17">
        <v>1.2755916693979055</v>
      </c>
      <c r="AI71" s="17">
        <v>24.524905197721054</v>
      </c>
      <c r="AJ71" s="17">
        <v>0</v>
      </c>
      <c r="AK71" s="17">
        <v>0</v>
      </c>
      <c r="AL71" s="17">
        <f t="shared" si="38"/>
        <v>25.800496867118959</v>
      </c>
      <c r="AM71" s="17">
        <v>1.2755916693979055</v>
      </c>
      <c r="AN71" s="17">
        <v>22.347764478242752</v>
      </c>
      <c r="AO71" s="17">
        <v>0</v>
      </c>
      <c r="AP71" s="17">
        <v>0</v>
      </c>
      <c r="AQ71" s="17">
        <f t="shared" si="39"/>
        <v>23.623356147640656</v>
      </c>
      <c r="AR71" s="17">
        <v>1.2755916693979055</v>
      </c>
      <c r="AS71" s="17">
        <v>11.688925562244224</v>
      </c>
      <c r="AT71" s="17">
        <v>0</v>
      </c>
      <c r="AU71" s="17">
        <v>0</v>
      </c>
      <c r="AV71" s="17">
        <f t="shared" si="40"/>
        <v>12.96451723164213</v>
      </c>
      <c r="AW71" s="17">
        <v>0.77646544212442647</v>
      </c>
      <c r="AX71" s="17">
        <v>19.052807674594792</v>
      </c>
      <c r="AY71" s="17">
        <v>0</v>
      </c>
      <c r="AZ71" s="17">
        <v>0</v>
      </c>
      <c r="BA71" s="17">
        <f t="shared" si="41"/>
        <v>19.829273116719218</v>
      </c>
      <c r="BB71" s="17">
        <v>0</v>
      </c>
      <c r="BC71" s="17">
        <v>14.363882112350565</v>
      </c>
      <c r="BD71" s="17">
        <v>0</v>
      </c>
      <c r="BE71" s="17">
        <v>0</v>
      </c>
      <c r="BF71" s="17">
        <f t="shared" si="42"/>
        <v>14.363882112350565</v>
      </c>
      <c r="BG71" s="17">
        <v>0</v>
      </c>
      <c r="BH71" s="17">
        <v>18.665762475606872</v>
      </c>
      <c r="BI71" s="17">
        <v>0</v>
      </c>
      <c r="BJ71" s="17">
        <v>0</v>
      </c>
      <c r="BK71" s="17">
        <f t="shared" si="43"/>
        <v>18.665762475606872</v>
      </c>
      <c r="BL71" s="17">
        <v>1.2755916693979055</v>
      </c>
      <c r="BM71" s="17">
        <v>24.229948394073094</v>
      </c>
      <c r="BN71" s="17">
        <v>0</v>
      </c>
      <c r="BO71" s="17">
        <v>0</v>
      </c>
      <c r="BP71" s="17">
        <f t="shared" si="44"/>
        <v>25.505540063470999</v>
      </c>
      <c r="BQ71" s="17">
        <f t="shared" si="45"/>
        <v>19.441424190773958</v>
      </c>
      <c r="BR71" s="17">
        <f t="shared" si="45"/>
        <v>315.77046019889991</v>
      </c>
      <c r="BS71" s="17">
        <f t="shared" si="45"/>
        <v>2.25916098094</v>
      </c>
      <c r="BT71" s="17">
        <f t="shared" si="45"/>
        <v>0</v>
      </c>
      <c r="BU71" s="17">
        <f t="shared" si="16"/>
        <v>337.47104537061387</v>
      </c>
    </row>
    <row r="72" spans="1:73" hidden="1" outlineLevel="1">
      <c r="A72" s="27" t="s">
        <v>33</v>
      </c>
      <c r="B72" s="17" t="s">
        <v>183</v>
      </c>
      <c r="C72" s="17" t="s">
        <v>191</v>
      </c>
      <c r="D72" s="17">
        <v>0</v>
      </c>
      <c r="E72" s="17" t="s">
        <v>197</v>
      </c>
      <c r="F72" s="17" t="s">
        <v>204</v>
      </c>
      <c r="G72" s="17" t="s">
        <v>205</v>
      </c>
      <c r="H72" s="18" t="s">
        <v>39</v>
      </c>
      <c r="I72" s="17">
        <v>0</v>
      </c>
      <c r="J72" s="17">
        <v>0</v>
      </c>
      <c r="K72" s="17">
        <v>0</v>
      </c>
      <c r="L72" s="17">
        <v>0</v>
      </c>
      <c r="M72" s="17">
        <f t="shared" si="33"/>
        <v>0</v>
      </c>
      <c r="N72" s="17">
        <v>0</v>
      </c>
      <c r="O72" s="17">
        <v>0</v>
      </c>
      <c r="P72" s="17">
        <v>0</v>
      </c>
      <c r="Q72" s="17">
        <v>0</v>
      </c>
      <c r="R72" s="17">
        <f t="shared" si="34"/>
        <v>0</v>
      </c>
      <c r="S72" s="17">
        <v>0.45448620777751342</v>
      </c>
      <c r="T72" s="17">
        <v>30.081424882465399</v>
      </c>
      <c r="U72" s="17">
        <v>0</v>
      </c>
      <c r="V72" s="17">
        <v>0</v>
      </c>
      <c r="W72" s="17">
        <f t="shared" si="35"/>
        <v>30.535911090242912</v>
      </c>
      <c r="X72" s="17">
        <v>0.45448620777751342</v>
      </c>
      <c r="Y72" s="17">
        <v>33.081424882465399</v>
      </c>
      <c r="Z72" s="17">
        <v>0</v>
      </c>
      <c r="AA72" s="17">
        <v>0</v>
      </c>
      <c r="AB72" s="17">
        <f t="shared" si="36"/>
        <v>33.535911090242912</v>
      </c>
      <c r="AC72" s="17">
        <v>0.45448620777751342</v>
      </c>
      <c r="AD72" s="17">
        <v>33.081424882465399</v>
      </c>
      <c r="AE72" s="17">
        <v>0</v>
      </c>
      <c r="AF72" s="17">
        <v>0</v>
      </c>
      <c r="AG72" s="17">
        <f t="shared" si="37"/>
        <v>33.535911090242912</v>
      </c>
      <c r="AH72" s="17">
        <v>0.45448620777751342</v>
      </c>
      <c r="AI72" s="17">
        <v>30.081424882465399</v>
      </c>
      <c r="AJ72" s="17">
        <v>0</v>
      </c>
      <c r="AK72" s="17">
        <v>0</v>
      </c>
      <c r="AL72" s="17">
        <f t="shared" si="38"/>
        <v>30.535911090242912</v>
      </c>
      <c r="AM72" s="17">
        <v>0.45448620777751342</v>
      </c>
      <c r="AN72" s="17">
        <v>30.081424882465399</v>
      </c>
      <c r="AO72" s="17">
        <v>0</v>
      </c>
      <c r="AP72" s="17">
        <v>0</v>
      </c>
      <c r="AQ72" s="17">
        <f t="shared" si="39"/>
        <v>30.535911090242912</v>
      </c>
      <c r="AR72" s="17">
        <v>0.45448620777751342</v>
      </c>
      <c r="AS72" s="17">
        <v>26.523097121778523</v>
      </c>
      <c r="AT72" s="17">
        <v>0</v>
      </c>
      <c r="AU72" s="17">
        <v>0</v>
      </c>
      <c r="AV72" s="17">
        <f t="shared" si="40"/>
        <v>26.977583329556037</v>
      </c>
      <c r="AW72" s="17">
        <v>0.45448620777751342</v>
      </c>
      <c r="AX72" s="17">
        <v>21.349025984888801</v>
      </c>
      <c r="AY72" s="17">
        <v>0</v>
      </c>
      <c r="AZ72" s="17">
        <v>0</v>
      </c>
      <c r="BA72" s="17">
        <f t="shared" si="41"/>
        <v>21.803512192666314</v>
      </c>
      <c r="BB72" s="17">
        <v>9.3850018719892223E-2</v>
      </c>
      <c r="BC72" s="17">
        <v>24.934735650944184</v>
      </c>
      <c r="BD72" s="17">
        <v>0</v>
      </c>
      <c r="BE72" s="17">
        <v>0</v>
      </c>
      <c r="BF72" s="17">
        <f t="shared" si="42"/>
        <v>25.028585669664075</v>
      </c>
      <c r="BG72" s="17">
        <v>0.45448620777751342</v>
      </c>
      <c r="BH72" s="17">
        <v>26.667134548520785</v>
      </c>
      <c r="BI72" s="17">
        <v>0</v>
      </c>
      <c r="BJ72" s="17">
        <v>0</v>
      </c>
      <c r="BK72" s="17">
        <f t="shared" si="43"/>
        <v>27.121620756298299</v>
      </c>
      <c r="BL72" s="17">
        <v>0.45448620777751342</v>
      </c>
      <c r="BM72" s="17">
        <v>20.200341658898825</v>
      </c>
      <c r="BN72" s="17">
        <v>0</v>
      </c>
      <c r="BO72" s="17">
        <v>0</v>
      </c>
      <c r="BP72" s="17">
        <f t="shared" si="44"/>
        <v>20.654827866676339</v>
      </c>
      <c r="BQ72" s="17">
        <f t="shared" si="45"/>
        <v>4.1842258887175134</v>
      </c>
      <c r="BR72" s="17">
        <f t="shared" si="45"/>
        <v>276.0814593773581</v>
      </c>
      <c r="BS72" s="17">
        <f t="shared" si="45"/>
        <v>0</v>
      </c>
      <c r="BT72" s="17">
        <f t="shared" si="45"/>
        <v>0</v>
      </c>
      <c r="BU72" s="17">
        <f t="shared" si="16"/>
        <v>280.26568526607559</v>
      </c>
    </row>
    <row r="73" spans="1:73" hidden="1" outlineLevel="1">
      <c r="A73" s="27" t="s">
        <v>33</v>
      </c>
      <c r="B73" s="17" t="s">
        <v>183</v>
      </c>
      <c r="C73" s="17" t="s">
        <v>191</v>
      </c>
      <c r="D73" s="31"/>
      <c r="E73" s="19" t="s">
        <v>206</v>
      </c>
      <c r="F73" s="17" t="s">
        <v>207</v>
      </c>
      <c r="G73" s="17" t="s">
        <v>208</v>
      </c>
      <c r="H73" s="18" t="s">
        <v>39</v>
      </c>
      <c r="I73" s="17">
        <v>0</v>
      </c>
      <c r="J73" s="17">
        <v>156.23136166033041</v>
      </c>
      <c r="K73" s="17">
        <v>0</v>
      </c>
      <c r="L73" s="17">
        <v>0</v>
      </c>
      <c r="M73" s="17">
        <f t="shared" si="33"/>
        <v>156.23136166033041</v>
      </c>
      <c r="N73" s="17">
        <v>0</v>
      </c>
      <c r="O73" s="17">
        <v>156.23136166033041</v>
      </c>
      <c r="P73" s="17">
        <v>0</v>
      </c>
      <c r="Q73" s="17">
        <v>0</v>
      </c>
      <c r="R73" s="17">
        <f t="shared" si="34"/>
        <v>156.23136166033041</v>
      </c>
      <c r="S73" s="17">
        <v>0</v>
      </c>
      <c r="T73" s="17">
        <v>126.93798134901849</v>
      </c>
      <c r="U73" s="17">
        <v>0</v>
      </c>
      <c r="V73" s="17">
        <v>0</v>
      </c>
      <c r="W73" s="17">
        <f t="shared" si="35"/>
        <v>126.93798134901849</v>
      </c>
      <c r="X73" s="17">
        <v>0</v>
      </c>
      <c r="Y73" s="17">
        <v>150.84589330373151</v>
      </c>
      <c r="Z73" s="17">
        <v>0</v>
      </c>
      <c r="AA73" s="17">
        <v>0</v>
      </c>
      <c r="AB73" s="17">
        <f t="shared" si="36"/>
        <v>150.84589330373151</v>
      </c>
      <c r="AC73" s="17">
        <v>0</v>
      </c>
      <c r="AD73" s="17">
        <v>156.23136166033041</v>
      </c>
      <c r="AE73" s="17">
        <v>0</v>
      </c>
      <c r="AF73" s="17">
        <v>0</v>
      </c>
      <c r="AG73" s="17">
        <f t="shared" si="37"/>
        <v>156.23136166033041</v>
      </c>
      <c r="AH73" s="17">
        <v>0</v>
      </c>
      <c r="AI73" s="17">
        <v>156.23136166033041</v>
      </c>
      <c r="AJ73" s="17">
        <v>0</v>
      </c>
      <c r="AK73" s="17">
        <v>0</v>
      </c>
      <c r="AL73" s="17">
        <f t="shared" si="38"/>
        <v>156.23136166033041</v>
      </c>
      <c r="AM73" s="17">
        <v>0</v>
      </c>
      <c r="AN73" s="17">
        <v>97.644601037706536</v>
      </c>
      <c r="AO73" s="17">
        <v>0</v>
      </c>
      <c r="AP73" s="17">
        <v>0</v>
      </c>
      <c r="AQ73" s="17">
        <f t="shared" si="39"/>
        <v>97.644601037706536</v>
      </c>
      <c r="AR73" s="17">
        <v>0</v>
      </c>
      <c r="AS73" s="17">
        <v>97.644601037706536</v>
      </c>
      <c r="AT73" s="17">
        <v>0</v>
      </c>
      <c r="AU73" s="17">
        <v>0</v>
      </c>
      <c r="AV73" s="17">
        <f t="shared" si="40"/>
        <v>97.644601037706536</v>
      </c>
      <c r="AW73" s="17">
        <v>0</v>
      </c>
      <c r="AX73" s="17">
        <v>97.644601037706536</v>
      </c>
      <c r="AY73" s="17">
        <v>0</v>
      </c>
      <c r="AZ73" s="17">
        <v>0</v>
      </c>
      <c r="BA73" s="17">
        <f t="shared" si="41"/>
        <v>97.644601037706536</v>
      </c>
      <c r="BB73" s="17">
        <v>0</v>
      </c>
      <c r="BC73" s="17">
        <v>97.644601037706536</v>
      </c>
      <c r="BD73" s="17">
        <v>0</v>
      </c>
      <c r="BE73" s="17">
        <v>0</v>
      </c>
      <c r="BF73" s="17">
        <f t="shared" si="42"/>
        <v>97.644601037706536</v>
      </c>
      <c r="BG73" s="17">
        <v>0</v>
      </c>
      <c r="BH73" s="17">
        <v>114.63250480792556</v>
      </c>
      <c r="BI73" s="17">
        <v>0</v>
      </c>
      <c r="BJ73" s="17">
        <v>0</v>
      </c>
      <c r="BK73" s="17">
        <f t="shared" si="43"/>
        <v>114.63250480792556</v>
      </c>
      <c r="BL73" s="17">
        <v>0</v>
      </c>
      <c r="BM73" s="17">
        <v>114.63250480792556</v>
      </c>
      <c r="BN73" s="17">
        <v>0</v>
      </c>
      <c r="BO73" s="17">
        <v>0</v>
      </c>
      <c r="BP73" s="17">
        <f t="shared" si="44"/>
        <v>114.63250480792556</v>
      </c>
      <c r="BQ73" s="17">
        <f t="shared" si="45"/>
        <v>0</v>
      </c>
      <c r="BR73" s="17">
        <f t="shared" si="45"/>
        <v>1522.5527350607488</v>
      </c>
      <c r="BS73" s="17">
        <f t="shared" si="45"/>
        <v>0</v>
      </c>
      <c r="BT73" s="17">
        <f t="shared" si="45"/>
        <v>0</v>
      </c>
      <c r="BU73" s="17">
        <f t="shared" si="16"/>
        <v>1522.5527350607488</v>
      </c>
    </row>
    <row r="74" spans="1:73" hidden="1" outlineLevel="1">
      <c r="A74" s="27" t="s">
        <v>33</v>
      </c>
      <c r="B74" s="17" t="s">
        <v>183</v>
      </c>
      <c r="C74" s="17" t="s">
        <v>191</v>
      </c>
      <c r="D74" s="31"/>
      <c r="E74" s="19" t="s">
        <v>206</v>
      </c>
      <c r="F74" s="17" t="s">
        <v>209</v>
      </c>
      <c r="G74" s="17" t="s">
        <v>210</v>
      </c>
      <c r="H74" s="18" t="s">
        <v>45</v>
      </c>
      <c r="I74" s="17">
        <v>37.799910556627786</v>
      </c>
      <c r="J74" s="17">
        <v>378.8168433609722</v>
      </c>
      <c r="K74" s="17">
        <v>0</v>
      </c>
      <c r="L74" s="17">
        <v>0</v>
      </c>
      <c r="M74" s="17">
        <f t="shared" si="33"/>
        <v>416.61675391759997</v>
      </c>
      <c r="N74" s="17">
        <v>112.29647894984454</v>
      </c>
      <c r="O74" s="17">
        <v>321.90392441529661</v>
      </c>
      <c r="P74" s="17">
        <v>0</v>
      </c>
      <c r="Q74" s="17">
        <v>0</v>
      </c>
      <c r="R74" s="17">
        <f t="shared" si="34"/>
        <v>434.20040336514114</v>
      </c>
      <c r="S74" s="17">
        <v>91.873269192838649</v>
      </c>
      <c r="T74" s="17">
        <v>383.23452539689129</v>
      </c>
      <c r="U74" s="17">
        <v>0</v>
      </c>
      <c r="V74" s="17">
        <v>0</v>
      </c>
      <c r="W74" s="17">
        <f t="shared" si="35"/>
        <v>475.10779458972991</v>
      </c>
      <c r="X74" s="17">
        <v>55.947421205281898</v>
      </c>
      <c r="Y74" s="17">
        <v>414.30794653388074</v>
      </c>
      <c r="Z74" s="17">
        <v>0</v>
      </c>
      <c r="AA74" s="17">
        <v>0</v>
      </c>
      <c r="AB74" s="17">
        <f t="shared" si="36"/>
        <v>470.25536773916264</v>
      </c>
      <c r="AC74" s="17">
        <v>58.478822649218976</v>
      </c>
      <c r="AD74" s="17">
        <v>407.77330283381013</v>
      </c>
      <c r="AE74" s="17">
        <v>0</v>
      </c>
      <c r="AF74" s="17">
        <v>0</v>
      </c>
      <c r="AG74" s="17">
        <f t="shared" si="37"/>
        <v>466.25212548302909</v>
      </c>
      <c r="AH74" s="17">
        <v>51.819957093235125</v>
      </c>
      <c r="AI74" s="17">
        <v>430.23865913373669</v>
      </c>
      <c r="AJ74" s="17">
        <v>0</v>
      </c>
      <c r="AK74" s="17">
        <v>0</v>
      </c>
      <c r="AL74" s="17">
        <f t="shared" si="38"/>
        <v>482.05861622697182</v>
      </c>
      <c r="AM74" s="17">
        <v>88.145999008944642</v>
      </c>
      <c r="AN74" s="17">
        <v>471.24048465940103</v>
      </c>
      <c r="AO74" s="17">
        <v>0</v>
      </c>
      <c r="AP74" s="17">
        <v>0</v>
      </c>
      <c r="AQ74" s="17">
        <f t="shared" si="39"/>
        <v>559.3864836683457</v>
      </c>
      <c r="AR74" s="17">
        <v>65.983418116975869</v>
      </c>
      <c r="AS74" s="17">
        <v>515.93970017806623</v>
      </c>
      <c r="AT74" s="17">
        <v>0</v>
      </c>
      <c r="AU74" s="17">
        <v>0</v>
      </c>
      <c r="AV74" s="17">
        <f t="shared" si="40"/>
        <v>581.92311829504206</v>
      </c>
      <c r="AW74" s="17">
        <v>53.048086546913048</v>
      </c>
      <c r="AX74" s="17">
        <v>485.29847573092133</v>
      </c>
      <c r="AY74" s="17">
        <v>0</v>
      </c>
      <c r="AZ74" s="17">
        <v>0</v>
      </c>
      <c r="BA74" s="17">
        <f t="shared" si="41"/>
        <v>538.34656227783432</v>
      </c>
      <c r="BB74" s="17">
        <v>51.334713635393491</v>
      </c>
      <c r="BC74" s="17">
        <v>458.05071329669454</v>
      </c>
      <c r="BD74" s="17">
        <v>0</v>
      </c>
      <c r="BE74" s="17">
        <v>0</v>
      </c>
      <c r="BF74" s="17">
        <f t="shared" si="42"/>
        <v>509.38542693208802</v>
      </c>
      <c r="BG74" s="17">
        <v>53.216654467537744</v>
      </c>
      <c r="BH74" s="17">
        <v>405.72702254383171</v>
      </c>
      <c r="BI74" s="17">
        <v>0</v>
      </c>
      <c r="BJ74" s="17">
        <v>0</v>
      </c>
      <c r="BK74" s="17">
        <f t="shared" si="43"/>
        <v>458.94367701136946</v>
      </c>
      <c r="BL74" s="17">
        <v>72.974077446335883</v>
      </c>
      <c r="BM74" s="17">
        <v>405.11182654165401</v>
      </c>
      <c r="BN74" s="17">
        <v>0</v>
      </c>
      <c r="BO74" s="17">
        <v>0</v>
      </c>
      <c r="BP74" s="17">
        <f t="shared" si="44"/>
        <v>478.08590398798992</v>
      </c>
      <c r="BQ74" s="17">
        <f t="shared" si="45"/>
        <v>792.9188088691476</v>
      </c>
      <c r="BR74" s="17">
        <f t="shared" si="45"/>
        <v>5077.6434246251565</v>
      </c>
      <c r="BS74" s="17">
        <f t="shared" si="45"/>
        <v>0</v>
      </c>
      <c r="BT74" s="17">
        <f t="shared" si="45"/>
        <v>0</v>
      </c>
      <c r="BU74" s="17">
        <f t="shared" ref="BU74:BU144" si="46">BQ74+BR74+BT74+BS74</f>
        <v>5870.5622334943037</v>
      </c>
    </row>
    <row r="75" spans="1:73" hidden="1" outlineLevel="1">
      <c r="A75" s="27" t="s">
        <v>33</v>
      </c>
      <c r="B75" s="17" t="s">
        <v>183</v>
      </c>
      <c r="C75" s="17" t="s">
        <v>191</v>
      </c>
      <c r="D75" s="31"/>
      <c r="E75" s="33" t="s">
        <v>211</v>
      </c>
      <c r="F75" s="17" t="s">
        <v>212</v>
      </c>
      <c r="G75" s="17" t="s">
        <v>213</v>
      </c>
      <c r="H75" s="18" t="s">
        <v>45</v>
      </c>
      <c r="I75" s="17">
        <v>11.179505415855051</v>
      </c>
      <c r="J75" s="17">
        <v>354.37177377395687</v>
      </c>
      <c r="K75" s="17">
        <v>0</v>
      </c>
      <c r="L75" s="17">
        <v>0</v>
      </c>
      <c r="M75" s="17">
        <f t="shared" si="33"/>
        <v>365.55127918981191</v>
      </c>
      <c r="N75" s="17">
        <v>9.5285354754616645</v>
      </c>
      <c r="O75" s="17">
        <v>365.19098053171678</v>
      </c>
      <c r="P75" s="17">
        <v>0</v>
      </c>
      <c r="Q75" s="17">
        <v>0</v>
      </c>
      <c r="R75" s="17">
        <f t="shared" si="34"/>
        <v>374.71951600717841</v>
      </c>
      <c r="S75" s="17">
        <v>5.6470413896338814</v>
      </c>
      <c r="T75" s="17">
        <v>370.82939404723589</v>
      </c>
      <c r="U75" s="17">
        <v>0</v>
      </c>
      <c r="V75" s="17">
        <v>0</v>
      </c>
      <c r="W75" s="17">
        <f t="shared" si="35"/>
        <v>376.47643543686979</v>
      </c>
      <c r="X75" s="17">
        <v>33.714490043970059</v>
      </c>
      <c r="Y75" s="17">
        <v>378.1370304803711</v>
      </c>
      <c r="Z75" s="17">
        <v>0</v>
      </c>
      <c r="AA75" s="17">
        <v>0</v>
      </c>
      <c r="AB75" s="17">
        <f t="shared" si="36"/>
        <v>411.85152052434114</v>
      </c>
      <c r="AC75" s="17">
        <v>12.2769494794564</v>
      </c>
      <c r="AD75" s="17">
        <v>392.37177377395687</v>
      </c>
      <c r="AE75" s="17">
        <v>0</v>
      </c>
      <c r="AF75" s="17">
        <v>0</v>
      </c>
      <c r="AG75" s="17">
        <f t="shared" si="37"/>
        <v>404.64872325341327</v>
      </c>
      <c r="AH75" s="17">
        <v>18.179505415855047</v>
      </c>
      <c r="AI75" s="17">
        <v>389.77177377395685</v>
      </c>
      <c r="AJ75" s="17">
        <v>0</v>
      </c>
      <c r="AK75" s="17">
        <v>0</v>
      </c>
      <c r="AL75" s="17">
        <f t="shared" si="38"/>
        <v>407.95127918981188</v>
      </c>
      <c r="AM75" s="17">
        <v>24.145125619201028</v>
      </c>
      <c r="AN75" s="17">
        <v>354.63068109955697</v>
      </c>
      <c r="AO75" s="17">
        <v>0</v>
      </c>
      <c r="AP75" s="17">
        <v>0</v>
      </c>
      <c r="AQ75" s="17">
        <f t="shared" si="39"/>
        <v>378.77580671875802</v>
      </c>
      <c r="AR75" s="17">
        <v>7.1884434701698368</v>
      </c>
      <c r="AS75" s="17">
        <v>368.31671809469856</v>
      </c>
      <c r="AT75" s="17">
        <v>0</v>
      </c>
      <c r="AU75" s="17">
        <v>0</v>
      </c>
      <c r="AV75" s="17">
        <f t="shared" si="40"/>
        <v>375.50516156486839</v>
      </c>
      <c r="AW75" s="17">
        <v>15.322838785717192</v>
      </c>
      <c r="AX75" s="17">
        <v>344.72211037179011</v>
      </c>
      <c r="AY75" s="17">
        <v>0</v>
      </c>
      <c r="AZ75" s="17">
        <v>0</v>
      </c>
      <c r="BA75" s="17">
        <f t="shared" si="41"/>
        <v>360.04494915750729</v>
      </c>
      <c r="BB75" s="17">
        <v>15.226595594674922</v>
      </c>
      <c r="BC75" s="17">
        <v>352.2690946150758</v>
      </c>
      <c r="BD75" s="17">
        <v>0</v>
      </c>
      <c r="BE75" s="17">
        <v>0</v>
      </c>
      <c r="BF75" s="17">
        <f t="shared" si="42"/>
        <v>367.49569020975071</v>
      </c>
      <c r="BG75" s="17">
        <v>8.6183593532119076</v>
      </c>
      <c r="BH75" s="17">
        <v>389.1803122650017</v>
      </c>
      <c r="BI75" s="17">
        <v>0</v>
      </c>
      <c r="BJ75" s="17">
        <v>0</v>
      </c>
      <c r="BK75" s="17">
        <f t="shared" si="43"/>
        <v>397.79867161821363</v>
      </c>
      <c r="BL75" s="17">
        <v>8.6183593532119076</v>
      </c>
      <c r="BM75" s="17">
        <v>299.18031226500131</v>
      </c>
      <c r="BN75" s="17">
        <v>0</v>
      </c>
      <c r="BO75" s="17">
        <v>0</v>
      </c>
      <c r="BP75" s="17">
        <f t="shared" si="44"/>
        <v>307.79867161821323</v>
      </c>
      <c r="BQ75" s="17">
        <f t="shared" si="45"/>
        <v>169.64574939641889</v>
      </c>
      <c r="BR75" s="17">
        <f t="shared" si="45"/>
        <v>4358.9719550923182</v>
      </c>
      <c r="BS75" s="17">
        <f t="shared" si="45"/>
        <v>0</v>
      </c>
      <c r="BT75" s="17">
        <f t="shared" si="45"/>
        <v>0</v>
      </c>
      <c r="BU75" s="17">
        <f t="shared" si="46"/>
        <v>4528.6177044887372</v>
      </c>
    </row>
    <row r="76" spans="1:73" hidden="1" outlineLevel="1">
      <c r="A76" s="27" t="s">
        <v>33</v>
      </c>
      <c r="B76" s="17" t="s">
        <v>183</v>
      </c>
      <c r="C76" s="17" t="s">
        <v>191</v>
      </c>
      <c r="D76" s="17" t="s">
        <v>214</v>
      </c>
      <c r="E76" s="17" t="s">
        <v>215</v>
      </c>
      <c r="F76" s="17" t="s">
        <v>216</v>
      </c>
      <c r="G76" s="17" t="s">
        <v>217</v>
      </c>
      <c r="H76" s="18" t="s">
        <v>39</v>
      </c>
      <c r="I76" s="17">
        <v>48.288223943468587</v>
      </c>
      <c r="J76" s="17">
        <v>15</v>
      </c>
      <c r="K76" s="17">
        <v>0</v>
      </c>
      <c r="L76" s="17">
        <v>0</v>
      </c>
      <c r="M76" s="17">
        <f t="shared" si="33"/>
        <v>63.288223943468587</v>
      </c>
      <c r="N76" s="17">
        <v>61.28822394346858</v>
      </c>
      <c r="O76" s="17">
        <v>20</v>
      </c>
      <c r="P76" s="17">
        <v>0</v>
      </c>
      <c r="Q76" s="17">
        <v>0</v>
      </c>
      <c r="R76" s="17">
        <f t="shared" si="34"/>
        <v>81.28822394346858</v>
      </c>
      <c r="S76" s="17">
        <v>27.450413681982102</v>
      </c>
      <c r="T76" s="17">
        <v>10</v>
      </c>
      <c r="U76" s="17">
        <v>0</v>
      </c>
      <c r="V76" s="17">
        <v>0</v>
      </c>
      <c r="W76" s="17">
        <f t="shared" si="35"/>
        <v>37.450413681982099</v>
      </c>
      <c r="X76" s="17">
        <v>44.063017102477602</v>
      </c>
      <c r="Y76" s="17">
        <v>15</v>
      </c>
      <c r="Z76" s="17">
        <v>0</v>
      </c>
      <c r="AA76" s="17">
        <v>0</v>
      </c>
      <c r="AB76" s="17">
        <f t="shared" si="36"/>
        <v>59.063017102477602</v>
      </c>
      <c r="AC76" s="17">
        <v>31.063017102477605</v>
      </c>
      <c r="AD76" s="17">
        <v>10</v>
      </c>
      <c r="AE76" s="17">
        <v>0</v>
      </c>
      <c r="AF76" s="17">
        <v>0</v>
      </c>
      <c r="AG76" s="17">
        <f t="shared" si="37"/>
        <v>41.063017102477602</v>
      </c>
      <c r="AH76" s="17">
        <v>33.063017102477609</v>
      </c>
      <c r="AI76" s="17">
        <v>10</v>
      </c>
      <c r="AJ76" s="17">
        <v>0</v>
      </c>
      <c r="AK76" s="17">
        <v>0</v>
      </c>
      <c r="AL76" s="17">
        <f t="shared" si="38"/>
        <v>43.063017102477609</v>
      </c>
      <c r="AM76" s="17">
        <v>27.450413681982102</v>
      </c>
      <c r="AN76" s="17">
        <v>20</v>
      </c>
      <c r="AO76" s="17">
        <v>0</v>
      </c>
      <c r="AP76" s="17">
        <v>0</v>
      </c>
      <c r="AQ76" s="17">
        <f t="shared" si="39"/>
        <v>47.450413681982099</v>
      </c>
      <c r="AR76" s="17">
        <v>27.450413681982102</v>
      </c>
      <c r="AS76" s="17">
        <v>10</v>
      </c>
      <c r="AT76" s="17">
        <v>0</v>
      </c>
      <c r="AU76" s="17">
        <v>0</v>
      </c>
      <c r="AV76" s="17">
        <f t="shared" si="40"/>
        <v>37.450413681982099</v>
      </c>
      <c r="AW76" s="17">
        <v>32.450413681982099</v>
      </c>
      <c r="AX76" s="17">
        <v>10</v>
      </c>
      <c r="AY76" s="17">
        <v>0</v>
      </c>
      <c r="AZ76" s="17">
        <v>0</v>
      </c>
      <c r="BA76" s="17">
        <f t="shared" si="41"/>
        <v>42.450413681982099</v>
      </c>
      <c r="BB76" s="17">
        <v>32.450413681982099</v>
      </c>
      <c r="BC76" s="17">
        <v>10</v>
      </c>
      <c r="BD76" s="17">
        <v>0</v>
      </c>
      <c r="BE76" s="17">
        <v>0</v>
      </c>
      <c r="BF76" s="17">
        <f t="shared" si="42"/>
        <v>42.450413681982099</v>
      </c>
      <c r="BG76" s="17">
        <v>31.369318812725474</v>
      </c>
      <c r="BH76" s="17">
        <v>20</v>
      </c>
      <c r="BI76" s="17">
        <v>0</v>
      </c>
      <c r="BJ76" s="17">
        <v>0</v>
      </c>
      <c r="BK76" s="17">
        <f t="shared" si="43"/>
        <v>51.369318812725474</v>
      </c>
      <c r="BL76" s="17">
        <v>38.369318812725439</v>
      </c>
      <c r="BM76" s="17">
        <v>20</v>
      </c>
      <c r="BN76" s="17">
        <v>0</v>
      </c>
      <c r="BO76" s="17">
        <v>0</v>
      </c>
      <c r="BP76" s="17">
        <f t="shared" si="44"/>
        <v>58.369318812725439</v>
      </c>
      <c r="BQ76" s="17">
        <f t="shared" si="45"/>
        <v>434.75620522973139</v>
      </c>
      <c r="BR76" s="17">
        <f t="shared" si="45"/>
        <v>170</v>
      </c>
      <c r="BS76" s="17">
        <f t="shared" si="45"/>
        <v>0</v>
      </c>
      <c r="BT76" s="17">
        <f t="shared" si="45"/>
        <v>0</v>
      </c>
      <c r="BU76" s="17">
        <f t="shared" si="46"/>
        <v>604.75620522973145</v>
      </c>
    </row>
    <row r="77" spans="1:73" hidden="1" outlineLevel="1">
      <c r="A77" s="27" t="s">
        <v>33</v>
      </c>
      <c r="B77" s="17" t="s">
        <v>183</v>
      </c>
      <c r="C77" s="17" t="s">
        <v>191</v>
      </c>
      <c r="D77" s="17" t="s">
        <v>214</v>
      </c>
      <c r="E77" s="17" t="s">
        <v>215</v>
      </c>
      <c r="F77" s="17" t="s">
        <v>218</v>
      </c>
      <c r="G77" s="17" t="s">
        <v>219</v>
      </c>
      <c r="H77" s="18" t="s">
        <v>45</v>
      </c>
      <c r="I77" s="17">
        <v>77.396927458427172</v>
      </c>
      <c r="J77" s="17">
        <v>359.03436125680707</v>
      </c>
      <c r="K77" s="17">
        <v>9.424771464921033</v>
      </c>
      <c r="L77" s="17">
        <v>0</v>
      </c>
      <c r="M77" s="17">
        <f t="shared" si="33"/>
        <v>445.85606018015528</v>
      </c>
      <c r="N77" s="17">
        <v>81.529134438760423</v>
      </c>
      <c r="O77" s="17">
        <v>349.19765449293971</v>
      </c>
      <c r="P77" s="17">
        <v>8.3731318679517841</v>
      </c>
      <c r="Q77" s="17">
        <v>0</v>
      </c>
      <c r="R77" s="17">
        <f t="shared" si="34"/>
        <v>439.0999207996519</v>
      </c>
      <c r="S77" s="17">
        <v>104.99316475264068</v>
      </c>
      <c r="T77" s="17">
        <v>367.38553100145924</v>
      </c>
      <c r="U77" s="17">
        <v>8.4180345129862868</v>
      </c>
      <c r="V77" s="17">
        <v>0</v>
      </c>
      <c r="W77" s="17">
        <f t="shared" si="35"/>
        <v>480.79673026708622</v>
      </c>
      <c r="X77" s="17">
        <v>111.3199470833875</v>
      </c>
      <c r="Y77" s="17">
        <v>362.71052471189881</v>
      </c>
      <c r="Z77" s="17">
        <v>9.8043888140764501</v>
      </c>
      <c r="AA77" s="17">
        <v>0</v>
      </c>
      <c r="AB77" s="17">
        <f t="shared" si="36"/>
        <v>483.83486060936275</v>
      </c>
      <c r="AC77" s="17">
        <v>105.48424077120292</v>
      </c>
      <c r="AD77" s="17">
        <v>422.36580770782876</v>
      </c>
      <c r="AE77" s="17">
        <v>11.078253018444929</v>
      </c>
      <c r="AF77" s="17">
        <v>0</v>
      </c>
      <c r="AG77" s="17">
        <f t="shared" si="37"/>
        <v>538.92830149747658</v>
      </c>
      <c r="AH77" s="17">
        <v>99.033680801425206</v>
      </c>
      <c r="AI77" s="17">
        <v>419.62884056966971</v>
      </c>
      <c r="AJ77" s="17">
        <v>9.4863879336730061</v>
      </c>
      <c r="AK77" s="17">
        <v>0</v>
      </c>
      <c r="AL77" s="17">
        <f t="shared" si="38"/>
        <v>528.14890930476793</v>
      </c>
      <c r="AM77" s="17">
        <v>112.46476012415759</v>
      </c>
      <c r="AN77" s="17">
        <v>376.4670425072872</v>
      </c>
      <c r="AO77" s="17">
        <v>16.087378222298401</v>
      </c>
      <c r="AP77" s="17">
        <v>0</v>
      </c>
      <c r="AQ77" s="17">
        <f t="shared" si="39"/>
        <v>505.01918085374319</v>
      </c>
      <c r="AR77" s="17">
        <v>109.46476012415756</v>
      </c>
      <c r="AS77" s="17">
        <v>405.46525439220272</v>
      </c>
      <c r="AT77" s="17">
        <v>10.495768222298423</v>
      </c>
      <c r="AU77" s="17">
        <v>0</v>
      </c>
      <c r="AV77" s="17">
        <f t="shared" si="40"/>
        <v>525.42578273865877</v>
      </c>
      <c r="AW77" s="17">
        <v>88.329094792696836</v>
      </c>
      <c r="AX77" s="17">
        <v>419.06642057009429</v>
      </c>
      <c r="AY77" s="17">
        <v>8.3537747075436428</v>
      </c>
      <c r="AZ77" s="17">
        <v>0</v>
      </c>
      <c r="BA77" s="17">
        <f t="shared" si="41"/>
        <v>515.74929007033472</v>
      </c>
      <c r="BB77" s="17">
        <v>88.329094792696836</v>
      </c>
      <c r="BC77" s="17">
        <v>378.44709874657968</v>
      </c>
      <c r="BD77" s="17">
        <v>8.3537747075436428</v>
      </c>
      <c r="BE77" s="17">
        <v>0</v>
      </c>
      <c r="BF77" s="17">
        <f t="shared" si="42"/>
        <v>475.12996824682017</v>
      </c>
      <c r="BG77" s="17">
        <v>134.05335977741623</v>
      </c>
      <c r="BH77" s="17">
        <v>357.63813786753337</v>
      </c>
      <c r="BI77" s="17">
        <v>13.262190380215998</v>
      </c>
      <c r="BJ77" s="17">
        <v>0</v>
      </c>
      <c r="BK77" s="17">
        <f t="shared" si="43"/>
        <v>504.9536880251656</v>
      </c>
      <c r="BL77" s="17">
        <v>136.05335977741623</v>
      </c>
      <c r="BM77" s="17">
        <v>351.69748673627129</v>
      </c>
      <c r="BN77" s="17">
        <v>13.262190380215998</v>
      </c>
      <c r="BO77" s="17">
        <v>0</v>
      </c>
      <c r="BP77" s="17">
        <f t="shared" si="44"/>
        <v>501.01303689390352</v>
      </c>
      <c r="BQ77" s="17">
        <f t="shared" si="45"/>
        <v>1248.4515246943852</v>
      </c>
      <c r="BR77" s="17">
        <f t="shared" si="45"/>
        <v>4569.1041605605715</v>
      </c>
      <c r="BS77" s="17">
        <f t="shared" si="45"/>
        <v>126.40004423216958</v>
      </c>
      <c r="BT77" s="17">
        <f t="shared" si="45"/>
        <v>0</v>
      </c>
      <c r="BU77" s="17">
        <f t="shared" si="46"/>
        <v>5943.9557294871256</v>
      </c>
    </row>
    <row r="78" spans="1:73" hidden="1" outlineLevel="1">
      <c r="A78" s="27" t="s">
        <v>33</v>
      </c>
      <c r="B78" s="17" t="s">
        <v>183</v>
      </c>
      <c r="C78" s="17" t="s">
        <v>220</v>
      </c>
      <c r="D78" s="17">
        <v>0</v>
      </c>
      <c r="E78" s="17" t="s">
        <v>197</v>
      </c>
      <c r="F78" s="17" t="s">
        <v>221</v>
      </c>
      <c r="G78" s="17" t="s">
        <v>222</v>
      </c>
      <c r="H78" s="18" t="s">
        <v>39</v>
      </c>
      <c r="I78" s="17">
        <v>0</v>
      </c>
      <c r="J78" s="17">
        <v>0</v>
      </c>
      <c r="K78" s="17">
        <v>0</v>
      </c>
      <c r="L78" s="17">
        <v>0</v>
      </c>
      <c r="M78" s="17">
        <f t="shared" si="33"/>
        <v>0</v>
      </c>
      <c r="N78" s="17">
        <v>0</v>
      </c>
      <c r="O78" s="17">
        <v>0</v>
      </c>
      <c r="P78" s="17">
        <v>0</v>
      </c>
      <c r="Q78" s="17">
        <v>0</v>
      </c>
      <c r="R78" s="17">
        <f t="shared" si="34"/>
        <v>0</v>
      </c>
      <c r="S78" s="17">
        <v>1.4070284687246535</v>
      </c>
      <c r="T78" s="17">
        <v>16.471688101601579</v>
      </c>
      <c r="U78" s="17">
        <v>0</v>
      </c>
      <c r="V78" s="17">
        <v>0</v>
      </c>
      <c r="W78" s="17">
        <f t="shared" si="35"/>
        <v>17.878716570326233</v>
      </c>
      <c r="X78" s="17">
        <v>1.4070284687246535</v>
      </c>
      <c r="Y78" s="17">
        <v>20.471688101601572</v>
      </c>
      <c r="Z78" s="17">
        <v>0</v>
      </c>
      <c r="AA78" s="17">
        <v>0</v>
      </c>
      <c r="AB78" s="17">
        <f t="shared" si="36"/>
        <v>21.878716570326226</v>
      </c>
      <c r="AC78" s="17">
        <v>1.4070284687246535</v>
      </c>
      <c r="AD78" s="17">
        <v>24.471688101601572</v>
      </c>
      <c r="AE78" s="17">
        <v>0</v>
      </c>
      <c r="AF78" s="17">
        <v>0</v>
      </c>
      <c r="AG78" s="17">
        <f t="shared" si="37"/>
        <v>25.878716570326226</v>
      </c>
      <c r="AH78" s="17">
        <v>1.4070284687246535</v>
      </c>
      <c r="AI78" s="17">
        <v>29.471688101601572</v>
      </c>
      <c r="AJ78" s="17">
        <v>0</v>
      </c>
      <c r="AK78" s="17">
        <v>0</v>
      </c>
      <c r="AL78" s="17">
        <f t="shared" si="38"/>
        <v>30.878716570326226</v>
      </c>
      <c r="AM78" s="17">
        <v>1.4070284687246535</v>
      </c>
      <c r="AN78" s="17">
        <v>12.471688101601574</v>
      </c>
      <c r="AO78" s="17">
        <v>0</v>
      </c>
      <c r="AP78" s="17">
        <v>0</v>
      </c>
      <c r="AQ78" s="17">
        <f t="shared" si="39"/>
        <v>13.878716570326228</v>
      </c>
      <c r="AR78" s="17">
        <v>1.4070284687246535</v>
      </c>
      <c r="AS78" s="17">
        <v>21.82085556428548</v>
      </c>
      <c r="AT78" s="17">
        <v>0</v>
      </c>
      <c r="AU78" s="17">
        <v>0</v>
      </c>
      <c r="AV78" s="17">
        <f t="shared" si="40"/>
        <v>23.227884033010135</v>
      </c>
      <c r="AW78" s="17">
        <v>1.4070284687246535</v>
      </c>
      <c r="AX78" s="17">
        <v>20.820855564285484</v>
      </c>
      <c r="AY78" s="17">
        <v>0</v>
      </c>
      <c r="AZ78" s="17">
        <v>0</v>
      </c>
      <c r="BA78" s="17">
        <f t="shared" si="41"/>
        <v>22.227884033010138</v>
      </c>
      <c r="BB78" s="17">
        <v>1.4070284687246535</v>
      </c>
      <c r="BC78" s="17">
        <v>15.820855564285475</v>
      </c>
      <c r="BD78" s="17">
        <v>0</v>
      </c>
      <c r="BE78" s="17">
        <v>0</v>
      </c>
      <c r="BF78" s="17">
        <f t="shared" si="42"/>
        <v>17.227884033010127</v>
      </c>
      <c r="BG78" s="17">
        <v>2.68755383300824</v>
      </c>
      <c r="BH78" s="17">
        <v>16.820855564285477</v>
      </c>
      <c r="BI78" s="17">
        <v>0</v>
      </c>
      <c r="BJ78" s="17">
        <v>0</v>
      </c>
      <c r="BK78" s="17">
        <f t="shared" si="43"/>
        <v>19.508409397293718</v>
      </c>
      <c r="BL78" s="17">
        <v>0</v>
      </c>
      <c r="BM78" s="17">
        <v>30.905941621515776</v>
      </c>
      <c r="BN78" s="17">
        <v>0</v>
      </c>
      <c r="BO78" s="17">
        <v>0</v>
      </c>
      <c r="BP78" s="17">
        <f t="shared" si="44"/>
        <v>30.905941621515776</v>
      </c>
      <c r="BQ78" s="17">
        <f t="shared" si="45"/>
        <v>13.943781582805471</v>
      </c>
      <c r="BR78" s="17">
        <f t="shared" si="45"/>
        <v>209.54780438666555</v>
      </c>
      <c r="BS78" s="17">
        <f t="shared" si="45"/>
        <v>0</v>
      </c>
      <c r="BT78" s="17">
        <f t="shared" si="45"/>
        <v>0</v>
      </c>
      <c r="BU78" s="17">
        <f t="shared" si="46"/>
        <v>223.49158596947103</v>
      </c>
    </row>
    <row r="79" spans="1:73" hidden="1" outlineLevel="1">
      <c r="A79" s="27" t="s">
        <v>33</v>
      </c>
      <c r="B79" s="17" t="s">
        <v>183</v>
      </c>
      <c r="C79" s="17" t="s">
        <v>220</v>
      </c>
      <c r="D79" s="17">
        <v>0</v>
      </c>
      <c r="E79" s="17" t="s">
        <v>197</v>
      </c>
      <c r="F79" s="17" t="s">
        <v>223</v>
      </c>
      <c r="G79" s="17" t="s">
        <v>224</v>
      </c>
      <c r="H79" s="18" t="s">
        <v>39</v>
      </c>
      <c r="I79" s="17">
        <v>0</v>
      </c>
      <c r="J79" s="17">
        <v>0</v>
      </c>
      <c r="K79" s="17">
        <v>0</v>
      </c>
      <c r="L79" s="17">
        <v>0</v>
      </c>
      <c r="M79" s="17">
        <f t="shared" si="33"/>
        <v>0</v>
      </c>
      <c r="N79" s="17">
        <v>0</v>
      </c>
      <c r="O79" s="17">
        <v>0</v>
      </c>
      <c r="P79" s="17">
        <v>0</v>
      </c>
      <c r="Q79" s="17">
        <v>0</v>
      </c>
      <c r="R79" s="17">
        <f t="shared" si="34"/>
        <v>0</v>
      </c>
      <c r="S79" s="17">
        <v>6.0945823017328937</v>
      </c>
      <c r="T79" s="17">
        <v>42.471688101601579</v>
      </c>
      <c r="U79" s="17">
        <v>0</v>
      </c>
      <c r="V79" s="17">
        <v>0</v>
      </c>
      <c r="W79" s="17">
        <f t="shared" si="35"/>
        <v>48.566270403334471</v>
      </c>
      <c r="X79" s="17">
        <v>6.0945823017328937</v>
      </c>
      <c r="Y79" s="17">
        <v>17.471688101601572</v>
      </c>
      <c r="Z79" s="17">
        <v>0</v>
      </c>
      <c r="AA79" s="17">
        <v>0</v>
      </c>
      <c r="AB79" s="17">
        <f t="shared" si="36"/>
        <v>23.566270403334464</v>
      </c>
      <c r="AC79" s="17">
        <v>6.0945823017328937</v>
      </c>
      <c r="AD79" s="17">
        <v>25.471688101601572</v>
      </c>
      <c r="AE79" s="17">
        <v>0</v>
      </c>
      <c r="AF79" s="17">
        <v>0</v>
      </c>
      <c r="AG79" s="17">
        <f t="shared" si="37"/>
        <v>31.566270403334464</v>
      </c>
      <c r="AH79" s="17">
        <v>6.0945823017328937</v>
      </c>
      <c r="AI79" s="17">
        <v>23.471688101601572</v>
      </c>
      <c r="AJ79" s="17">
        <v>0</v>
      </c>
      <c r="AK79" s="17">
        <v>0</v>
      </c>
      <c r="AL79" s="17">
        <f t="shared" si="38"/>
        <v>29.566270403334464</v>
      </c>
      <c r="AM79" s="17">
        <v>6.0945823017328937</v>
      </c>
      <c r="AN79" s="17">
        <v>17.777221185101844</v>
      </c>
      <c r="AO79" s="17">
        <v>0</v>
      </c>
      <c r="AP79" s="17">
        <v>0</v>
      </c>
      <c r="AQ79" s="17">
        <f t="shared" si="39"/>
        <v>23.871803486834736</v>
      </c>
      <c r="AR79" s="17">
        <v>6.0945823017328937</v>
      </c>
      <c r="AS79" s="17">
        <v>14.820855564285479</v>
      </c>
      <c r="AT79" s="17">
        <v>0</v>
      </c>
      <c r="AU79" s="17">
        <v>0</v>
      </c>
      <c r="AV79" s="17">
        <f t="shared" si="40"/>
        <v>20.915437866018372</v>
      </c>
      <c r="AW79" s="17">
        <v>6.0945823017328937</v>
      </c>
      <c r="AX79" s="17">
        <v>8.820855564285484</v>
      </c>
      <c r="AY79" s="17">
        <v>0</v>
      </c>
      <c r="AZ79" s="17">
        <v>0</v>
      </c>
      <c r="BA79" s="17">
        <f t="shared" si="41"/>
        <v>14.915437866018378</v>
      </c>
      <c r="BB79" s="17">
        <v>6.0945823017328937</v>
      </c>
      <c r="BC79" s="17">
        <v>15.820855564285475</v>
      </c>
      <c r="BD79" s="17">
        <v>0</v>
      </c>
      <c r="BE79" s="17">
        <v>0</v>
      </c>
      <c r="BF79" s="17">
        <f t="shared" si="42"/>
        <v>21.915437866018369</v>
      </c>
      <c r="BG79" s="17">
        <v>6.0945823017328937</v>
      </c>
      <c r="BH79" s="17">
        <v>20.820855564285477</v>
      </c>
      <c r="BI79" s="17">
        <v>0</v>
      </c>
      <c r="BJ79" s="17">
        <v>0</v>
      </c>
      <c r="BK79" s="17">
        <f t="shared" si="43"/>
        <v>26.915437866018372</v>
      </c>
      <c r="BL79" s="17">
        <v>0</v>
      </c>
      <c r="BM79" s="17">
        <v>23.905941621515776</v>
      </c>
      <c r="BN79" s="17">
        <v>0</v>
      </c>
      <c r="BO79" s="17">
        <v>0</v>
      </c>
      <c r="BP79" s="17">
        <f t="shared" si="44"/>
        <v>23.905941621515776</v>
      </c>
      <c r="BQ79" s="17">
        <f t="shared" si="45"/>
        <v>54.851240715596035</v>
      </c>
      <c r="BR79" s="17">
        <f t="shared" si="45"/>
        <v>210.85333747016583</v>
      </c>
      <c r="BS79" s="17">
        <f t="shared" si="45"/>
        <v>0</v>
      </c>
      <c r="BT79" s="17">
        <f t="shared" si="45"/>
        <v>0</v>
      </c>
      <c r="BU79" s="17">
        <f t="shared" si="46"/>
        <v>265.70457818576187</v>
      </c>
    </row>
    <row r="80" spans="1:73" hidden="1" outlineLevel="1">
      <c r="A80" s="27" t="s">
        <v>33</v>
      </c>
      <c r="B80" s="17" t="s">
        <v>183</v>
      </c>
      <c r="C80" s="17" t="s">
        <v>220</v>
      </c>
      <c r="D80" s="17">
        <v>0</v>
      </c>
      <c r="E80" s="17" t="s">
        <v>197</v>
      </c>
      <c r="F80" s="17" t="s">
        <v>225</v>
      </c>
      <c r="G80" s="17" t="s">
        <v>226</v>
      </c>
      <c r="H80" s="18" t="s">
        <v>39</v>
      </c>
      <c r="I80" s="17">
        <v>0</v>
      </c>
      <c r="J80" s="17">
        <v>0</v>
      </c>
      <c r="K80" s="17">
        <v>0</v>
      </c>
      <c r="L80" s="17">
        <v>0</v>
      </c>
      <c r="M80" s="17">
        <f t="shared" si="33"/>
        <v>0</v>
      </c>
      <c r="N80" s="17">
        <v>0</v>
      </c>
      <c r="O80" s="17">
        <v>0</v>
      </c>
      <c r="P80" s="17">
        <v>0</v>
      </c>
      <c r="Q80" s="17">
        <v>0</v>
      </c>
      <c r="R80" s="17">
        <f t="shared" si="34"/>
        <v>0</v>
      </c>
      <c r="S80" s="17">
        <v>0</v>
      </c>
      <c r="T80" s="17">
        <v>15.905941621515824</v>
      </c>
      <c r="U80" s="17">
        <v>0</v>
      </c>
      <c r="V80" s="17">
        <v>0</v>
      </c>
      <c r="W80" s="17">
        <f t="shared" si="35"/>
        <v>15.905941621515824</v>
      </c>
      <c r="X80" s="17">
        <v>0</v>
      </c>
      <c r="Y80" s="17">
        <v>28.905941621515776</v>
      </c>
      <c r="Z80" s="17">
        <v>0</v>
      </c>
      <c r="AA80" s="17">
        <v>0</v>
      </c>
      <c r="AB80" s="17">
        <f t="shared" si="36"/>
        <v>28.905941621515776</v>
      </c>
      <c r="AC80" s="17">
        <v>0</v>
      </c>
      <c r="AD80" s="17">
        <v>28.905941621515776</v>
      </c>
      <c r="AE80" s="17">
        <v>0</v>
      </c>
      <c r="AF80" s="17">
        <v>0</v>
      </c>
      <c r="AG80" s="17">
        <f t="shared" si="37"/>
        <v>28.905941621515776</v>
      </c>
      <c r="AH80" s="17">
        <v>0</v>
      </c>
      <c r="AI80" s="17">
        <v>28.905941621515776</v>
      </c>
      <c r="AJ80" s="17">
        <v>0</v>
      </c>
      <c r="AK80" s="17">
        <v>0</v>
      </c>
      <c r="AL80" s="17">
        <f t="shared" si="38"/>
        <v>28.905941621515776</v>
      </c>
      <c r="AM80" s="17">
        <v>0</v>
      </c>
      <c r="AN80" s="17">
        <v>23.905941621515773</v>
      </c>
      <c r="AO80" s="17">
        <v>0</v>
      </c>
      <c r="AP80" s="17">
        <v>0</v>
      </c>
      <c r="AQ80" s="17">
        <f t="shared" si="39"/>
        <v>23.905941621515773</v>
      </c>
      <c r="AR80" s="17">
        <v>0</v>
      </c>
      <c r="AS80" s="17">
        <v>16.905941621515524</v>
      </c>
      <c r="AT80" s="17">
        <v>0</v>
      </c>
      <c r="AU80" s="17">
        <v>0</v>
      </c>
      <c r="AV80" s="17">
        <f t="shared" si="40"/>
        <v>16.905941621515524</v>
      </c>
      <c r="AW80" s="17">
        <v>0</v>
      </c>
      <c r="AX80" s="17">
        <v>21.90594162151552</v>
      </c>
      <c r="AY80" s="17">
        <v>0</v>
      </c>
      <c r="AZ80" s="17">
        <v>0</v>
      </c>
      <c r="BA80" s="17">
        <f t="shared" si="41"/>
        <v>21.90594162151552</v>
      </c>
      <c r="BB80" s="17">
        <v>0</v>
      </c>
      <c r="BC80" s="17">
        <v>17.90594162151578</v>
      </c>
      <c r="BD80" s="17">
        <v>0</v>
      </c>
      <c r="BE80" s="17">
        <v>0</v>
      </c>
      <c r="BF80" s="17">
        <f t="shared" si="42"/>
        <v>17.90594162151578</v>
      </c>
      <c r="BG80" s="17">
        <v>0</v>
      </c>
      <c r="BH80" s="17">
        <v>33.90594162151578</v>
      </c>
      <c r="BI80" s="17">
        <v>0</v>
      </c>
      <c r="BJ80" s="17">
        <v>0</v>
      </c>
      <c r="BK80" s="17">
        <f t="shared" si="43"/>
        <v>33.90594162151578</v>
      </c>
      <c r="BL80" s="17">
        <v>0</v>
      </c>
      <c r="BM80" s="17">
        <v>25.905941621515826</v>
      </c>
      <c r="BN80" s="17">
        <v>0</v>
      </c>
      <c r="BO80" s="17">
        <v>0</v>
      </c>
      <c r="BP80" s="17">
        <f t="shared" si="44"/>
        <v>25.905941621515826</v>
      </c>
      <c r="BQ80" s="17">
        <f t="shared" si="45"/>
        <v>0</v>
      </c>
      <c r="BR80" s="17">
        <f t="shared" si="45"/>
        <v>243.05941621515737</v>
      </c>
      <c r="BS80" s="17">
        <f t="shared" si="45"/>
        <v>0</v>
      </c>
      <c r="BT80" s="17">
        <f t="shared" si="45"/>
        <v>0</v>
      </c>
      <c r="BU80" s="17">
        <f t="shared" si="46"/>
        <v>243.05941621515737</v>
      </c>
    </row>
    <row r="81" spans="1:73" hidden="1" outlineLevel="1">
      <c r="A81" s="27" t="s">
        <v>33</v>
      </c>
      <c r="B81" s="17" t="s">
        <v>183</v>
      </c>
      <c r="C81" s="17" t="s">
        <v>220</v>
      </c>
      <c r="D81" s="17"/>
      <c r="E81" s="33" t="s">
        <v>227</v>
      </c>
      <c r="F81" s="31" t="s">
        <v>228</v>
      </c>
      <c r="G81" s="31" t="s">
        <v>229</v>
      </c>
      <c r="H81" s="18" t="s">
        <v>45</v>
      </c>
      <c r="I81" s="17">
        <v>109.64870256850422</v>
      </c>
      <c r="J81" s="17">
        <v>190.92816547609925</v>
      </c>
      <c r="K81" s="17">
        <v>0</v>
      </c>
      <c r="L81" s="17">
        <v>0</v>
      </c>
      <c r="M81" s="17">
        <f t="shared" si="33"/>
        <v>300.57686804460349</v>
      </c>
      <c r="N81" s="17">
        <v>90.248889580649092</v>
      </c>
      <c r="O81" s="17">
        <v>210.13576691203821</v>
      </c>
      <c r="P81" s="17">
        <v>0</v>
      </c>
      <c r="Q81" s="17">
        <v>0</v>
      </c>
      <c r="R81" s="17">
        <f t="shared" si="34"/>
        <v>300.38465649268733</v>
      </c>
      <c r="S81" s="17">
        <v>66.924197457806684</v>
      </c>
      <c r="T81" s="17">
        <v>234.35174250983491</v>
      </c>
      <c r="U81" s="17">
        <v>0</v>
      </c>
      <c r="V81" s="17">
        <v>0</v>
      </c>
      <c r="W81" s="17">
        <f t="shared" si="35"/>
        <v>301.27593996764159</v>
      </c>
      <c r="X81" s="17">
        <v>92.074613692223096</v>
      </c>
      <c r="Y81" s="17">
        <v>210.30894009865452</v>
      </c>
      <c r="Z81" s="17">
        <v>0</v>
      </c>
      <c r="AA81" s="17">
        <v>0</v>
      </c>
      <c r="AB81" s="17">
        <f t="shared" si="36"/>
        <v>302.38355379087761</v>
      </c>
      <c r="AC81" s="17">
        <v>111.51717290746855</v>
      </c>
      <c r="AD81" s="17">
        <v>189.97095046019385</v>
      </c>
      <c r="AE81" s="17">
        <v>0</v>
      </c>
      <c r="AF81" s="17">
        <v>0</v>
      </c>
      <c r="AG81" s="17">
        <f t="shared" si="37"/>
        <v>301.48812336766241</v>
      </c>
      <c r="AH81" s="17">
        <v>111.64040079534969</v>
      </c>
      <c r="AI81" s="17">
        <v>190.17162582498142</v>
      </c>
      <c r="AJ81" s="17">
        <v>0</v>
      </c>
      <c r="AK81" s="17">
        <v>0</v>
      </c>
      <c r="AL81" s="17">
        <f t="shared" si="38"/>
        <v>301.8120266203311</v>
      </c>
      <c r="AM81" s="17">
        <v>70.77420303683904</v>
      </c>
      <c r="AN81" s="17">
        <v>232.62143752198796</v>
      </c>
      <c r="AO81" s="17">
        <v>0</v>
      </c>
      <c r="AP81" s="17">
        <v>0</v>
      </c>
      <c r="AQ81" s="17">
        <f t="shared" si="39"/>
        <v>303.39564055882698</v>
      </c>
      <c r="AR81" s="17">
        <v>70.723751093376023</v>
      </c>
      <c r="AS81" s="17">
        <v>231.53927704409011</v>
      </c>
      <c r="AT81" s="17">
        <v>0</v>
      </c>
      <c r="AU81" s="17">
        <v>0</v>
      </c>
      <c r="AV81" s="17">
        <f t="shared" si="40"/>
        <v>302.26302813746611</v>
      </c>
      <c r="AW81" s="17">
        <v>66.886753083672502</v>
      </c>
      <c r="AX81" s="17">
        <v>234.29076472657709</v>
      </c>
      <c r="AY81" s="17">
        <v>0</v>
      </c>
      <c r="AZ81" s="17">
        <v>0</v>
      </c>
      <c r="BA81" s="17">
        <f t="shared" si="41"/>
        <v>301.17751781024958</v>
      </c>
      <c r="BB81" s="17">
        <v>66.886753083672502</v>
      </c>
      <c r="BC81" s="17">
        <v>238.29076472657718</v>
      </c>
      <c r="BD81" s="17">
        <v>0</v>
      </c>
      <c r="BE81" s="17">
        <v>0</v>
      </c>
      <c r="BF81" s="17">
        <f t="shared" si="42"/>
        <v>305.1775178102497</v>
      </c>
      <c r="BG81" s="17">
        <v>148.27017484710936</v>
      </c>
      <c r="BH81" s="17">
        <v>153.45647496011256</v>
      </c>
      <c r="BI81" s="17">
        <v>0</v>
      </c>
      <c r="BJ81" s="17">
        <v>0</v>
      </c>
      <c r="BK81" s="17">
        <f t="shared" si="43"/>
        <v>301.72664980722192</v>
      </c>
      <c r="BL81" s="17">
        <v>187.14467437877451</v>
      </c>
      <c r="BM81" s="17">
        <v>169.76320291422317</v>
      </c>
      <c r="BN81" s="17">
        <v>0</v>
      </c>
      <c r="BO81" s="17">
        <v>0</v>
      </c>
      <c r="BP81" s="17">
        <f t="shared" si="44"/>
        <v>356.90787729299768</v>
      </c>
      <c r="BQ81" s="17">
        <f t="shared" si="45"/>
        <v>1192.7402865254453</v>
      </c>
      <c r="BR81" s="17">
        <f t="shared" si="45"/>
        <v>2485.8291131753708</v>
      </c>
      <c r="BS81" s="17">
        <f t="shared" si="45"/>
        <v>0</v>
      </c>
      <c r="BT81" s="17">
        <f t="shared" si="45"/>
        <v>0</v>
      </c>
      <c r="BU81" s="17">
        <f t="shared" si="46"/>
        <v>3678.5693997008161</v>
      </c>
    </row>
    <row r="82" spans="1:73" hidden="1" outlineLevel="1">
      <c r="A82" s="27" t="s">
        <v>33</v>
      </c>
      <c r="B82" s="17" t="s">
        <v>183</v>
      </c>
      <c r="C82" s="17" t="s">
        <v>230</v>
      </c>
      <c r="D82" s="17">
        <v>0</v>
      </c>
      <c r="E82" s="17" t="s">
        <v>197</v>
      </c>
      <c r="F82" s="17" t="s">
        <v>231</v>
      </c>
      <c r="G82" s="17" t="s">
        <v>232</v>
      </c>
      <c r="H82" s="18" t="s">
        <v>39</v>
      </c>
      <c r="I82" s="17">
        <v>0</v>
      </c>
      <c r="J82" s="17">
        <v>0</v>
      </c>
      <c r="K82" s="17">
        <v>0</v>
      </c>
      <c r="L82" s="17">
        <v>0</v>
      </c>
      <c r="M82" s="17">
        <f t="shared" si="33"/>
        <v>0</v>
      </c>
      <c r="N82" s="17">
        <v>0</v>
      </c>
      <c r="O82" s="17">
        <v>0</v>
      </c>
      <c r="P82" s="17">
        <v>0</v>
      </c>
      <c r="Q82" s="17">
        <v>0</v>
      </c>
      <c r="R82" s="17">
        <f t="shared" si="34"/>
        <v>0</v>
      </c>
      <c r="S82" s="17">
        <v>1</v>
      </c>
      <c r="T82" s="17">
        <v>13</v>
      </c>
      <c r="U82" s="17">
        <v>0</v>
      </c>
      <c r="V82" s="17">
        <v>0</v>
      </c>
      <c r="W82" s="17">
        <f t="shared" si="35"/>
        <v>14</v>
      </c>
      <c r="X82" s="17">
        <v>0</v>
      </c>
      <c r="Y82" s="17">
        <v>10</v>
      </c>
      <c r="Z82" s="17">
        <v>0</v>
      </c>
      <c r="AA82" s="17">
        <v>0</v>
      </c>
      <c r="AB82" s="17">
        <f t="shared" si="36"/>
        <v>10</v>
      </c>
      <c r="AC82" s="17">
        <v>0</v>
      </c>
      <c r="AD82" s="17">
        <v>13</v>
      </c>
      <c r="AE82" s="17">
        <v>0</v>
      </c>
      <c r="AF82" s="17">
        <v>0</v>
      </c>
      <c r="AG82" s="17">
        <f t="shared" si="37"/>
        <v>13</v>
      </c>
      <c r="AH82" s="17">
        <v>1</v>
      </c>
      <c r="AI82" s="17">
        <v>11.590085</v>
      </c>
      <c r="AJ82" s="17">
        <v>0</v>
      </c>
      <c r="AK82" s="17">
        <v>0</v>
      </c>
      <c r="AL82" s="17">
        <f t="shared" si="38"/>
        <v>12.590085</v>
      </c>
      <c r="AM82" s="17">
        <v>2</v>
      </c>
      <c r="AN82" s="17">
        <v>10</v>
      </c>
      <c r="AO82" s="17">
        <v>0</v>
      </c>
      <c r="AP82" s="17">
        <v>0</v>
      </c>
      <c r="AQ82" s="17">
        <f t="shared" si="39"/>
        <v>12</v>
      </c>
      <c r="AR82" s="17">
        <v>0</v>
      </c>
      <c r="AS82" s="17">
        <v>10</v>
      </c>
      <c r="AT82" s="17">
        <v>0</v>
      </c>
      <c r="AU82" s="17">
        <v>0</v>
      </c>
      <c r="AV82" s="17">
        <f t="shared" si="40"/>
        <v>10</v>
      </c>
      <c r="AW82" s="17">
        <v>0</v>
      </c>
      <c r="AX82" s="17">
        <v>13</v>
      </c>
      <c r="AY82" s="17">
        <v>0</v>
      </c>
      <c r="AZ82" s="17">
        <v>0</v>
      </c>
      <c r="BA82" s="17">
        <f t="shared" si="41"/>
        <v>13</v>
      </c>
      <c r="BB82" s="17">
        <v>1</v>
      </c>
      <c r="BC82" s="17">
        <v>13</v>
      </c>
      <c r="BD82" s="17">
        <v>0</v>
      </c>
      <c r="BE82" s="17">
        <v>0</v>
      </c>
      <c r="BF82" s="17">
        <f t="shared" si="42"/>
        <v>14</v>
      </c>
      <c r="BG82" s="17">
        <v>1</v>
      </c>
      <c r="BH82" s="17">
        <v>13</v>
      </c>
      <c r="BI82" s="17">
        <v>0</v>
      </c>
      <c r="BJ82" s="17">
        <v>0</v>
      </c>
      <c r="BK82" s="17">
        <f t="shared" si="43"/>
        <v>14</v>
      </c>
      <c r="BL82" s="17">
        <v>0.17480200000000001</v>
      </c>
      <c r="BM82" s="17">
        <v>10</v>
      </c>
      <c r="BN82" s="17">
        <v>0</v>
      </c>
      <c r="BO82" s="17">
        <v>0</v>
      </c>
      <c r="BP82" s="17">
        <f t="shared" si="44"/>
        <v>10.174802</v>
      </c>
      <c r="BQ82" s="17">
        <f t="shared" si="45"/>
        <v>6.1748019999999997</v>
      </c>
      <c r="BR82" s="17">
        <f t="shared" si="45"/>
        <v>116.590085</v>
      </c>
      <c r="BS82" s="17">
        <f t="shared" si="45"/>
        <v>0</v>
      </c>
      <c r="BT82" s="17">
        <f t="shared" si="45"/>
        <v>0</v>
      </c>
      <c r="BU82" s="17">
        <f t="shared" si="46"/>
        <v>122.764887</v>
      </c>
    </row>
    <row r="83" spans="1:73" hidden="1" outlineLevel="1">
      <c r="A83" s="27" t="s">
        <v>33</v>
      </c>
      <c r="B83" s="17" t="s">
        <v>183</v>
      </c>
      <c r="C83" s="17" t="s">
        <v>230</v>
      </c>
      <c r="D83" s="17">
        <v>0</v>
      </c>
      <c r="E83" s="17" t="s">
        <v>197</v>
      </c>
      <c r="F83" s="17" t="s">
        <v>233</v>
      </c>
      <c r="G83" s="17" t="s">
        <v>234</v>
      </c>
      <c r="H83" s="18" t="s">
        <v>39</v>
      </c>
      <c r="I83" s="17">
        <v>0</v>
      </c>
      <c r="J83" s="17">
        <v>0</v>
      </c>
      <c r="K83" s="17">
        <v>0</v>
      </c>
      <c r="L83" s="17">
        <v>0</v>
      </c>
      <c r="M83" s="17">
        <f t="shared" si="33"/>
        <v>0</v>
      </c>
      <c r="N83" s="17">
        <v>0</v>
      </c>
      <c r="O83" s="17">
        <v>0</v>
      </c>
      <c r="P83" s="17">
        <v>0</v>
      </c>
      <c r="Q83" s="17">
        <v>0</v>
      </c>
      <c r="R83" s="17">
        <f t="shared" si="34"/>
        <v>0</v>
      </c>
      <c r="S83" s="17">
        <v>3.3058058206303702</v>
      </c>
      <c r="T83" s="17">
        <v>28.146513953381586</v>
      </c>
      <c r="U83" s="17">
        <v>2.25916098094</v>
      </c>
      <c r="V83" s="17">
        <v>0</v>
      </c>
      <c r="W83" s="17">
        <f t="shared" si="35"/>
        <v>33.711480754951957</v>
      </c>
      <c r="X83" s="17">
        <v>1.3229198206303703</v>
      </c>
      <c r="Y83" s="17">
        <v>28.146513953381586</v>
      </c>
      <c r="Z83" s="17">
        <v>2.25916098094</v>
      </c>
      <c r="AA83" s="17">
        <v>0</v>
      </c>
      <c r="AB83" s="17">
        <f t="shared" si="36"/>
        <v>31.728594754951956</v>
      </c>
      <c r="AC83" s="17">
        <v>4.8229198206303661</v>
      </c>
      <c r="AD83" s="17">
        <v>27.146513953381586</v>
      </c>
      <c r="AE83" s="17">
        <v>2.25916098094</v>
      </c>
      <c r="AF83" s="17">
        <v>0</v>
      </c>
      <c r="AG83" s="17">
        <f t="shared" si="37"/>
        <v>34.228594754951956</v>
      </c>
      <c r="AH83" s="17">
        <v>4.3229198206303678</v>
      </c>
      <c r="AI83" s="17">
        <v>27.146513953381586</v>
      </c>
      <c r="AJ83" s="17">
        <v>2.25916098094</v>
      </c>
      <c r="AK83" s="17">
        <v>0</v>
      </c>
      <c r="AL83" s="17">
        <f t="shared" si="38"/>
        <v>33.728594754951956</v>
      </c>
      <c r="AM83" s="17">
        <v>4.3229198206303678</v>
      </c>
      <c r="AN83" s="17">
        <v>27.443800937167119</v>
      </c>
      <c r="AO83" s="17">
        <v>2.25916098094</v>
      </c>
      <c r="AP83" s="17">
        <v>0</v>
      </c>
      <c r="AQ83" s="17">
        <f t="shared" si="39"/>
        <v>34.025881738737489</v>
      </c>
      <c r="AR83" s="17">
        <v>4.8229198206303661</v>
      </c>
      <c r="AS83" s="17">
        <v>29.443800937167119</v>
      </c>
      <c r="AT83" s="17">
        <v>2.25916098094</v>
      </c>
      <c r="AU83" s="17">
        <v>0</v>
      </c>
      <c r="AV83" s="17">
        <f t="shared" si="40"/>
        <v>36.525881738737489</v>
      </c>
      <c r="AW83" s="17">
        <v>4.8229198206303661</v>
      </c>
      <c r="AX83" s="17">
        <v>20.443800937167119</v>
      </c>
      <c r="AY83" s="17">
        <v>2.25916098094</v>
      </c>
      <c r="AZ83" s="17">
        <v>0</v>
      </c>
      <c r="BA83" s="17">
        <f t="shared" si="41"/>
        <v>27.525881738737485</v>
      </c>
      <c r="BB83" s="17">
        <v>0</v>
      </c>
      <c r="BC83" s="17">
        <v>22.248332403618132</v>
      </c>
      <c r="BD83" s="17">
        <v>2.25916098094</v>
      </c>
      <c r="BE83" s="17">
        <v>0</v>
      </c>
      <c r="BF83" s="17">
        <f t="shared" si="42"/>
        <v>24.507493384558131</v>
      </c>
      <c r="BG83" s="17">
        <v>1.5914430893076701</v>
      </c>
      <c r="BH83" s="17">
        <v>19.443800937167119</v>
      </c>
      <c r="BI83" s="17">
        <v>2.25916098094</v>
      </c>
      <c r="BJ83" s="17">
        <v>0</v>
      </c>
      <c r="BK83" s="17">
        <f t="shared" si="43"/>
        <v>23.294405007414788</v>
      </c>
      <c r="BL83" s="17">
        <v>4.3229198206303678</v>
      </c>
      <c r="BM83" s="17">
        <v>27.443800937167119</v>
      </c>
      <c r="BN83" s="17">
        <v>2.25916098094</v>
      </c>
      <c r="BO83" s="17">
        <v>0</v>
      </c>
      <c r="BP83" s="17">
        <f t="shared" si="44"/>
        <v>34.025881738737489</v>
      </c>
      <c r="BQ83" s="17">
        <f t="shared" si="45"/>
        <v>33.657687654350617</v>
      </c>
      <c r="BR83" s="17">
        <f t="shared" si="45"/>
        <v>257.05339290298008</v>
      </c>
      <c r="BS83" s="17">
        <f t="shared" si="45"/>
        <v>22.591609809399994</v>
      </c>
      <c r="BT83" s="17">
        <f t="shared" si="45"/>
        <v>0</v>
      </c>
      <c r="BU83" s="17">
        <f t="shared" si="46"/>
        <v>313.3026903667307</v>
      </c>
    </row>
    <row r="84" spans="1:73" hidden="1" outlineLevel="1">
      <c r="A84" s="27" t="s">
        <v>33</v>
      </c>
      <c r="B84" s="17" t="s">
        <v>183</v>
      </c>
      <c r="C84" s="17" t="s">
        <v>230</v>
      </c>
      <c r="D84" s="31"/>
      <c r="E84" s="33" t="s">
        <v>235</v>
      </c>
      <c r="F84" s="17" t="s">
        <v>236</v>
      </c>
      <c r="G84" s="17" t="s">
        <v>237</v>
      </c>
      <c r="H84" s="18" t="s">
        <v>39</v>
      </c>
      <c r="I84" s="17">
        <v>35.740239705813678</v>
      </c>
      <c r="J84" s="17">
        <v>0</v>
      </c>
      <c r="K84" s="17">
        <v>0</v>
      </c>
      <c r="L84" s="17">
        <v>0</v>
      </c>
      <c r="M84" s="17">
        <f t="shared" si="33"/>
        <v>35.740239705813678</v>
      </c>
      <c r="N84" s="17">
        <v>22.053627044698416</v>
      </c>
      <c r="O84" s="17">
        <v>0</v>
      </c>
      <c r="P84" s="17">
        <v>0</v>
      </c>
      <c r="Q84" s="17">
        <v>0</v>
      </c>
      <c r="R84" s="17">
        <f t="shared" si="34"/>
        <v>22.053627044698416</v>
      </c>
      <c r="S84" s="17">
        <v>30.962649816133521</v>
      </c>
      <c r="T84" s="17">
        <v>0</v>
      </c>
      <c r="U84" s="17">
        <v>0</v>
      </c>
      <c r="V84" s="17">
        <v>0</v>
      </c>
      <c r="W84" s="17">
        <f t="shared" si="35"/>
        <v>30.962649816133521</v>
      </c>
      <c r="X84" s="17">
        <v>37.053627044698416</v>
      </c>
      <c r="Y84" s="17">
        <v>0</v>
      </c>
      <c r="Z84" s="17">
        <v>0</v>
      </c>
      <c r="AA84" s="17">
        <v>0</v>
      </c>
      <c r="AB84" s="17">
        <f t="shared" si="36"/>
        <v>37.053627044698416</v>
      </c>
      <c r="AC84" s="17">
        <v>38.771275661685685</v>
      </c>
      <c r="AD84" s="17">
        <v>0</v>
      </c>
      <c r="AE84" s="17">
        <v>0</v>
      </c>
      <c r="AF84" s="17">
        <v>0</v>
      </c>
      <c r="AG84" s="17">
        <f t="shared" si="37"/>
        <v>38.771275661685685</v>
      </c>
      <c r="AH84" s="17">
        <v>37.040239705813654</v>
      </c>
      <c r="AI84" s="17">
        <v>0</v>
      </c>
      <c r="AJ84" s="17">
        <v>0</v>
      </c>
      <c r="AK84" s="17">
        <v>0</v>
      </c>
      <c r="AL84" s="17">
        <f t="shared" si="38"/>
        <v>37.040239705813654</v>
      </c>
      <c r="AM84" s="17">
        <v>30.770119852906777</v>
      </c>
      <c r="AN84" s="17">
        <v>0</v>
      </c>
      <c r="AO84" s="17">
        <v>0</v>
      </c>
      <c r="AP84" s="17">
        <v>0</v>
      </c>
      <c r="AQ84" s="17">
        <f t="shared" si="39"/>
        <v>30.770119852906777</v>
      </c>
      <c r="AR84" s="17">
        <v>33.770119852906781</v>
      </c>
      <c r="AS84" s="17">
        <v>0</v>
      </c>
      <c r="AT84" s="17">
        <v>0</v>
      </c>
      <c r="AU84" s="17">
        <v>0</v>
      </c>
      <c r="AV84" s="17">
        <f t="shared" si="40"/>
        <v>33.770119852906781</v>
      </c>
      <c r="AW84" s="17">
        <v>21.770119852906777</v>
      </c>
      <c r="AX84" s="17">
        <v>0</v>
      </c>
      <c r="AY84" s="17">
        <v>0</v>
      </c>
      <c r="AZ84" s="17">
        <v>0</v>
      </c>
      <c r="BA84" s="17">
        <f t="shared" si="41"/>
        <v>21.770119852906777</v>
      </c>
      <c r="BB84" s="17">
        <v>22.661562942214488</v>
      </c>
      <c r="BC84" s="17">
        <v>0</v>
      </c>
      <c r="BD84" s="17">
        <v>0</v>
      </c>
      <c r="BE84" s="17">
        <v>0</v>
      </c>
      <c r="BF84" s="17">
        <f t="shared" si="42"/>
        <v>22.661562942214488</v>
      </c>
      <c r="BG84" s="17">
        <v>30.656696902890474</v>
      </c>
      <c r="BH84" s="17">
        <v>0</v>
      </c>
      <c r="BI84" s="17">
        <v>0</v>
      </c>
      <c r="BJ84" s="17">
        <v>0</v>
      </c>
      <c r="BK84" s="17">
        <f t="shared" si="43"/>
        <v>30.656696902890474</v>
      </c>
      <c r="BL84" s="17">
        <v>30.656696902890474</v>
      </c>
      <c r="BM84" s="17">
        <v>0</v>
      </c>
      <c r="BN84" s="17">
        <v>0</v>
      </c>
      <c r="BO84" s="17">
        <v>0</v>
      </c>
      <c r="BP84" s="17">
        <f t="shared" si="44"/>
        <v>30.656696902890474</v>
      </c>
      <c r="BQ84" s="17">
        <f t="shared" si="45"/>
        <v>371.90697528555916</v>
      </c>
      <c r="BR84" s="17">
        <f t="shared" si="45"/>
        <v>0</v>
      </c>
      <c r="BS84" s="17">
        <f t="shared" si="45"/>
        <v>0</v>
      </c>
      <c r="BT84" s="17">
        <f t="shared" si="45"/>
        <v>0</v>
      </c>
      <c r="BU84" s="17">
        <f t="shared" si="46"/>
        <v>371.90697528555916</v>
      </c>
    </row>
    <row r="85" spans="1:73" hidden="1" outlineLevel="1">
      <c r="A85" s="27" t="s">
        <v>33</v>
      </c>
      <c r="B85" s="17" t="s">
        <v>183</v>
      </c>
      <c r="C85" s="17" t="s">
        <v>230</v>
      </c>
      <c r="D85" s="31"/>
      <c r="E85" s="33" t="s">
        <v>235</v>
      </c>
      <c r="F85" s="17" t="s">
        <v>238</v>
      </c>
      <c r="G85" s="17" t="s">
        <v>239</v>
      </c>
      <c r="H85" s="18" t="s">
        <v>45</v>
      </c>
      <c r="I85" s="17">
        <v>85.432421851806794</v>
      </c>
      <c r="J85" s="17">
        <v>130.83300972515812</v>
      </c>
      <c r="K85" s="17">
        <v>9.6014341689950005</v>
      </c>
      <c r="L85" s="17">
        <v>0</v>
      </c>
      <c r="M85" s="17">
        <f t="shared" si="33"/>
        <v>225.86686574595993</v>
      </c>
      <c r="N85" s="17">
        <v>87.43242185180678</v>
      </c>
      <c r="O85" s="17">
        <v>129.83300972515815</v>
      </c>
      <c r="P85" s="17">
        <v>9.6014341689950005</v>
      </c>
      <c r="Q85" s="17">
        <v>0</v>
      </c>
      <c r="R85" s="17">
        <f t="shared" si="34"/>
        <v>226.86686574595996</v>
      </c>
      <c r="S85" s="17">
        <v>90.432421851806808</v>
      </c>
      <c r="T85" s="17">
        <v>125.83300972515815</v>
      </c>
      <c r="U85" s="17">
        <v>9.6014341689950005</v>
      </c>
      <c r="V85" s="17">
        <v>0</v>
      </c>
      <c r="W85" s="17">
        <f t="shared" si="35"/>
        <v>225.86686574595996</v>
      </c>
      <c r="X85" s="17">
        <v>87.43242185180678</v>
      </c>
      <c r="Y85" s="17">
        <v>129.83300972515809</v>
      </c>
      <c r="Z85" s="17">
        <v>9.6014341689950005</v>
      </c>
      <c r="AA85" s="17">
        <v>0</v>
      </c>
      <c r="AB85" s="17">
        <f t="shared" si="36"/>
        <v>226.8668657459599</v>
      </c>
      <c r="AC85" s="17">
        <v>90.432421851806808</v>
      </c>
      <c r="AD85" s="17">
        <v>125.83300972515815</v>
      </c>
      <c r="AE85" s="17">
        <v>9.6014341689950005</v>
      </c>
      <c r="AF85" s="17">
        <v>0</v>
      </c>
      <c r="AG85" s="17">
        <f t="shared" si="37"/>
        <v>225.86686574595996</v>
      </c>
      <c r="AH85" s="17">
        <v>89.43242185180678</v>
      </c>
      <c r="AI85" s="17">
        <v>126.83300972515809</v>
      </c>
      <c r="AJ85" s="17">
        <v>9.6014341689950005</v>
      </c>
      <c r="AK85" s="17">
        <v>0</v>
      </c>
      <c r="AL85" s="17">
        <f t="shared" si="38"/>
        <v>225.8668657459599</v>
      </c>
      <c r="AM85" s="17">
        <v>89.43242185180678</v>
      </c>
      <c r="AN85" s="17">
        <v>126.83300972515809</v>
      </c>
      <c r="AO85" s="17">
        <v>9.6014341689950005</v>
      </c>
      <c r="AP85" s="17">
        <v>0</v>
      </c>
      <c r="AQ85" s="17">
        <f t="shared" si="39"/>
        <v>225.8668657459599</v>
      </c>
      <c r="AR85" s="17">
        <v>88.43242185180678</v>
      </c>
      <c r="AS85" s="17">
        <v>127.83300972515809</v>
      </c>
      <c r="AT85" s="17">
        <v>9.6014341689950005</v>
      </c>
      <c r="AU85" s="17">
        <v>0</v>
      </c>
      <c r="AV85" s="17">
        <f t="shared" si="40"/>
        <v>225.8668657459599</v>
      </c>
      <c r="AW85" s="17">
        <v>82.43242185180678</v>
      </c>
      <c r="AX85" s="17">
        <v>138.33300972515812</v>
      </c>
      <c r="AY85" s="17">
        <v>9.6014341689950005</v>
      </c>
      <c r="AZ85" s="17">
        <v>0</v>
      </c>
      <c r="BA85" s="17">
        <f t="shared" si="41"/>
        <v>230.3668657459599</v>
      </c>
      <c r="BB85" s="17">
        <v>108.95421302197447</v>
      </c>
      <c r="BC85" s="17">
        <v>111.76948176924174</v>
      </c>
      <c r="BD85" s="17">
        <v>6.7774829428200007</v>
      </c>
      <c r="BE85" s="17">
        <v>0</v>
      </c>
      <c r="BF85" s="17">
        <f t="shared" si="42"/>
        <v>227.50117773403619</v>
      </c>
      <c r="BG85" s="17">
        <v>116.21557065429103</v>
      </c>
      <c r="BH85" s="17">
        <v>100.00301370181026</v>
      </c>
      <c r="BI85" s="17">
        <v>8.9236858747130157</v>
      </c>
      <c r="BJ85" s="17">
        <v>0</v>
      </c>
      <c r="BK85" s="17">
        <f t="shared" si="43"/>
        <v>225.14227023081432</v>
      </c>
      <c r="BL85" s="17">
        <v>84.058808646593462</v>
      </c>
      <c r="BM85" s="17">
        <v>146.90301370181024</v>
      </c>
      <c r="BN85" s="17">
        <v>8.9236858747130157</v>
      </c>
      <c r="BO85" s="17">
        <v>0</v>
      </c>
      <c r="BP85" s="17">
        <f t="shared" si="44"/>
        <v>239.88550822311672</v>
      </c>
      <c r="BQ85" s="17">
        <f t="shared" si="45"/>
        <v>1100.1203889891201</v>
      </c>
      <c r="BR85" s="17">
        <f t="shared" si="45"/>
        <v>1520.6725966992851</v>
      </c>
      <c r="BS85" s="17">
        <f t="shared" si="45"/>
        <v>111.03776221320102</v>
      </c>
      <c r="BT85" s="17">
        <f t="shared" si="45"/>
        <v>0</v>
      </c>
      <c r="BU85" s="17">
        <f t="shared" si="46"/>
        <v>2731.8307479016062</v>
      </c>
    </row>
    <row r="86" spans="1:73" collapsed="1">
      <c r="A86" s="24" t="s">
        <v>33</v>
      </c>
      <c r="B86" s="25" t="s">
        <v>240</v>
      </c>
      <c r="C86" s="25"/>
      <c r="D86" s="26"/>
      <c r="E86" s="25" t="s">
        <v>182</v>
      </c>
      <c r="F86" s="25"/>
      <c r="G86" s="25" t="s">
        <v>240</v>
      </c>
      <c r="H86" s="25"/>
      <c r="I86" s="25">
        <f>SUM(I65:I85)</f>
        <v>566.95141980521612</v>
      </c>
      <c r="J86" s="25">
        <f t="shared" ref="J86:BU86" si="47">SUM(J65:J85)</f>
        <v>2238.5439166968245</v>
      </c>
      <c r="K86" s="25">
        <f t="shared" si="47"/>
        <v>27.690155082899416</v>
      </c>
      <c r="L86" s="25">
        <f t="shared" si="47"/>
        <v>0</v>
      </c>
      <c r="M86" s="25">
        <f t="shared" si="47"/>
        <v>2833.1854915849394</v>
      </c>
      <c r="N86" s="25">
        <f t="shared" si="47"/>
        <v>634.84279958940226</v>
      </c>
      <c r="O86" s="25">
        <f t="shared" si="47"/>
        <v>2208.2421887722821</v>
      </c>
      <c r="P86" s="25">
        <f t="shared" si="47"/>
        <v>28.897676466870166</v>
      </c>
      <c r="Q86" s="25">
        <f t="shared" si="47"/>
        <v>0</v>
      </c>
      <c r="R86" s="25">
        <f t="shared" si="47"/>
        <v>2871.9826648285539</v>
      </c>
      <c r="S86" s="25">
        <f t="shared" si="47"/>
        <v>558.72856781836254</v>
      </c>
      <c r="T86" s="25">
        <f t="shared" si="47"/>
        <v>2320.7316774778578</v>
      </c>
      <c r="U86" s="25">
        <f t="shared" si="47"/>
        <v>29.06587318748484</v>
      </c>
      <c r="V86" s="25">
        <f t="shared" si="47"/>
        <v>0</v>
      </c>
      <c r="W86" s="25">
        <f t="shared" si="47"/>
        <v>2908.5261184837041</v>
      </c>
      <c r="X86" s="25">
        <f t="shared" si="47"/>
        <v>637.46064197098565</v>
      </c>
      <c r="Y86" s="25">
        <f t="shared" si="47"/>
        <v>2329.4002761861889</v>
      </c>
      <c r="Z86" s="25">
        <f t="shared" si="47"/>
        <v>32.336125309262982</v>
      </c>
      <c r="AA86" s="25">
        <f t="shared" si="47"/>
        <v>0</v>
      </c>
      <c r="AB86" s="25">
        <f t="shared" si="47"/>
        <v>2999.1970434664372</v>
      </c>
      <c r="AC86" s="25">
        <f t="shared" si="47"/>
        <v>624.37791178679652</v>
      </c>
      <c r="AD86" s="25">
        <f t="shared" si="47"/>
        <v>2385.1480386681505</v>
      </c>
      <c r="AE86" s="25">
        <f t="shared" si="47"/>
        <v>34.331985301046743</v>
      </c>
      <c r="AF86" s="25">
        <f t="shared" si="47"/>
        <v>0</v>
      </c>
      <c r="AG86" s="25">
        <f t="shared" si="47"/>
        <v>3043.8579357559938</v>
      </c>
      <c r="AH86" s="25">
        <f t="shared" si="47"/>
        <v>615.06323412944278</v>
      </c>
      <c r="AI86" s="25">
        <f t="shared" si="47"/>
        <v>2402.0671881947051</v>
      </c>
      <c r="AJ86" s="25">
        <f t="shared" si="47"/>
        <v>37.740120216274825</v>
      </c>
      <c r="AK86" s="25">
        <f t="shared" si="47"/>
        <v>0</v>
      </c>
      <c r="AL86" s="25">
        <f t="shared" si="47"/>
        <v>3054.8705425404228</v>
      </c>
      <c r="AM86" s="25">
        <f t="shared" si="47"/>
        <v>610.65235607769637</v>
      </c>
      <c r="AN86" s="25">
        <f t="shared" si="47"/>
        <v>2318.401452975872</v>
      </c>
      <c r="AO86" s="25">
        <f t="shared" si="47"/>
        <v>37.175123142654371</v>
      </c>
      <c r="AP86" s="25">
        <f t="shared" si="47"/>
        <v>0</v>
      </c>
      <c r="AQ86" s="25">
        <f t="shared" si="47"/>
        <v>2966.2289321962226</v>
      </c>
      <c r="AR86" s="25">
        <f t="shared" si="47"/>
        <v>533.97268323880019</v>
      </c>
      <c r="AS86" s="25">
        <f t="shared" si="47"/>
        <v>2426.4241839440497</v>
      </c>
      <c r="AT86" s="25">
        <f t="shared" si="47"/>
        <v>30.933716933980641</v>
      </c>
      <c r="AU86" s="25">
        <f t="shared" si="47"/>
        <v>0</v>
      </c>
      <c r="AV86" s="25">
        <f t="shared" si="47"/>
        <v>2991.3305841168299</v>
      </c>
      <c r="AW86" s="25">
        <f t="shared" si="47"/>
        <v>488.23129148306953</v>
      </c>
      <c r="AX86" s="25">
        <f t="shared" si="47"/>
        <v>2377.0232397078125</v>
      </c>
      <c r="AY86" s="25">
        <f t="shared" si="47"/>
        <v>32.719523840484335</v>
      </c>
      <c r="AZ86" s="25">
        <f t="shared" si="47"/>
        <v>0</v>
      </c>
      <c r="BA86" s="25">
        <f t="shared" si="47"/>
        <v>2897.9740550313659</v>
      </c>
      <c r="BB86" s="25">
        <f t="shared" si="47"/>
        <v>525.37223688891595</v>
      </c>
      <c r="BC86" s="25">
        <f t="shared" si="47"/>
        <v>2281.8517912215766</v>
      </c>
      <c r="BD86" s="25">
        <f t="shared" si="47"/>
        <v>25.89557261430933</v>
      </c>
      <c r="BE86" s="25">
        <f t="shared" si="47"/>
        <v>0</v>
      </c>
      <c r="BF86" s="25">
        <f t="shared" si="47"/>
        <v>2833.1196007248013</v>
      </c>
      <c r="BG86" s="25">
        <f t="shared" si="47"/>
        <v>703.49271362289801</v>
      </c>
      <c r="BH86" s="25">
        <f t="shared" si="47"/>
        <v>2206.930079052036</v>
      </c>
      <c r="BI86" s="25">
        <f t="shared" si="47"/>
        <v>36.560170155951113</v>
      </c>
      <c r="BJ86" s="25">
        <f t="shared" si="47"/>
        <v>0</v>
      </c>
      <c r="BK86" s="25">
        <f t="shared" si="47"/>
        <v>2946.9829628308853</v>
      </c>
      <c r="BL86" s="25">
        <f t="shared" si="47"/>
        <v>757.19956985892668</v>
      </c>
      <c r="BM86" s="25">
        <f t="shared" si="47"/>
        <v>2128.8905408907858</v>
      </c>
      <c r="BN86" s="25">
        <f t="shared" si="47"/>
        <v>46.653957939455402</v>
      </c>
      <c r="BO86" s="25">
        <f t="shared" si="47"/>
        <v>0</v>
      </c>
      <c r="BP86" s="25">
        <f t="shared" si="47"/>
        <v>2932.7440686891687</v>
      </c>
      <c r="BQ86" s="25">
        <f t="shared" si="47"/>
        <v>7256.3454262705118</v>
      </c>
      <c r="BR86" s="25">
        <f t="shared" si="47"/>
        <v>27623.654573788142</v>
      </c>
      <c r="BS86" s="25">
        <f t="shared" si="47"/>
        <v>400.00000019067414</v>
      </c>
      <c r="BT86" s="25">
        <f t="shared" si="47"/>
        <v>0</v>
      </c>
      <c r="BU86" s="25">
        <f t="shared" si="47"/>
        <v>35280.000000249325</v>
      </c>
    </row>
    <row r="87" spans="1:73">
      <c r="A87" s="34"/>
      <c r="B87" s="34" t="s">
        <v>241</v>
      </c>
      <c r="C87" s="34"/>
      <c r="D87" s="35"/>
      <c r="E87" s="34"/>
      <c r="F87" s="34"/>
      <c r="G87" s="34" t="s">
        <v>241</v>
      </c>
      <c r="H87" s="34"/>
      <c r="I87" s="34">
        <f>I86+I64+I36</f>
        <v>6308.5293194895366</v>
      </c>
      <c r="J87" s="34">
        <f t="shared" ref="J87:BU87" si="48">J86+J64+J36</f>
        <v>7744.2822017801718</v>
      </c>
      <c r="K87" s="34">
        <f t="shared" si="48"/>
        <v>144.31172559367718</v>
      </c>
      <c r="L87" s="34">
        <f t="shared" si="48"/>
        <v>19.459735821573624</v>
      </c>
      <c r="M87" s="34">
        <f t="shared" si="48"/>
        <v>14216.582982684957</v>
      </c>
      <c r="N87" s="34">
        <f t="shared" si="48"/>
        <v>6750.3428368450277</v>
      </c>
      <c r="O87" s="34">
        <f t="shared" si="48"/>
        <v>6476.2893778248726</v>
      </c>
      <c r="P87" s="34">
        <f t="shared" si="48"/>
        <v>135.20242218483895</v>
      </c>
      <c r="Q87" s="34">
        <f t="shared" si="48"/>
        <v>17.607617600812663</v>
      </c>
      <c r="R87" s="34">
        <f t="shared" si="48"/>
        <v>13379.442254455553</v>
      </c>
      <c r="S87" s="34">
        <f t="shared" si="48"/>
        <v>7337.2394040165309</v>
      </c>
      <c r="T87" s="34">
        <f t="shared" si="48"/>
        <v>7085.2981526743652</v>
      </c>
      <c r="U87" s="34">
        <f t="shared" si="48"/>
        <v>208.70698888975977</v>
      </c>
      <c r="V87" s="34">
        <f t="shared" si="48"/>
        <v>13.243812515824066</v>
      </c>
      <c r="W87" s="34">
        <f t="shared" si="48"/>
        <v>14644.488358096478</v>
      </c>
      <c r="X87" s="34">
        <f t="shared" si="48"/>
        <v>8065.7982183104286</v>
      </c>
      <c r="Y87" s="34">
        <f t="shared" si="48"/>
        <v>7346.4405639471897</v>
      </c>
      <c r="Z87" s="34">
        <f t="shared" si="48"/>
        <v>208.55079278335265</v>
      </c>
      <c r="AA87" s="34">
        <f t="shared" si="48"/>
        <v>9.0595341784663805</v>
      </c>
      <c r="AB87" s="34">
        <f t="shared" si="48"/>
        <v>15629.849109219438</v>
      </c>
      <c r="AC87" s="34">
        <f t="shared" si="48"/>
        <v>7745.129787063328</v>
      </c>
      <c r="AD87" s="34">
        <f t="shared" si="48"/>
        <v>8333.2865232686727</v>
      </c>
      <c r="AE87" s="34">
        <f t="shared" si="48"/>
        <v>171.20491346815999</v>
      </c>
      <c r="AF87" s="34">
        <f t="shared" si="48"/>
        <v>0.69184777518970064</v>
      </c>
      <c r="AG87" s="34">
        <f t="shared" si="48"/>
        <v>16250.31307157535</v>
      </c>
      <c r="AH87" s="34">
        <f t="shared" si="48"/>
        <v>8494.735376288816</v>
      </c>
      <c r="AI87" s="34">
        <f t="shared" si="48"/>
        <v>8214.7359800123813</v>
      </c>
      <c r="AJ87" s="34">
        <f t="shared" si="48"/>
        <v>154.97490985942218</v>
      </c>
      <c r="AK87" s="34">
        <f t="shared" si="48"/>
        <v>2.1963680000000001</v>
      </c>
      <c r="AL87" s="34">
        <f t="shared" si="48"/>
        <v>16866.64263416062</v>
      </c>
      <c r="AM87" s="34">
        <f t="shared" si="48"/>
        <v>8501.4177220890379</v>
      </c>
      <c r="AN87" s="34">
        <f t="shared" si="48"/>
        <v>8409.5046568805064</v>
      </c>
      <c r="AO87" s="34">
        <f t="shared" si="48"/>
        <v>51.471256373739379</v>
      </c>
      <c r="AP87" s="34">
        <f t="shared" si="48"/>
        <v>0.72644016394918565</v>
      </c>
      <c r="AQ87" s="34">
        <f t="shared" si="48"/>
        <v>16963.120075507235</v>
      </c>
      <c r="AR87" s="34">
        <f t="shared" si="48"/>
        <v>8645.0180390382629</v>
      </c>
      <c r="AS87" s="34">
        <f t="shared" si="48"/>
        <v>8656.6576377968413</v>
      </c>
      <c r="AT87" s="34">
        <f t="shared" si="48"/>
        <v>197.32269354194293</v>
      </c>
      <c r="AU87" s="34">
        <f t="shared" si="48"/>
        <v>3.1271369407009479</v>
      </c>
      <c r="AV87" s="34">
        <f t="shared" si="48"/>
        <v>17502.125507317745</v>
      </c>
      <c r="AW87" s="34">
        <f t="shared" si="48"/>
        <v>8464.941463840767</v>
      </c>
      <c r="AX87" s="34">
        <f t="shared" si="48"/>
        <v>8634.2339340740109</v>
      </c>
      <c r="AY87" s="34">
        <f t="shared" si="48"/>
        <v>154.46657730673604</v>
      </c>
      <c r="AZ87" s="34">
        <f t="shared" si="48"/>
        <v>0.8</v>
      </c>
      <c r="BA87" s="34">
        <f t="shared" si="48"/>
        <v>17254.441975221511</v>
      </c>
      <c r="BB87" s="34">
        <f t="shared" si="48"/>
        <v>8080.6343922560009</v>
      </c>
      <c r="BC87" s="34">
        <f t="shared" si="48"/>
        <v>8232.7800421045231</v>
      </c>
      <c r="BD87" s="34">
        <f t="shared" si="48"/>
        <v>108.23974984785474</v>
      </c>
      <c r="BE87" s="34">
        <f t="shared" si="48"/>
        <v>0.79562494146815566</v>
      </c>
      <c r="BF87" s="34">
        <f t="shared" si="48"/>
        <v>16422.449809149846</v>
      </c>
      <c r="BG87" s="34">
        <f t="shared" si="48"/>
        <v>8072.4364831004768</v>
      </c>
      <c r="BH87" s="34">
        <f t="shared" si="48"/>
        <v>8249.1386724784916</v>
      </c>
      <c r="BI87" s="34">
        <f t="shared" si="48"/>
        <v>94.560679327623873</v>
      </c>
      <c r="BJ87" s="34">
        <f t="shared" si="48"/>
        <v>0.72644016394918565</v>
      </c>
      <c r="BK87" s="34">
        <f t="shared" si="48"/>
        <v>16416.862275070544</v>
      </c>
      <c r="BL87" s="34">
        <f t="shared" si="48"/>
        <v>8278.8864549398422</v>
      </c>
      <c r="BM87" s="34">
        <f t="shared" si="48"/>
        <v>8072.7638822462332</v>
      </c>
      <c r="BN87" s="34">
        <f t="shared" si="48"/>
        <v>101.42506445141044</v>
      </c>
      <c r="BO87" s="34">
        <f t="shared" si="48"/>
        <v>0.72476574539919525</v>
      </c>
      <c r="BP87" s="34">
        <f t="shared" si="48"/>
        <v>16453.800167382884</v>
      </c>
      <c r="BQ87" s="34">
        <f t="shared" si="48"/>
        <v>94745.109497278041</v>
      </c>
      <c r="BR87" s="34">
        <f t="shared" si="48"/>
        <v>95455.411625088251</v>
      </c>
      <c r="BS87" s="34">
        <f t="shared" si="48"/>
        <v>1730.4377736285182</v>
      </c>
      <c r="BT87" s="34">
        <f t="shared" si="48"/>
        <v>69.159323847333113</v>
      </c>
      <c r="BU87" s="34">
        <f t="shared" si="48"/>
        <v>192000.11821984214</v>
      </c>
    </row>
    <row r="88" spans="1:73" hidden="1" outlineLevel="1">
      <c r="A88" s="16" t="s">
        <v>242</v>
      </c>
      <c r="B88" s="17" t="s">
        <v>243</v>
      </c>
      <c r="C88" s="17" t="s">
        <v>244</v>
      </c>
      <c r="D88" s="17"/>
      <c r="E88" s="17" t="s">
        <v>245</v>
      </c>
      <c r="F88" s="18" t="s">
        <v>246</v>
      </c>
      <c r="G88" s="17" t="s">
        <v>247</v>
      </c>
      <c r="H88" s="17" t="s">
        <v>39</v>
      </c>
      <c r="I88" s="17">
        <v>0</v>
      </c>
      <c r="J88" s="17">
        <v>0</v>
      </c>
      <c r="K88" s="17">
        <v>0</v>
      </c>
      <c r="L88" s="17">
        <v>0</v>
      </c>
      <c r="M88" s="17">
        <f t="shared" ref="M88:M104" si="49">I88+J88+L88+K88</f>
        <v>0</v>
      </c>
      <c r="N88" s="17">
        <v>0</v>
      </c>
      <c r="O88" s="17">
        <v>0</v>
      </c>
      <c r="P88" s="17">
        <v>0</v>
      </c>
      <c r="Q88" s="17">
        <v>0</v>
      </c>
      <c r="R88" s="17">
        <f t="shared" ref="R88:R104" si="50">N88+O88+Q88+P88</f>
        <v>0</v>
      </c>
      <c r="S88" s="17">
        <v>0</v>
      </c>
      <c r="T88" s="17">
        <v>0</v>
      </c>
      <c r="U88" s="17">
        <v>0</v>
      </c>
      <c r="V88" s="17">
        <v>0</v>
      </c>
      <c r="W88" s="17">
        <f t="shared" ref="W88:W104" si="51">S88+T88+V88+U88</f>
        <v>0</v>
      </c>
      <c r="X88" s="17">
        <v>0</v>
      </c>
      <c r="Y88" s="17">
        <v>0</v>
      </c>
      <c r="Z88" s="17">
        <v>0</v>
      </c>
      <c r="AA88" s="17">
        <v>0</v>
      </c>
      <c r="AB88" s="17">
        <f t="shared" ref="AB88:AB104" si="52">X88+Y88+AA88+Z88</f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f t="shared" ref="AG88:AG104" si="53">AC88+AD88+AF88+AE88</f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f t="shared" ref="AL88:AL104" si="54">AH88+AI88+AK88+AJ88</f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f t="shared" ref="AQ88:AQ104" si="55">AM88+AN88+AP88+AO88</f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f t="shared" ref="AV88:AV104" si="56">AR88+AS88+AU88+AT88</f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f t="shared" ref="BA88:BA104" si="57">AW88+AX88+AZ88+AY88</f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f t="shared" ref="BF88:BF104" si="58">BB88+BC88+BE88+BD88</f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f t="shared" ref="BK88:BK104" si="59">BG88+BH88+BJ88+BI88</f>
        <v>0</v>
      </c>
      <c r="BL88" s="17">
        <v>0</v>
      </c>
      <c r="BM88" s="36">
        <v>0</v>
      </c>
      <c r="BN88" s="36">
        <v>0</v>
      </c>
      <c r="BO88" s="17">
        <v>0</v>
      </c>
      <c r="BP88" s="17">
        <f t="shared" ref="BP88:BP104" si="60">BL88+BM88+BO88+BN88</f>
        <v>0</v>
      </c>
      <c r="BQ88" s="17">
        <f t="shared" ref="BQ88:BT104" si="61">BL88+BG88+BB88+AW88+AR88+AM88+AH88+AC88+X88+S88+N88+I88</f>
        <v>0</v>
      </c>
      <c r="BR88" s="17">
        <f t="shared" si="61"/>
        <v>0</v>
      </c>
      <c r="BS88" s="17">
        <f t="shared" si="61"/>
        <v>0</v>
      </c>
      <c r="BT88" s="17">
        <f t="shared" si="61"/>
        <v>0</v>
      </c>
      <c r="BU88" s="17">
        <f t="shared" ref="BU88:BU104" si="62">BQ88+BR88+BT88+BS88</f>
        <v>0</v>
      </c>
    </row>
    <row r="89" spans="1:73" hidden="1" outlineLevel="1">
      <c r="A89" s="16" t="s">
        <v>242</v>
      </c>
      <c r="B89" s="17" t="s">
        <v>243</v>
      </c>
      <c r="C89" s="17" t="s">
        <v>244</v>
      </c>
      <c r="D89" s="18"/>
      <c r="E89" s="18" t="s">
        <v>245</v>
      </c>
      <c r="F89" s="18" t="s">
        <v>248</v>
      </c>
      <c r="G89" s="18" t="s">
        <v>249</v>
      </c>
      <c r="H89" s="17" t="s">
        <v>39</v>
      </c>
      <c r="I89" s="17">
        <v>0</v>
      </c>
      <c r="J89" s="17">
        <v>0</v>
      </c>
      <c r="K89" s="17">
        <v>0</v>
      </c>
      <c r="L89" s="17">
        <v>0</v>
      </c>
      <c r="M89" s="17">
        <f t="shared" si="49"/>
        <v>0</v>
      </c>
      <c r="N89" s="17">
        <v>0</v>
      </c>
      <c r="O89" s="17">
        <v>0</v>
      </c>
      <c r="P89" s="17">
        <v>0</v>
      </c>
      <c r="Q89" s="17">
        <v>0</v>
      </c>
      <c r="R89" s="17">
        <f t="shared" si="50"/>
        <v>0</v>
      </c>
      <c r="S89" s="17">
        <v>0</v>
      </c>
      <c r="T89" s="17">
        <v>0</v>
      </c>
      <c r="U89" s="17">
        <v>0</v>
      </c>
      <c r="V89" s="17">
        <v>0</v>
      </c>
      <c r="W89" s="17">
        <f t="shared" si="51"/>
        <v>0</v>
      </c>
      <c r="X89" s="17">
        <v>0</v>
      </c>
      <c r="Y89" s="17">
        <v>0</v>
      </c>
      <c r="Z89" s="17">
        <v>0</v>
      </c>
      <c r="AA89" s="17">
        <v>0</v>
      </c>
      <c r="AB89" s="17">
        <f t="shared" si="52"/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f t="shared" si="53"/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f t="shared" si="54"/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f t="shared" si="55"/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f t="shared" si="56"/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f t="shared" si="57"/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f t="shared" si="58"/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f t="shared" si="59"/>
        <v>0</v>
      </c>
      <c r="BL89" s="17">
        <v>0</v>
      </c>
      <c r="BM89" s="36">
        <v>0</v>
      </c>
      <c r="BN89" s="36">
        <v>0</v>
      </c>
      <c r="BO89" s="17">
        <v>0</v>
      </c>
      <c r="BP89" s="17">
        <f t="shared" si="60"/>
        <v>0</v>
      </c>
      <c r="BQ89" s="17">
        <f t="shared" si="61"/>
        <v>0</v>
      </c>
      <c r="BR89" s="17">
        <f t="shared" si="61"/>
        <v>0</v>
      </c>
      <c r="BS89" s="17">
        <f t="shared" si="61"/>
        <v>0</v>
      </c>
      <c r="BT89" s="17">
        <f t="shared" si="61"/>
        <v>0</v>
      </c>
      <c r="BU89" s="17">
        <f t="shared" si="62"/>
        <v>0</v>
      </c>
    </row>
    <row r="90" spans="1:73" hidden="1" outlineLevel="1">
      <c r="A90" s="16" t="s">
        <v>242</v>
      </c>
      <c r="B90" s="17" t="s">
        <v>243</v>
      </c>
      <c r="C90" s="17" t="s">
        <v>244</v>
      </c>
      <c r="D90" s="18"/>
      <c r="E90" s="18" t="s">
        <v>250</v>
      </c>
      <c r="F90" s="18" t="s">
        <v>251</v>
      </c>
      <c r="G90" s="18" t="s">
        <v>252</v>
      </c>
      <c r="H90" s="17" t="s">
        <v>39</v>
      </c>
      <c r="I90" s="17">
        <v>0</v>
      </c>
      <c r="J90" s="17">
        <v>0</v>
      </c>
      <c r="K90" s="17">
        <v>0</v>
      </c>
      <c r="L90" s="17">
        <v>0</v>
      </c>
      <c r="M90" s="17">
        <f t="shared" si="49"/>
        <v>0</v>
      </c>
      <c r="N90" s="17">
        <v>0</v>
      </c>
      <c r="O90" s="17">
        <v>0</v>
      </c>
      <c r="P90" s="17">
        <v>0</v>
      </c>
      <c r="Q90" s="17">
        <v>0</v>
      </c>
      <c r="R90" s="17">
        <f t="shared" si="50"/>
        <v>0</v>
      </c>
      <c r="S90" s="17">
        <v>0</v>
      </c>
      <c r="T90" s="17">
        <v>0</v>
      </c>
      <c r="U90" s="17">
        <v>0</v>
      </c>
      <c r="V90" s="17">
        <v>0</v>
      </c>
      <c r="W90" s="17">
        <f t="shared" si="51"/>
        <v>0</v>
      </c>
      <c r="X90" s="17">
        <v>0</v>
      </c>
      <c r="Y90" s="17">
        <v>0</v>
      </c>
      <c r="Z90" s="17">
        <v>0</v>
      </c>
      <c r="AA90" s="17">
        <v>0</v>
      </c>
      <c r="AB90" s="17">
        <f t="shared" si="52"/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f t="shared" si="53"/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f t="shared" si="54"/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f t="shared" si="55"/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f t="shared" si="56"/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f t="shared" si="57"/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f t="shared" si="58"/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f t="shared" si="59"/>
        <v>0</v>
      </c>
      <c r="BL90" s="17">
        <v>0</v>
      </c>
      <c r="BM90" s="36">
        <v>0</v>
      </c>
      <c r="BN90" s="36">
        <v>0</v>
      </c>
      <c r="BO90" s="17">
        <v>0</v>
      </c>
      <c r="BP90" s="17">
        <f t="shared" si="60"/>
        <v>0</v>
      </c>
      <c r="BQ90" s="17">
        <f t="shared" si="61"/>
        <v>0</v>
      </c>
      <c r="BR90" s="17">
        <f t="shared" si="61"/>
        <v>0</v>
      </c>
      <c r="BS90" s="17">
        <f t="shared" si="61"/>
        <v>0</v>
      </c>
      <c r="BT90" s="17">
        <f t="shared" si="61"/>
        <v>0</v>
      </c>
      <c r="BU90" s="17">
        <f t="shared" si="62"/>
        <v>0</v>
      </c>
    </row>
    <row r="91" spans="1:73" hidden="1" outlineLevel="1">
      <c r="A91" s="16" t="s">
        <v>242</v>
      </c>
      <c r="B91" s="17" t="s">
        <v>243</v>
      </c>
      <c r="C91" s="17" t="s">
        <v>244</v>
      </c>
      <c r="D91" s="18"/>
      <c r="E91" s="37" t="s">
        <v>253</v>
      </c>
      <c r="F91" s="18" t="s">
        <v>254</v>
      </c>
      <c r="G91" s="18" t="s">
        <v>255</v>
      </c>
      <c r="H91" s="17" t="s">
        <v>45</v>
      </c>
      <c r="I91" s="17">
        <v>43.636031672080001</v>
      </c>
      <c r="J91" s="17">
        <v>32.336966946827658</v>
      </c>
      <c r="K91" s="17">
        <v>0</v>
      </c>
      <c r="L91" s="17">
        <v>0</v>
      </c>
      <c r="M91" s="17">
        <f t="shared" si="49"/>
        <v>75.972998618907667</v>
      </c>
      <c r="N91" s="17">
        <v>15.636031672080003</v>
      </c>
      <c r="O91" s="17">
        <v>58.336966946827637</v>
      </c>
      <c r="P91" s="17">
        <v>0</v>
      </c>
      <c r="Q91" s="17">
        <v>0</v>
      </c>
      <c r="R91" s="17">
        <f t="shared" si="50"/>
        <v>73.972998618907639</v>
      </c>
      <c r="S91" s="17">
        <v>15.636031672080003</v>
      </c>
      <c r="T91" s="17">
        <v>60.336966946827637</v>
      </c>
      <c r="U91" s="17">
        <v>0</v>
      </c>
      <c r="V91" s="17">
        <v>0</v>
      </c>
      <c r="W91" s="17">
        <f t="shared" si="51"/>
        <v>75.972998618907639</v>
      </c>
      <c r="X91" s="17">
        <v>49.745993672080004</v>
      </c>
      <c r="Y91" s="17">
        <v>26.227004999999998</v>
      </c>
      <c r="Z91" s="17">
        <v>0</v>
      </c>
      <c r="AA91" s="17">
        <v>0</v>
      </c>
      <c r="AB91" s="17">
        <f t="shared" si="52"/>
        <v>75.972998672079996</v>
      </c>
      <c r="AC91" s="17">
        <v>65.636031672080023</v>
      </c>
      <c r="AD91" s="17">
        <v>10.336966946827664</v>
      </c>
      <c r="AE91" s="17">
        <v>0</v>
      </c>
      <c r="AF91" s="17">
        <v>0</v>
      </c>
      <c r="AG91" s="17">
        <f t="shared" si="53"/>
        <v>75.972998618907681</v>
      </c>
      <c r="AH91" s="17">
        <v>65.636031672080023</v>
      </c>
      <c r="AI91" s="17">
        <v>11.336966946827664</v>
      </c>
      <c r="AJ91" s="17">
        <v>0</v>
      </c>
      <c r="AK91" s="17">
        <v>0</v>
      </c>
      <c r="AL91" s="17">
        <f t="shared" si="54"/>
        <v>76.972998618907681</v>
      </c>
      <c r="AM91" s="17">
        <v>65.636031672080023</v>
      </c>
      <c r="AN91" s="17">
        <v>12.336966946827667</v>
      </c>
      <c r="AO91" s="17">
        <v>0</v>
      </c>
      <c r="AP91" s="17">
        <v>0</v>
      </c>
      <c r="AQ91" s="17">
        <f t="shared" si="55"/>
        <v>77.972998618907695</v>
      </c>
      <c r="AR91" s="17">
        <v>65.636031672080023</v>
      </c>
      <c r="AS91" s="17">
        <v>12.336966946827667</v>
      </c>
      <c r="AT91" s="17">
        <v>0</v>
      </c>
      <c r="AU91" s="17">
        <v>0</v>
      </c>
      <c r="AV91" s="17">
        <f t="shared" si="56"/>
        <v>77.972998618907695</v>
      </c>
      <c r="AW91" s="17">
        <v>65.636031672080023</v>
      </c>
      <c r="AX91" s="17">
        <v>12.336966946827667</v>
      </c>
      <c r="AY91" s="17">
        <v>0</v>
      </c>
      <c r="AZ91" s="17">
        <v>0</v>
      </c>
      <c r="BA91" s="17">
        <f t="shared" si="57"/>
        <v>77.972998618907695</v>
      </c>
      <c r="BB91" s="17">
        <v>54.696693060066686</v>
      </c>
      <c r="BC91" s="17">
        <v>21.280805789023056</v>
      </c>
      <c r="BD91" s="17">
        <v>0</v>
      </c>
      <c r="BE91" s="17">
        <v>0</v>
      </c>
      <c r="BF91" s="17">
        <f t="shared" si="58"/>
        <v>75.977498849089741</v>
      </c>
      <c r="BG91" s="17">
        <v>65.696693060066707</v>
      </c>
      <c r="BH91" s="17">
        <v>10.280805789023054</v>
      </c>
      <c r="BI91" s="17">
        <v>0</v>
      </c>
      <c r="BJ91" s="17">
        <v>0</v>
      </c>
      <c r="BK91" s="17">
        <f t="shared" si="59"/>
        <v>75.977498849089756</v>
      </c>
      <c r="BL91" s="17">
        <v>65.696693060066707</v>
      </c>
      <c r="BM91" s="36">
        <v>10.280805789023054</v>
      </c>
      <c r="BN91" s="36">
        <v>0</v>
      </c>
      <c r="BO91" s="17">
        <v>0</v>
      </c>
      <c r="BP91" s="17">
        <f t="shared" si="60"/>
        <v>75.977498849089756</v>
      </c>
      <c r="BQ91" s="17">
        <f t="shared" si="61"/>
        <v>638.92432622892011</v>
      </c>
      <c r="BR91" s="17">
        <f t="shared" si="61"/>
        <v>277.7651579416904</v>
      </c>
      <c r="BS91" s="17">
        <f t="shared" si="61"/>
        <v>0</v>
      </c>
      <c r="BT91" s="17">
        <f t="shared" si="61"/>
        <v>0</v>
      </c>
      <c r="BU91" s="17">
        <f t="shared" si="62"/>
        <v>916.68948417061051</v>
      </c>
    </row>
    <row r="92" spans="1:73" s="38" customFormat="1" hidden="1" outlineLevel="1">
      <c r="A92" s="16" t="s">
        <v>242</v>
      </c>
      <c r="B92" s="17" t="s">
        <v>243</v>
      </c>
      <c r="C92" s="17" t="s">
        <v>244</v>
      </c>
      <c r="D92" s="18"/>
      <c r="E92" s="18" t="s">
        <v>250</v>
      </c>
      <c r="F92" s="18" t="s">
        <v>256</v>
      </c>
      <c r="G92" s="18" t="s">
        <v>257</v>
      </c>
      <c r="H92" s="17" t="s">
        <v>45</v>
      </c>
      <c r="I92" s="17">
        <v>87.708890759781127</v>
      </c>
      <c r="J92" s="17">
        <v>62.377944735655902</v>
      </c>
      <c r="K92" s="17">
        <v>0</v>
      </c>
      <c r="L92" s="17">
        <v>0</v>
      </c>
      <c r="M92" s="17">
        <f t="shared" si="49"/>
        <v>150.08683549543701</v>
      </c>
      <c r="N92" s="17">
        <v>97.708890759781099</v>
      </c>
      <c r="O92" s="17">
        <v>52.377944735655895</v>
      </c>
      <c r="P92" s="17">
        <v>0</v>
      </c>
      <c r="Q92" s="17">
        <v>0</v>
      </c>
      <c r="R92" s="17">
        <f t="shared" si="50"/>
        <v>150.08683549543699</v>
      </c>
      <c r="S92" s="17">
        <v>157.70889075978113</v>
      </c>
      <c r="T92" s="17">
        <v>67.377944735655916</v>
      </c>
      <c r="U92" s="17">
        <v>0</v>
      </c>
      <c r="V92" s="17">
        <v>0</v>
      </c>
      <c r="W92" s="17">
        <f t="shared" si="51"/>
        <v>225.08683549543704</v>
      </c>
      <c r="X92" s="17">
        <v>157.70889075978113</v>
      </c>
      <c r="Y92" s="17">
        <v>67.377944735655916</v>
      </c>
      <c r="Z92" s="17">
        <v>0</v>
      </c>
      <c r="AA92" s="17">
        <v>0</v>
      </c>
      <c r="AB92" s="17">
        <f t="shared" si="52"/>
        <v>225.08683549543704</v>
      </c>
      <c r="AC92" s="17">
        <v>157.70889075978113</v>
      </c>
      <c r="AD92" s="17">
        <v>67.377944735655916</v>
      </c>
      <c r="AE92" s="17">
        <v>0</v>
      </c>
      <c r="AF92" s="17">
        <v>0</v>
      </c>
      <c r="AG92" s="17">
        <f t="shared" si="53"/>
        <v>225.08683549543704</v>
      </c>
      <c r="AH92" s="17">
        <v>137.7088907597811</v>
      </c>
      <c r="AI92" s="17">
        <v>87.377944735655902</v>
      </c>
      <c r="AJ92" s="17">
        <v>0</v>
      </c>
      <c r="AK92" s="17">
        <v>0</v>
      </c>
      <c r="AL92" s="17">
        <f t="shared" si="54"/>
        <v>225.08683549543701</v>
      </c>
      <c r="AM92" s="17">
        <v>157.70889075978118</v>
      </c>
      <c r="AN92" s="17">
        <v>67.377944735655916</v>
      </c>
      <c r="AO92" s="17">
        <v>0</v>
      </c>
      <c r="AP92" s="17">
        <v>0</v>
      </c>
      <c r="AQ92" s="17">
        <f t="shared" si="55"/>
        <v>225.0868354954371</v>
      </c>
      <c r="AR92" s="17">
        <v>157.70889075978113</v>
      </c>
      <c r="AS92" s="17">
        <v>67.377944735655916</v>
      </c>
      <c r="AT92" s="17">
        <v>0</v>
      </c>
      <c r="AU92" s="17">
        <v>0</v>
      </c>
      <c r="AV92" s="17">
        <f t="shared" si="56"/>
        <v>225.08683549543704</v>
      </c>
      <c r="AW92" s="17">
        <v>157.70889075978113</v>
      </c>
      <c r="AX92" s="17">
        <v>67.377944735655916</v>
      </c>
      <c r="AY92" s="17">
        <v>0</v>
      </c>
      <c r="AZ92" s="17">
        <v>0</v>
      </c>
      <c r="BA92" s="17">
        <f t="shared" si="57"/>
        <v>225.08683549543704</v>
      </c>
      <c r="BB92" s="17">
        <v>157.70889075978113</v>
      </c>
      <c r="BC92" s="17">
        <v>67.377944735655916</v>
      </c>
      <c r="BD92" s="17">
        <v>0</v>
      </c>
      <c r="BE92" s="17">
        <v>0</v>
      </c>
      <c r="BF92" s="17">
        <f t="shared" si="58"/>
        <v>225.08683549543704</v>
      </c>
      <c r="BG92" s="17">
        <v>157.70889075978113</v>
      </c>
      <c r="BH92" s="17">
        <v>67.377944735655916</v>
      </c>
      <c r="BI92" s="17">
        <v>0</v>
      </c>
      <c r="BJ92" s="17">
        <v>0</v>
      </c>
      <c r="BK92" s="17">
        <f t="shared" si="59"/>
        <v>225.08683549543704</v>
      </c>
      <c r="BL92" s="17">
        <v>157.70889075978101</v>
      </c>
      <c r="BM92" s="36">
        <v>67.377944735655916</v>
      </c>
      <c r="BN92" s="36">
        <v>0</v>
      </c>
      <c r="BO92" s="17">
        <v>0</v>
      </c>
      <c r="BP92" s="17">
        <f t="shared" si="60"/>
        <v>225.08683549543693</v>
      </c>
      <c r="BQ92" s="17">
        <f t="shared" si="61"/>
        <v>1742.5066891173733</v>
      </c>
      <c r="BR92" s="17">
        <f t="shared" si="61"/>
        <v>808.53533682787076</v>
      </c>
      <c r="BS92" s="17">
        <f t="shared" si="61"/>
        <v>0</v>
      </c>
      <c r="BT92" s="17">
        <f t="shared" si="61"/>
        <v>0</v>
      </c>
      <c r="BU92" s="17">
        <f t="shared" si="62"/>
        <v>2551.0420259452439</v>
      </c>
    </row>
    <row r="93" spans="1:73" s="38" customFormat="1" hidden="1" outlineLevel="1">
      <c r="A93" s="16" t="s">
        <v>242</v>
      </c>
      <c r="B93" s="17" t="s">
        <v>243</v>
      </c>
      <c r="C93" s="17" t="s">
        <v>244</v>
      </c>
      <c r="D93" s="18"/>
      <c r="E93" s="18" t="s">
        <v>258</v>
      </c>
      <c r="F93" s="18" t="s">
        <v>259</v>
      </c>
      <c r="G93" s="18" t="s">
        <v>260</v>
      </c>
      <c r="H93" s="17" t="s">
        <v>39</v>
      </c>
      <c r="I93" s="17">
        <v>0</v>
      </c>
      <c r="J93" s="17">
        <v>0</v>
      </c>
      <c r="K93" s="17">
        <v>0</v>
      </c>
      <c r="L93" s="17">
        <v>0</v>
      </c>
      <c r="M93" s="17">
        <f t="shared" si="49"/>
        <v>0</v>
      </c>
      <c r="N93" s="17">
        <v>0</v>
      </c>
      <c r="O93" s="17">
        <v>0</v>
      </c>
      <c r="P93" s="17">
        <v>0</v>
      </c>
      <c r="Q93" s="17">
        <v>0</v>
      </c>
      <c r="R93" s="17">
        <f t="shared" si="50"/>
        <v>0</v>
      </c>
      <c r="S93" s="17">
        <v>0</v>
      </c>
      <c r="T93" s="17">
        <v>0</v>
      </c>
      <c r="U93" s="17">
        <v>0</v>
      </c>
      <c r="V93" s="17">
        <v>0</v>
      </c>
      <c r="W93" s="17">
        <f t="shared" si="51"/>
        <v>0</v>
      </c>
      <c r="X93" s="17">
        <v>0</v>
      </c>
      <c r="Y93" s="17">
        <v>0</v>
      </c>
      <c r="Z93" s="17">
        <v>0</v>
      </c>
      <c r="AA93" s="17">
        <v>0</v>
      </c>
      <c r="AB93" s="17">
        <f t="shared" si="52"/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f t="shared" si="53"/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f t="shared" si="54"/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f t="shared" si="55"/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f t="shared" si="56"/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f t="shared" si="57"/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f t="shared" si="58"/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f t="shared" si="59"/>
        <v>0</v>
      </c>
      <c r="BL93" s="17">
        <v>0</v>
      </c>
      <c r="BM93" s="36">
        <v>0</v>
      </c>
      <c r="BN93" s="36">
        <v>0</v>
      </c>
      <c r="BO93" s="17">
        <v>0</v>
      </c>
      <c r="BP93" s="17">
        <f t="shared" si="60"/>
        <v>0</v>
      </c>
      <c r="BQ93" s="17">
        <f t="shared" si="61"/>
        <v>0</v>
      </c>
      <c r="BR93" s="17">
        <f t="shared" si="61"/>
        <v>0</v>
      </c>
      <c r="BS93" s="17">
        <f t="shared" si="61"/>
        <v>0</v>
      </c>
      <c r="BT93" s="17">
        <f t="shared" si="61"/>
        <v>0</v>
      </c>
      <c r="BU93" s="17">
        <f t="shared" si="62"/>
        <v>0</v>
      </c>
    </row>
    <row r="94" spans="1:73" s="38" customFormat="1" hidden="1" outlineLevel="1">
      <c r="A94" s="16" t="s">
        <v>242</v>
      </c>
      <c r="B94" s="17" t="s">
        <v>243</v>
      </c>
      <c r="C94" s="17" t="s">
        <v>261</v>
      </c>
      <c r="D94" s="18" t="s">
        <v>262</v>
      </c>
      <c r="E94" s="18" t="s">
        <v>263</v>
      </c>
      <c r="F94" s="18" t="s">
        <v>264</v>
      </c>
      <c r="G94" s="18" t="s">
        <v>265</v>
      </c>
      <c r="H94" s="17" t="s">
        <v>45</v>
      </c>
      <c r="I94" s="17">
        <v>3.5328176827714453</v>
      </c>
      <c r="J94" s="17">
        <v>1847.7176647074702</v>
      </c>
      <c r="K94" s="17">
        <v>0</v>
      </c>
      <c r="L94" s="17">
        <v>0</v>
      </c>
      <c r="M94" s="17">
        <f t="shared" si="49"/>
        <v>1851.2504823902416</v>
      </c>
      <c r="N94" s="17">
        <v>76.387658981997134</v>
      </c>
      <c r="O94" s="17">
        <v>1834.5885343769999</v>
      </c>
      <c r="P94" s="17">
        <v>0</v>
      </c>
      <c r="Q94" s="17">
        <v>0</v>
      </c>
      <c r="R94" s="17">
        <f t="shared" si="50"/>
        <v>1910.9761933589971</v>
      </c>
      <c r="S94" s="17">
        <v>12.294619547779975</v>
      </c>
      <c r="T94" s="17">
        <v>2750.653842421224</v>
      </c>
      <c r="U94" s="17">
        <v>0</v>
      </c>
      <c r="V94" s="17">
        <v>0</v>
      </c>
      <c r="W94" s="17">
        <f t="shared" si="51"/>
        <v>2762.9484619690038</v>
      </c>
      <c r="X94" s="17">
        <v>22.604598215289187</v>
      </c>
      <c r="Y94" s="17">
        <v>2478.7591899629087</v>
      </c>
      <c r="Z94" s="17">
        <v>0</v>
      </c>
      <c r="AA94" s="17">
        <v>0</v>
      </c>
      <c r="AB94" s="17">
        <f t="shared" si="52"/>
        <v>2501.3637881781979</v>
      </c>
      <c r="AC94" s="17">
        <v>23.359674456657846</v>
      </c>
      <c r="AD94" s="17">
        <v>2766.5799083336788</v>
      </c>
      <c r="AE94" s="17">
        <v>0</v>
      </c>
      <c r="AF94" s="17">
        <v>0</v>
      </c>
      <c r="AG94" s="17">
        <f t="shared" si="53"/>
        <v>2789.9395827903368</v>
      </c>
      <c r="AH94" s="17">
        <v>1.5338390070995171</v>
      </c>
      <c r="AI94" s="17">
        <v>3067.0564965736817</v>
      </c>
      <c r="AJ94" s="17">
        <v>0</v>
      </c>
      <c r="AK94" s="17">
        <v>0</v>
      </c>
      <c r="AL94" s="17">
        <f t="shared" si="54"/>
        <v>3068.5903355807814</v>
      </c>
      <c r="AM94" s="17">
        <v>0</v>
      </c>
      <c r="AN94" s="17">
        <v>3045.4748420848277</v>
      </c>
      <c r="AO94" s="17">
        <v>0</v>
      </c>
      <c r="AP94" s="17">
        <v>0</v>
      </c>
      <c r="AQ94" s="17">
        <f t="shared" si="55"/>
        <v>3045.4748420848277</v>
      </c>
      <c r="AR94" s="17">
        <v>2.3800547717796161</v>
      </c>
      <c r="AS94" s="17">
        <v>3076.7993941891505</v>
      </c>
      <c r="AT94" s="17">
        <v>0</v>
      </c>
      <c r="AU94" s="17">
        <v>0</v>
      </c>
      <c r="AV94" s="17">
        <f t="shared" si="56"/>
        <v>3079.1794489609301</v>
      </c>
      <c r="AW94" s="17">
        <v>16.487406147410024</v>
      </c>
      <c r="AX94" s="17">
        <v>2807.5315744105719</v>
      </c>
      <c r="AY94" s="17">
        <v>0</v>
      </c>
      <c r="AZ94" s="17">
        <v>0</v>
      </c>
      <c r="BA94" s="17">
        <f t="shared" si="57"/>
        <v>2824.0189805579821</v>
      </c>
      <c r="BB94" s="17">
        <v>20.012372571022826</v>
      </c>
      <c r="BC94" s="17">
        <v>2633.6001609564323</v>
      </c>
      <c r="BD94" s="17">
        <v>0</v>
      </c>
      <c r="BE94" s="17">
        <v>0</v>
      </c>
      <c r="BF94" s="17">
        <f t="shared" si="58"/>
        <v>2653.6125335274551</v>
      </c>
      <c r="BG94" s="17">
        <v>18.511290169974867</v>
      </c>
      <c r="BH94" s="17">
        <v>2275.5731903739857</v>
      </c>
      <c r="BI94" s="17">
        <v>0</v>
      </c>
      <c r="BJ94" s="17">
        <v>0</v>
      </c>
      <c r="BK94" s="17">
        <f t="shared" si="59"/>
        <v>2294.0844805439606</v>
      </c>
      <c r="BL94" s="17">
        <v>17.78005844149153</v>
      </c>
      <c r="BM94" s="36">
        <v>2185.6836525833437</v>
      </c>
      <c r="BN94" s="36">
        <v>0</v>
      </c>
      <c r="BO94" s="17">
        <v>0</v>
      </c>
      <c r="BP94" s="17">
        <f t="shared" si="60"/>
        <v>2203.4637110248354</v>
      </c>
      <c r="BQ94" s="17">
        <f t="shared" si="61"/>
        <v>214.88438999327397</v>
      </c>
      <c r="BR94" s="17">
        <f t="shared" si="61"/>
        <v>30770.018450974272</v>
      </c>
      <c r="BS94" s="17">
        <f t="shared" si="61"/>
        <v>0</v>
      </c>
      <c r="BT94" s="17">
        <f t="shared" si="61"/>
        <v>0</v>
      </c>
      <c r="BU94" s="17">
        <f t="shared" si="62"/>
        <v>30984.902840967545</v>
      </c>
    </row>
    <row r="95" spans="1:73" s="38" customFormat="1" ht="15.6" hidden="1" outlineLevel="1">
      <c r="A95" s="16" t="s">
        <v>242</v>
      </c>
      <c r="B95" s="17" t="s">
        <v>243</v>
      </c>
      <c r="C95" s="17" t="s">
        <v>261</v>
      </c>
      <c r="D95" s="39" t="s">
        <v>266</v>
      </c>
      <c r="E95" s="40" t="s">
        <v>267</v>
      </c>
      <c r="F95" s="18" t="s">
        <v>268</v>
      </c>
      <c r="G95" s="18" t="s">
        <v>269</v>
      </c>
      <c r="H95" s="17" t="s">
        <v>45</v>
      </c>
      <c r="I95" s="17">
        <v>1.0476940511065944</v>
      </c>
      <c r="J95" s="17">
        <v>85.632314811128751</v>
      </c>
      <c r="K95" s="17">
        <v>0</v>
      </c>
      <c r="L95" s="17">
        <v>0</v>
      </c>
      <c r="M95" s="17">
        <f t="shared" si="49"/>
        <v>86.68000886223534</v>
      </c>
      <c r="N95" s="17">
        <v>0.95676528630984214</v>
      </c>
      <c r="O95" s="17">
        <v>95.996682227385875</v>
      </c>
      <c r="P95" s="17">
        <v>0</v>
      </c>
      <c r="Q95" s="17">
        <v>0</v>
      </c>
      <c r="R95" s="17">
        <f t="shared" si="50"/>
        <v>96.953447513695721</v>
      </c>
      <c r="S95" s="17">
        <v>0.87568348238527927</v>
      </c>
      <c r="T95" s="17">
        <v>132.25120068269212</v>
      </c>
      <c r="U95" s="17">
        <v>0</v>
      </c>
      <c r="V95" s="17">
        <v>0</v>
      </c>
      <c r="W95" s="17">
        <f t="shared" si="51"/>
        <v>133.1268841650774</v>
      </c>
      <c r="X95" s="17">
        <v>1.3621743059326565</v>
      </c>
      <c r="Y95" s="17">
        <v>148.72408995085442</v>
      </c>
      <c r="Z95" s="17">
        <v>0</v>
      </c>
      <c r="AA95" s="17">
        <v>0</v>
      </c>
      <c r="AB95" s="17">
        <f t="shared" si="52"/>
        <v>150.08626425678708</v>
      </c>
      <c r="AC95" s="17">
        <v>0.90001069808352996</v>
      </c>
      <c r="AD95" s="17">
        <v>148.53312686146694</v>
      </c>
      <c r="AE95" s="17">
        <v>0</v>
      </c>
      <c r="AF95" s="17">
        <v>0</v>
      </c>
      <c r="AG95" s="17">
        <f t="shared" si="53"/>
        <v>149.43313755955046</v>
      </c>
      <c r="AH95" s="17">
        <v>0</v>
      </c>
      <c r="AI95" s="17">
        <v>149.43313755955049</v>
      </c>
      <c r="AJ95" s="17">
        <v>0</v>
      </c>
      <c r="AK95" s="17">
        <v>0</v>
      </c>
      <c r="AL95" s="17">
        <f t="shared" si="54"/>
        <v>149.43313755955049</v>
      </c>
      <c r="AM95" s="17">
        <v>1.7500106980835299</v>
      </c>
      <c r="AN95" s="17">
        <v>147.68312686146697</v>
      </c>
      <c r="AO95" s="17">
        <v>0</v>
      </c>
      <c r="AP95" s="17">
        <v>0</v>
      </c>
      <c r="AQ95" s="17">
        <f t="shared" si="55"/>
        <v>149.43313755955052</v>
      </c>
      <c r="AR95" s="17">
        <v>2.5946070275024802</v>
      </c>
      <c r="AS95" s="17">
        <v>146.52228256873192</v>
      </c>
      <c r="AT95" s="17">
        <v>0</v>
      </c>
      <c r="AU95" s="17">
        <v>0</v>
      </c>
      <c r="AV95" s="17">
        <f t="shared" si="56"/>
        <v>149.11688959623442</v>
      </c>
      <c r="AW95" s="17">
        <v>1.2000106980835308</v>
      </c>
      <c r="AX95" s="17">
        <v>147.13312686146705</v>
      </c>
      <c r="AY95" s="17">
        <v>0</v>
      </c>
      <c r="AZ95" s="17">
        <v>0</v>
      </c>
      <c r="BA95" s="17">
        <f t="shared" si="57"/>
        <v>148.33313755955058</v>
      </c>
      <c r="BB95" s="17">
        <v>1.1919025176910745</v>
      </c>
      <c r="BC95" s="17">
        <v>147.25857870699755</v>
      </c>
      <c r="BD95" s="17">
        <v>0</v>
      </c>
      <c r="BE95" s="17">
        <v>0</v>
      </c>
      <c r="BF95" s="17">
        <f t="shared" si="58"/>
        <v>148.45048122468862</v>
      </c>
      <c r="BG95" s="17">
        <v>1.1919025176910745</v>
      </c>
      <c r="BH95" s="17">
        <v>147.25857870699755</v>
      </c>
      <c r="BI95" s="17">
        <v>0</v>
      </c>
      <c r="BJ95" s="17">
        <v>0</v>
      </c>
      <c r="BK95" s="17">
        <f t="shared" si="59"/>
        <v>148.45048122468862</v>
      </c>
      <c r="BL95" s="17">
        <v>1.1919025176910745</v>
      </c>
      <c r="BM95" s="36">
        <v>147.25857936187424</v>
      </c>
      <c r="BN95" s="36">
        <v>0</v>
      </c>
      <c r="BO95" s="17">
        <v>0</v>
      </c>
      <c r="BP95" s="17">
        <f t="shared" si="60"/>
        <v>148.4504818795653</v>
      </c>
      <c r="BQ95" s="17">
        <f t="shared" si="61"/>
        <v>14.262663800560667</v>
      </c>
      <c r="BR95" s="17">
        <f t="shared" si="61"/>
        <v>1643.6848251606139</v>
      </c>
      <c r="BS95" s="17">
        <f t="shared" si="61"/>
        <v>0</v>
      </c>
      <c r="BT95" s="17">
        <f t="shared" si="61"/>
        <v>0</v>
      </c>
      <c r="BU95" s="17">
        <f t="shared" si="62"/>
        <v>1657.9474889611745</v>
      </c>
    </row>
    <row r="96" spans="1:73" s="38" customFormat="1" ht="15.6" hidden="1" outlineLevel="1">
      <c r="A96" s="16" t="s">
        <v>242</v>
      </c>
      <c r="B96" s="17" t="s">
        <v>243</v>
      </c>
      <c r="C96" s="17" t="s">
        <v>261</v>
      </c>
      <c r="D96" s="39" t="s">
        <v>266</v>
      </c>
      <c r="E96" s="40" t="s">
        <v>267</v>
      </c>
      <c r="F96" s="18" t="s">
        <v>270</v>
      </c>
      <c r="G96" s="18" t="s">
        <v>271</v>
      </c>
      <c r="H96" s="17" t="s">
        <v>45</v>
      </c>
      <c r="I96" s="17">
        <v>8.2804806472630297</v>
      </c>
      <c r="J96" s="17">
        <v>525.17143616286398</v>
      </c>
      <c r="K96" s="17">
        <v>0</v>
      </c>
      <c r="L96" s="17">
        <v>0</v>
      </c>
      <c r="M96" s="17">
        <f t="shared" si="49"/>
        <v>533.45191681012705</v>
      </c>
      <c r="N96" s="17">
        <v>15.667596230849943</v>
      </c>
      <c r="O96" s="17">
        <v>448.14005254838202</v>
      </c>
      <c r="P96" s="17">
        <v>0</v>
      </c>
      <c r="Q96" s="17">
        <v>0</v>
      </c>
      <c r="R96" s="17">
        <f t="shared" si="50"/>
        <v>463.80764877923195</v>
      </c>
      <c r="S96" s="17">
        <v>8.7005870606767886</v>
      </c>
      <c r="T96" s="17">
        <v>522.99902726042183</v>
      </c>
      <c r="U96" s="17">
        <v>0</v>
      </c>
      <c r="V96" s="17">
        <v>0</v>
      </c>
      <c r="W96" s="17">
        <f t="shared" si="51"/>
        <v>531.69961432109858</v>
      </c>
      <c r="X96" s="17">
        <v>32.937340388681449</v>
      </c>
      <c r="Y96" s="17">
        <v>487.53697890362685</v>
      </c>
      <c r="Z96" s="17">
        <v>0</v>
      </c>
      <c r="AA96" s="17">
        <v>0</v>
      </c>
      <c r="AB96" s="17">
        <f t="shared" si="52"/>
        <v>520.47431929230834</v>
      </c>
      <c r="AC96" s="17">
        <v>38.577373935005831</v>
      </c>
      <c r="AD96" s="17">
        <v>540.42263760422281</v>
      </c>
      <c r="AE96" s="17">
        <v>0</v>
      </c>
      <c r="AF96" s="17">
        <v>0</v>
      </c>
      <c r="AG96" s="17">
        <f t="shared" si="53"/>
        <v>579.00001153922869</v>
      </c>
      <c r="AH96" s="17">
        <v>36.445189918319713</v>
      </c>
      <c r="AI96" s="17">
        <v>603.01463779101209</v>
      </c>
      <c r="AJ96" s="17">
        <v>0</v>
      </c>
      <c r="AK96" s="17">
        <v>0</v>
      </c>
      <c r="AL96" s="17">
        <f t="shared" si="54"/>
        <v>639.45982770933176</v>
      </c>
      <c r="AM96" s="17">
        <v>31.31995855864589</v>
      </c>
      <c r="AN96" s="17">
        <v>673.20574522750258</v>
      </c>
      <c r="AO96" s="17">
        <v>0</v>
      </c>
      <c r="AP96" s="17">
        <v>0</v>
      </c>
      <c r="AQ96" s="17">
        <f t="shared" si="55"/>
        <v>704.52570378614848</v>
      </c>
      <c r="AR96" s="17">
        <v>32.937340388681449</v>
      </c>
      <c r="AS96" s="17">
        <v>690.53697890362639</v>
      </c>
      <c r="AT96" s="17">
        <v>0</v>
      </c>
      <c r="AU96" s="17">
        <v>0</v>
      </c>
      <c r="AV96" s="17">
        <f t="shared" si="56"/>
        <v>723.47431929230788</v>
      </c>
      <c r="AW96" s="17">
        <v>30.340620607000552</v>
      </c>
      <c r="AX96" s="17">
        <v>696.88468596101734</v>
      </c>
      <c r="AY96" s="17">
        <v>0</v>
      </c>
      <c r="AZ96" s="17">
        <v>0</v>
      </c>
      <c r="BA96" s="17">
        <f t="shared" si="57"/>
        <v>727.22530656801791</v>
      </c>
      <c r="BB96" s="17">
        <v>23.761607783080503</v>
      </c>
      <c r="BC96" s="17">
        <v>622.21600242826116</v>
      </c>
      <c r="BD96" s="17">
        <v>0</v>
      </c>
      <c r="BE96" s="17">
        <v>0</v>
      </c>
      <c r="BF96" s="17">
        <f t="shared" si="58"/>
        <v>645.9776102113417</v>
      </c>
      <c r="BG96" s="17">
        <v>18.997055244924152</v>
      </c>
      <c r="BH96" s="17">
        <v>632.50887994856487</v>
      </c>
      <c r="BI96" s="17">
        <v>0</v>
      </c>
      <c r="BJ96" s="17">
        <v>0</v>
      </c>
      <c r="BK96" s="17">
        <f t="shared" si="59"/>
        <v>651.50593519348899</v>
      </c>
      <c r="BL96" s="17">
        <v>19.042611732322051</v>
      </c>
      <c r="BM96" s="36">
        <v>609.62731924580407</v>
      </c>
      <c r="BN96" s="36">
        <v>0</v>
      </c>
      <c r="BO96" s="17">
        <v>0</v>
      </c>
      <c r="BP96" s="17">
        <f t="shared" si="60"/>
        <v>628.6699309781261</v>
      </c>
      <c r="BQ96" s="17">
        <f t="shared" si="61"/>
        <v>297.00776249545135</v>
      </c>
      <c r="BR96" s="17">
        <f t="shared" si="61"/>
        <v>7052.2643819853056</v>
      </c>
      <c r="BS96" s="17">
        <f t="shared" si="61"/>
        <v>0</v>
      </c>
      <c r="BT96" s="17">
        <f t="shared" si="61"/>
        <v>0</v>
      </c>
      <c r="BU96" s="17">
        <f t="shared" si="62"/>
        <v>7349.2721444807567</v>
      </c>
    </row>
    <row r="97" spans="1:73" s="38" customFormat="1" hidden="1" outlineLevel="1">
      <c r="A97" s="16" t="s">
        <v>242</v>
      </c>
      <c r="B97" s="17" t="s">
        <v>243</v>
      </c>
      <c r="C97" s="17" t="s">
        <v>261</v>
      </c>
      <c r="D97" s="39" t="s">
        <v>272</v>
      </c>
      <c r="E97" s="39" t="s">
        <v>273</v>
      </c>
      <c r="F97" s="18" t="s">
        <v>274</v>
      </c>
      <c r="G97" s="18" t="s">
        <v>275</v>
      </c>
      <c r="H97" s="17" t="s">
        <v>45</v>
      </c>
      <c r="I97" s="17">
        <v>4.1661493889527987</v>
      </c>
      <c r="J97" s="17">
        <v>635.4324628642629</v>
      </c>
      <c r="K97" s="17">
        <v>0</v>
      </c>
      <c r="L97" s="17">
        <v>0</v>
      </c>
      <c r="M97" s="17">
        <f t="shared" si="49"/>
        <v>639.59861225321572</v>
      </c>
      <c r="N97" s="17">
        <v>24.381566064825229</v>
      </c>
      <c r="O97" s="17">
        <v>786.06489246874742</v>
      </c>
      <c r="P97" s="17">
        <v>0</v>
      </c>
      <c r="Q97" s="17">
        <v>0</v>
      </c>
      <c r="R97" s="17">
        <f t="shared" si="50"/>
        <v>810.4464585335727</v>
      </c>
      <c r="S97" s="17">
        <v>6.5995944536177999</v>
      </c>
      <c r="T97" s="17">
        <v>968.93394176209108</v>
      </c>
      <c r="U97" s="17">
        <v>0</v>
      </c>
      <c r="V97" s="17">
        <v>0</v>
      </c>
      <c r="W97" s="17">
        <f t="shared" si="51"/>
        <v>975.53353621570886</v>
      </c>
      <c r="X97" s="17">
        <v>27.065003102193497</v>
      </c>
      <c r="Y97" s="17">
        <v>1038.7959096949596</v>
      </c>
      <c r="Z97" s="17">
        <v>0</v>
      </c>
      <c r="AA97" s="17">
        <v>0</v>
      </c>
      <c r="AB97" s="17">
        <f t="shared" si="52"/>
        <v>1065.8609127971531</v>
      </c>
      <c r="AC97" s="17">
        <v>42.040922820823198</v>
      </c>
      <c r="AD97" s="17">
        <v>1318.2680497561917</v>
      </c>
      <c r="AE97" s="17">
        <v>0</v>
      </c>
      <c r="AF97" s="17">
        <v>0</v>
      </c>
      <c r="AG97" s="17">
        <f t="shared" si="53"/>
        <v>1360.3089725770149</v>
      </c>
      <c r="AH97" s="17">
        <v>21.0783571266354</v>
      </c>
      <c r="AI97" s="17">
        <v>1416.1986111803899</v>
      </c>
      <c r="AJ97" s="17">
        <v>0</v>
      </c>
      <c r="AK97" s="17">
        <v>0</v>
      </c>
      <c r="AL97" s="17">
        <f t="shared" si="54"/>
        <v>1437.2769683070253</v>
      </c>
      <c r="AM97" s="17">
        <v>0</v>
      </c>
      <c r="AN97" s="17">
        <v>1479.6772885562764</v>
      </c>
      <c r="AO97" s="17">
        <v>0</v>
      </c>
      <c r="AP97" s="17">
        <v>0</v>
      </c>
      <c r="AQ97" s="17">
        <f t="shared" si="55"/>
        <v>1479.6772885562764</v>
      </c>
      <c r="AR97" s="17">
        <v>0</v>
      </c>
      <c r="AS97" s="17">
        <v>1428.5810088719306</v>
      </c>
      <c r="AT97" s="17">
        <v>0</v>
      </c>
      <c r="AU97" s="17">
        <v>0</v>
      </c>
      <c r="AV97" s="17">
        <f t="shared" si="56"/>
        <v>1428.5810088719306</v>
      </c>
      <c r="AW97" s="17">
        <v>16.8274612029441</v>
      </c>
      <c r="AX97" s="17">
        <v>1250.0578551082747</v>
      </c>
      <c r="AY97" s="17">
        <v>0</v>
      </c>
      <c r="AZ97" s="17">
        <v>0</v>
      </c>
      <c r="BA97" s="17">
        <f t="shared" si="57"/>
        <v>1266.8853163112187</v>
      </c>
      <c r="BB97" s="17">
        <v>13.572253257794101</v>
      </c>
      <c r="BC97" s="17">
        <v>1029.8655370223264</v>
      </c>
      <c r="BD97" s="17">
        <v>0</v>
      </c>
      <c r="BE97" s="17">
        <v>0</v>
      </c>
      <c r="BF97" s="17">
        <f t="shared" si="58"/>
        <v>1043.4377902801205</v>
      </c>
      <c r="BG97" s="17">
        <v>13.984030621727898</v>
      </c>
      <c r="BH97" s="17">
        <v>1051.1017126885013</v>
      </c>
      <c r="BI97" s="17">
        <v>0</v>
      </c>
      <c r="BJ97" s="17">
        <v>0</v>
      </c>
      <c r="BK97" s="17">
        <f t="shared" si="59"/>
        <v>1065.0857433102292</v>
      </c>
      <c r="BL97" s="17">
        <v>19.390970410700184</v>
      </c>
      <c r="BM97" s="36">
        <v>1027.0308177344255</v>
      </c>
      <c r="BN97" s="36">
        <v>0</v>
      </c>
      <c r="BO97" s="17">
        <v>0</v>
      </c>
      <c r="BP97" s="17">
        <f t="shared" si="60"/>
        <v>1046.4217881451257</v>
      </c>
      <c r="BQ97" s="17">
        <f t="shared" si="61"/>
        <v>189.10630845021419</v>
      </c>
      <c r="BR97" s="17">
        <f t="shared" si="61"/>
        <v>13430.008087708378</v>
      </c>
      <c r="BS97" s="17">
        <f t="shared" si="61"/>
        <v>0</v>
      </c>
      <c r="BT97" s="17">
        <f t="shared" si="61"/>
        <v>0</v>
      </c>
      <c r="BU97" s="17">
        <f t="shared" si="62"/>
        <v>13619.114396158593</v>
      </c>
    </row>
    <row r="98" spans="1:73" s="38" customFormat="1" hidden="1" outlineLevel="1">
      <c r="A98" s="16" t="s">
        <v>242</v>
      </c>
      <c r="B98" s="17" t="s">
        <v>243</v>
      </c>
      <c r="C98" s="17" t="s">
        <v>261</v>
      </c>
      <c r="D98" s="18"/>
      <c r="E98" s="18" t="s">
        <v>258</v>
      </c>
      <c r="F98" s="18" t="s">
        <v>276</v>
      </c>
      <c r="G98" s="18" t="s">
        <v>277</v>
      </c>
      <c r="H98" s="17" t="s">
        <v>39</v>
      </c>
      <c r="I98" s="17">
        <v>0</v>
      </c>
      <c r="J98" s="17">
        <v>70</v>
      </c>
      <c r="K98" s="17">
        <v>0</v>
      </c>
      <c r="L98" s="17">
        <v>0</v>
      </c>
      <c r="M98" s="17">
        <f t="shared" si="49"/>
        <v>70</v>
      </c>
      <c r="N98" s="17">
        <v>0</v>
      </c>
      <c r="O98" s="17">
        <v>60</v>
      </c>
      <c r="P98" s="17">
        <v>0</v>
      </c>
      <c r="Q98" s="17">
        <v>0</v>
      </c>
      <c r="R98" s="17">
        <f t="shared" si="50"/>
        <v>60</v>
      </c>
      <c r="S98" s="17">
        <v>0</v>
      </c>
      <c r="T98" s="17">
        <v>80</v>
      </c>
      <c r="U98" s="17">
        <v>0</v>
      </c>
      <c r="V98" s="17">
        <v>0</v>
      </c>
      <c r="W98" s="17">
        <f t="shared" si="51"/>
        <v>80</v>
      </c>
      <c r="X98" s="17">
        <v>0</v>
      </c>
      <c r="Y98" s="17">
        <v>74</v>
      </c>
      <c r="Z98" s="17">
        <v>0</v>
      </c>
      <c r="AA98" s="17">
        <v>0</v>
      </c>
      <c r="AB98" s="17">
        <f t="shared" si="52"/>
        <v>74</v>
      </c>
      <c r="AC98" s="17">
        <v>0</v>
      </c>
      <c r="AD98" s="17">
        <v>80</v>
      </c>
      <c r="AE98" s="17">
        <v>0</v>
      </c>
      <c r="AF98" s="17">
        <v>0</v>
      </c>
      <c r="AG98" s="17">
        <f t="shared" si="53"/>
        <v>80</v>
      </c>
      <c r="AH98" s="17">
        <v>0</v>
      </c>
      <c r="AI98" s="17">
        <v>80</v>
      </c>
      <c r="AJ98" s="17">
        <v>0</v>
      </c>
      <c r="AK98" s="17">
        <v>0</v>
      </c>
      <c r="AL98" s="17">
        <f t="shared" si="54"/>
        <v>80</v>
      </c>
      <c r="AM98" s="17">
        <v>0</v>
      </c>
      <c r="AN98" s="17">
        <v>80</v>
      </c>
      <c r="AO98" s="17">
        <v>0</v>
      </c>
      <c r="AP98" s="17">
        <v>0</v>
      </c>
      <c r="AQ98" s="17">
        <f t="shared" si="55"/>
        <v>80</v>
      </c>
      <c r="AR98" s="17">
        <v>0</v>
      </c>
      <c r="AS98" s="17">
        <v>80</v>
      </c>
      <c r="AT98" s="17">
        <v>0</v>
      </c>
      <c r="AU98" s="17">
        <v>0</v>
      </c>
      <c r="AV98" s="17">
        <f t="shared" si="56"/>
        <v>80</v>
      </c>
      <c r="AW98" s="17">
        <v>0</v>
      </c>
      <c r="AX98" s="17">
        <v>80</v>
      </c>
      <c r="AY98" s="17">
        <v>0</v>
      </c>
      <c r="AZ98" s="17">
        <v>0</v>
      </c>
      <c r="BA98" s="17">
        <f t="shared" si="57"/>
        <v>80</v>
      </c>
      <c r="BB98" s="17">
        <v>0</v>
      </c>
      <c r="BC98" s="17">
        <v>80</v>
      </c>
      <c r="BD98" s="17">
        <v>0</v>
      </c>
      <c r="BE98" s="17">
        <v>0</v>
      </c>
      <c r="BF98" s="17">
        <f t="shared" si="58"/>
        <v>80</v>
      </c>
      <c r="BG98" s="17">
        <v>0</v>
      </c>
      <c r="BH98" s="17">
        <v>80</v>
      </c>
      <c r="BI98" s="17">
        <v>0</v>
      </c>
      <c r="BJ98" s="17">
        <v>0</v>
      </c>
      <c r="BK98" s="17">
        <f t="shared" si="59"/>
        <v>80</v>
      </c>
      <c r="BL98" s="17">
        <v>0</v>
      </c>
      <c r="BM98" s="36">
        <v>80</v>
      </c>
      <c r="BN98" s="36">
        <v>0</v>
      </c>
      <c r="BO98" s="17">
        <v>0</v>
      </c>
      <c r="BP98" s="17">
        <f t="shared" si="60"/>
        <v>80</v>
      </c>
      <c r="BQ98" s="17">
        <f t="shared" si="61"/>
        <v>0</v>
      </c>
      <c r="BR98" s="17">
        <f t="shared" si="61"/>
        <v>924</v>
      </c>
      <c r="BS98" s="17">
        <f t="shared" si="61"/>
        <v>0</v>
      </c>
      <c r="BT98" s="17">
        <f t="shared" si="61"/>
        <v>0</v>
      </c>
      <c r="BU98" s="17">
        <f t="shared" si="62"/>
        <v>924</v>
      </c>
    </row>
    <row r="99" spans="1:73" s="38" customFormat="1" hidden="1" outlineLevel="1">
      <c r="A99" s="16" t="s">
        <v>242</v>
      </c>
      <c r="B99" s="17" t="s">
        <v>243</v>
      </c>
      <c r="C99" s="17" t="s">
        <v>278</v>
      </c>
      <c r="D99" s="18"/>
      <c r="E99" s="37" t="s">
        <v>279</v>
      </c>
      <c r="F99" s="18" t="s">
        <v>280</v>
      </c>
      <c r="G99" s="18" t="s">
        <v>281</v>
      </c>
      <c r="H99" s="17" t="s">
        <v>45</v>
      </c>
      <c r="I99" s="17">
        <v>42.835680855028365</v>
      </c>
      <c r="J99" s="17">
        <v>268.34845022899617</v>
      </c>
      <c r="K99" s="17">
        <v>0</v>
      </c>
      <c r="L99" s="17">
        <v>0</v>
      </c>
      <c r="M99" s="17">
        <f t="shared" si="49"/>
        <v>311.18413108402456</v>
      </c>
      <c r="N99" s="17">
        <v>60.206154711567166</v>
      </c>
      <c r="O99" s="17">
        <v>214.27171075809383</v>
      </c>
      <c r="P99" s="17">
        <v>0</v>
      </c>
      <c r="Q99" s="17">
        <v>0</v>
      </c>
      <c r="R99" s="17">
        <f t="shared" si="50"/>
        <v>274.47786546966097</v>
      </c>
      <c r="S99" s="17">
        <v>70.802265833887049</v>
      </c>
      <c r="T99" s="17">
        <v>265.66256874739508</v>
      </c>
      <c r="U99" s="17">
        <v>0</v>
      </c>
      <c r="V99" s="17">
        <v>0</v>
      </c>
      <c r="W99" s="17">
        <f t="shared" si="51"/>
        <v>336.46483458128216</v>
      </c>
      <c r="X99" s="17">
        <v>232.72984753850747</v>
      </c>
      <c r="Y99" s="17">
        <v>141.43473721294941</v>
      </c>
      <c r="Z99" s="17">
        <v>0</v>
      </c>
      <c r="AA99" s="17">
        <v>0</v>
      </c>
      <c r="AB99" s="17">
        <f t="shared" si="52"/>
        <v>374.16458475145691</v>
      </c>
      <c r="AC99" s="17">
        <v>293.51634025958776</v>
      </c>
      <c r="AD99" s="17">
        <v>177.60647407359664</v>
      </c>
      <c r="AE99" s="17">
        <v>0</v>
      </c>
      <c r="AF99" s="17">
        <v>0</v>
      </c>
      <c r="AG99" s="17">
        <f t="shared" si="53"/>
        <v>471.12281433318441</v>
      </c>
      <c r="AH99" s="17">
        <v>214.59713660357443</v>
      </c>
      <c r="AI99" s="17">
        <v>357.02390662302957</v>
      </c>
      <c r="AJ99" s="17">
        <v>0</v>
      </c>
      <c r="AK99" s="17">
        <v>0</v>
      </c>
      <c r="AL99" s="17">
        <f t="shared" si="54"/>
        <v>571.621043226604</v>
      </c>
      <c r="AM99" s="17">
        <v>270.37107848082115</v>
      </c>
      <c r="AN99" s="17">
        <v>288.68907936456827</v>
      </c>
      <c r="AO99" s="17">
        <v>0</v>
      </c>
      <c r="AP99" s="17">
        <v>0</v>
      </c>
      <c r="AQ99" s="17">
        <f t="shared" si="55"/>
        <v>559.06015784538943</v>
      </c>
      <c r="AR99" s="17">
        <v>205.57107848082094</v>
      </c>
      <c r="AS99" s="17">
        <v>304.48907936456828</v>
      </c>
      <c r="AT99" s="17">
        <v>0</v>
      </c>
      <c r="AU99" s="17">
        <v>0</v>
      </c>
      <c r="AV99" s="17">
        <f t="shared" si="56"/>
        <v>510.0601578453892</v>
      </c>
      <c r="AW99" s="17">
        <v>185.57107848082117</v>
      </c>
      <c r="AX99" s="17">
        <v>274.48907936456834</v>
      </c>
      <c r="AY99" s="17">
        <v>0</v>
      </c>
      <c r="AZ99" s="17">
        <v>0</v>
      </c>
      <c r="BA99" s="17">
        <f t="shared" si="57"/>
        <v>460.06015784538954</v>
      </c>
      <c r="BB99" s="17">
        <v>155.34098587888855</v>
      </c>
      <c r="BC99" s="17">
        <v>205.39669770681613</v>
      </c>
      <c r="BD99" s="17">
        <v>0</v>
      </c>
      <c r="BE99" s="17">
        <v>0</v>
      </c>
      <c r="BF99" s="17">
        <f t="shared" si="58"/>
        <v>360.73768358570464</v>
      </c>
      <c r="BG99" s="17">
        <v>122.68861659619382</v>
      </c>
      <c r="BH99" s="17">
        <v>231.58039506133019</v>
      </c>
      <c r="BI99" s="17">
        <v>0</v>
      </c>
      <c r="BJ99" s="17">
        <v>0</v>
      </c>
      <c r="BK99" s="17">
        <f t="shared" si="59"/>
        <v>354.269011657524</v>
      </c>
      <c r="BL99" s="17">
        <v>139.13387803080624</v>
      </c>
      <c r="BM99" s="36">
        <v>212.19778977035855</v>
      </c>
      <c r="BN99" s="36">
        <v>0</v>
      </c>
      <c r="BO99" s="17">
        <v>0</v>
      </c>
      <c r="BP99" s="17">
        <f t="shared" si="60"/>
        <v>351.33166780116483</v>
      </c>
      <c r="BQ99" s="17">
        <f t="shared" si="61"/>
        <v>1993.3641417505041</v>
      </c>
      <c r="BR99" s="17">
        <f t="shared" si="61"/>
        <v>2941.1899682762705</v>
      </c>
      <c r="BS99" s="17">
        <f t="shared" si="61"/>
        <v>0</v>
      </c>
      <c r="BT99" s="17">
        <f t="shared" si="61"/>
        <v>0</v>
      </c>
      <c r="BU99" s="17">
        <f t="shared" si="62"/>
        <v>4934.5541100267747</v>
      </c>
    </row>
    <row r="100" spans="1:73" s="38" customFormat="1" hidden="1" outlineLevel="1">
      <c r="A100" s="16" t="s">
        <v>242</v>
      </c>
      <c r="B100" s="17" t="s">
        <v>243</v>
      </c>
      <c r="C100" s="17" t="s">
        <v>278</v>
      </c>
      <c r="D100" s="18"/>
      <c r="E100" s="18" t="s">
        <v>258</v>
      </c>
      <c r="F100" s="18" t="s">
        <v>282</v>
      </c>
      <c r="G100" s="18" t="s">
        <v>283</v>
      </c>
      <c r="H100" s="17" t="s">
        <v>45</v>
      </c>
      <c r="I100" s="17">
        <v>0</v>
      </c>
      <c r="J100" s="17">
        <v>0</v>
      </c>
      <c r="K100" s="17">
        <v>0</v>
      </c>
      <c r="L100" s="17">
        <v>0</v>
      </c>
      <c r="M100" s="17">
        <f t="shared" si="49"/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f t="shared" si="50"/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f t="shared" si="51"/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f t="shared" si="52"/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f t="shared" si="53"/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f t="shared" si="54"/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f t="shared" si="55"/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f t="shared" si="56"/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f t="shared" si="57"/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f t="shared" si="58"/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f t="shared" si="59"/>
        <v>0</v>
      </c>
      <c r="BL100" s="17">
        <v>0</v>
      </c>
      <c r="BM100" s="36">
        <v>0</v>
      </c>
      <c r="BN100" s="36">
        <v>0</v>
      </c>
      <c r="BO100" s="17">
        <v>0</v>
      </c>
      <c r="BP100" s="17">
        <f t="shared" si="60"/>
        <v>0</v>
      </c>
      <c r="BQ100" s="17">
        <f t="shared" si="61"/>
        <v>0</v>
      </c>
      <c r="BR100" s="17">
        <f t="shared" si="61"/>
        <v>0</v>
      </c>
      <c r="BS100" s="17">
        <f t="shared" si="61"/>
        <v>0</v>
      </c>
      <c r="BT100" s="17">
        <f t="shared" si="61"/>
        <v>0</v>
      </c>
      <c r="BU100" s="17">
        <f t="shared" si="62"/>
        <v>0</v>
      </c>
    </row>
    <row r="101" spans="1:73" s="38" customFormat="1" hidden="1" outlineLevel="1">
      <c r="A101" s="16" t="s">
        <v>242</v>
      </c>
      <c r="B101" s="17" t="s">
        <v>243</v>
      </c>
      <c r="C101" s="17" t="s">
        <v>278</v>
      </c>
      <c r="D101" s="18"/>
      <c r="E101" s="18" t="s">
        <v>258</v>
      </c>
      <c r="F101" s="18" t="s">
        <v>284</v>
      </c>
      <c r="G101" s="18" t="s">
        <v>285</v>
      </c>
      <c r="H101" s="17" t="s">
        <v>39</v>
      </c>
      <c r="I101" s="20">
        <f>150-10</f>
        <v>140</v>
      </c>
      <c r="J101" s="17">
        <v>0</v>
      </c>
      <c r="K101" s="17">
        <v>0</v>
      </c>
      <c r="L101" s="17">
        <v>0</v>
      </c>
      <c r="M101" s="17">
        <f t="shared" si="49"/>
        <v>140</v>
      </c>
      <c r="N101" s="17">
        <v>156</v>
      </c>
      <c r="O101" s="17">
        <v>0</v>
      </c>
      <c r="P101" s="17">
        <v>0</v>
      </c>
      <c r="Q101" s="17">
        <v>0</v>
      </c>
      <c r="R101" s="17">
        <f t="shared" si="50"/>
        <v>156</v>
      </c>
      <c r="S101" s="17">
        <v>154</v>
      </c>
      <c r="T101" s="17">
        <v>0</v>
      </c>
      <c r="U101" s="17">
        <v>0</v>
      </c>
      <c r="V101" s="17">
        <v>0</v>
      </c>
      <c r="W101" s="17">
        <f t="shared" si="51"/>
        <v>154</v>
      </c>
      <c r="X101" s="17">
        <v>201</v>
      </c>
      <c r="Y101" s="17">
        <v>0</v>
      </c>
      <c r="Z101" s="17">
        <v>0</v>
      </c>
      <c r="AA101" s="17">
        <v>0</v>
      </c>
      <c r="AB101" s="17">
        <f t="shared" si="52"/>
        <v>201</v>
      </c>
      <c r="AC101" s="17">
        <v>200</v>
      </c>
      <c r="AD101" s="17">
        <v>0</v>
      </c>
      <c r="AE101" s="17">
        <v>0</v>
      </c>
      <c r="AF101" s="17">
        <v>0</v>
      </c>
      <c r="AG101" s="17">
        <f t="shared" si="53"/>
        <v>200</v>
      </c>
      <c r="AH101" s="17">
        <v>200</v>
      </c>
      <c r="AI101" s="17">
        <v>0</v>
      </c>
      <c r="AJ101" s="17">
        <v>0</v>
      </c>
      <c r="AK101" s="17">
        <v>0</v>
      </c>
      <c r="AL101" s="17">
        <f t="shared" si="54"/>
        <v>200</v>
      </c>
      <c r="AM101" s="17">
        <v>200</v>
      </c>
      <c r="AN101" s="17">
        <v>0</v>
      </c>
      <c r="AO101" s="17">
        <v>0</v>
      </c>
      <c r="AP101" s="17">
        <v>0</v>
      </c>
      <c r="AQ101" s="17">
        <f t="shared" si="55"/>
        <v>200</v>
      </c>
      <c r="AR101" s="17">
        <v>200</v>
      </c>
      <c r="AS101" s="17">
        <v>0</v>
      </c>
      <c r="AT101" s="17">
        <v>0</v>
      </c>
      <c r="AU101" s="17">
        <v>0</v>
      </c>
      <c r="AV101" s="17">
        <f t="shared" si="56"/>
        <v>200</v>
      </c>
      <c r="AW101" s="17">
        <v>200</v>
      </c>
      <c r="AX101" s="17">
        <v>0</v>
      </c>
      <c r="AY101" s="17">
        <v>0</v>
      </c>
      <c r="AZ101" s="17">
        <v>0</v>
      </c>
      <c r="BA101" s="17">
        <f t="shared" si="57"/>
        <v>200</v>
      </c>
      <c r="BB101" s="17">
        <v>180</v>
      </c>
      <c r="BC101" s="17">
        <v>0</v>
      </c>
      <c r="BD101" s="17">
        <v>0</v>
      </c>
      <c r="BE101" s="17">
        <v>0</v>
      </c>
      <c r="BF101" s="17">
        <f t="shared" si="58"/>
        <v>180</v>
      </c>
      <c r="BG101" s="17">
        <v>180</v>
      </c>
      <c r="BH101" s="17">
        <v>0</v>
      </c>
      <c r="BI101" s="17">
        <v>0</v>
      </c>
      <c r="BJ101" s="17">
        <v>0</v>
      </c>
      <c r="BK101" s="17">
        <f t="shared" si="59"/>
        <v>180</v>
      </c>
      <c r="BL101" s="17">
        <v>180</v>
      </c>
      <c r="BM101" s="36">
        <v>0</v>
      </c>
      <c r="BN101" s="36">
        <v>0</v>
      </c>
      <c r="BO101" s="17">
        <v>0</v>
      </c>
      <c r="BP101" s="17">
        <f t="shared" si="60"/>
        <v>180</v>
      </c>
      <c r="BQ101" s="17">
        <f t="shared" si="61"/>
        <v>2191</v>
      </c>
      <c r="BR101" s="17">
        <f t="shared" si="61"/>
        <v>0</v>
      </c>
      <c r="BS101" s="17">
        <f t="shared" si="61"/>
        <v>0</v>
      </c>
      <c r="BT101" s="17">
        <f t="shared" si="61"/>
        <v>0</v>
      </c>
      <c r="BU101" s="17">
        <f t="shared" si="62"/>
        <v>2191</v>
      </c>
    </row>
    <row r="102" spans="1:73" s="38" customFormat="1" hidden="1" outlineLevel="1">
      <c r="A102" s="16" t="s">
        <v>242</v>
      </c>
      <c r="B102" s="17" t="s">
        <v>243</v>
      </c>
      <c r="C102" s="17" t="s">
        <v>278</v>
      </c>
      <c r="D102" s="18"/>
      <c r="E102" s="18" t="s">
        <v>258</v>
      </c>
      <c r="F102" s="18" t="s">
        <v>286</v>
      </c>
      <c r="G102" s="18" t="s">
        <v>287</v>
      </c>
      <c r="H102" s="17" t="s">
        <v>39</v>
      </c>
      <c r="I102" s="20">
        <f>30+10</f>
        <v>40</v>
      </c>
      <c r="J102" s="17">
        <v>0</v>
      </c>
      <c r="K102" s="17">
        <v>0</v>
      </c>
      <c r="L102" s="17">
        <v>0</v>
      </c>
      <c r="M102" s="17">
        <f t="shared" si="49"/>
        <v>40</v>
      </c>
      <c r="N102" s="17">
        <v>40</v>
      </c>
      <c r="O102" s="17">
        <v>0</v>
      </c>
      <c r="P102" s="17">
        <v>0</v>
      </c>
      <c r="Q102" s="17">
        <v>0</v>
      </c>
      <c r="R102" s="17">
        <f t="shared" si="50"/>
        <v>40</v>
      </c>
      <c r="S102" s="17">
        <v>45</v>
      </c>
      <c r="T102" s="17">
        <v>0</v>
      </c>
      <c r="U102" s="17">
        <v>0</v>
      </c>
      <c r="V102" s="17">
        <v>0</v>
      </c>
      <c r="W102" s="17">
        <f t="shared" si="51"/>
        <v>45</v>
      </c>
      <c r="X102" s="17">
        <v>42</v>
      </c>
      <c r="Y102" s="17">
        <v>0</v>
      </c>
      <c r="Z102" s="17">
        <v>0</v>
      </c>
      <c r="AA102" s="17">
        <v>0</v>
      </c>
      <c r="AB102" s="17">
        <f t="shared" si="52"/>
        <v>42</v>
      </c>
      <c r="AC102" s="17">
        <v>50</v>
      </c>
      <c r="AD102" s="17">
        <v>0</v>
      </c>
      <c r="AE102" s="17">
        <v>0</v>
      </c>
      <c r="AF102" s="17">
        <v>0</v>
      </c>
      <c r="AG102" s="17">
        <f t="shared" si="53"/>
        <v>50</v>
      </c>
      <c r="AH102" s="17">
        <v>50</v>
      </c>
      <c r="AI102" s="17">
        <v>0</v>
      </c>
      <c r="AJ102" s="17">
        <v>0</v>
      </c>
      <c r="AK102" s="17">
        <v>0</v>
      </c>
      <c r="AL102" s="17">
        <f t="shared" si="54"/>
        <v>50</v>
      </c>
      <c r="AM102" s="17">
        <v>50</v>
      </c>
      <c r="AN102" s="17">
        <v>0</v>
      </c>
      <c r="AO102" s="17">
        <v>0</v>
      </c>
      <c r="AP102" s="17">
        <v>0</v>
      </c>
      <c r="AQ102" s="17">
        <f t="shared" si="55"/>
        <v>50</v>
      </c>
      <c r="AR102" s="17">
        <v>50</v>
      </c>
      <c r="AS102" s="17">
        <v>0</v>
      </c>
      <c r="AT102" s="17">
        <v>0</v>
      </c>
      <c r="AU102" s="17">
        <v>0</v>
      </c>
      <c r="AV102" s="17">
        <f t="shared" si="56"/>
        <v>50</v>
      </c>
      <c r="AW102" s="17">
        <v>50</v>
      </c>
      <c r="AX102" s="17">
        <v>0</v>
      </c>
      <c r="AY102" s="17">
        <v>0</v>
      </c>
      <c r="AZ102" s="17">
        <v>0</v>
      </c>
      <c r="BA102" s="17">
        <f t="shared" si="57"/>
        <v>50</v>
      </c>
      <c r="BB102" s="17">
        <v>50</v>
      </c>
      <c r="BC102" s="17">
        <v>0</v>
      </c>
      <c r="BD102" s="17">
        <v>0</v>
      </c>
      <c r="BE102" s="17">
        <v>0</v>
      </c>
      <c r="BF102" s="17">
        <f t="shared" si="58"/>
        <v>50</v>
      </c>
      <c r="BG102" s="17">
        <v>50</v>
      </c>
      <c r="BH102" s="17">
        <v>0</v>
      </c>
      <c r="BI102" s="17">
        <v>0</v>
      </c>
      <c r="BJ102" s="17">
        <v>0</v>
      </c>
      <c r="BK102" s="17">
        <f t="shared" si="59"/>
        <v>50</v>
      </c>
      <c r="BL102" s="17">
        <v>50</v>
      </c>
      <c r="BM102" s="36">
        <v>0</v>
      </c>
      <c r="BN102" s="36">
        <v>0</v>
      </c>
      <c r="BO102" s="17">
        <v>0</v>
      </c>
      <c r="BP102" s="17">
        <f t="shared" si="60"/>
        <v>50</v>
      </c>
      <c r="BQ102" s="17">
        <f t="shared" si="61"/>
        <v>567</v>
      </c>
      <c r="BR102" s="17">
        <f t="shared" si="61"/>
        <v>0</v>
      </c>
      <c r="BS102" s="17">
        <f t="shared" si="61"/>
        <v>0</v>
      </c>
      <c r="BT102" s="17">
        <f t="shared" si="61"/>
        <v>0</v>
      </c>
      <c r="BU102" s="17">
        <f t="shared" si="62"/>
        <v>567</v>
      </c>
    </row>
    <row r="103" spans="1:73" s="38" customFormat="1" hidden="1" outlineLevel="1">
      <c r="A103" s="16" t="s">
        <v>242</v>
      </c>
      <c r="B103" s="17" t="s">
        <v>243</v>
      </c>
      <c r="C103" s="17" t="s">
        <v>278</v>
      </c>
      <c r="D103" s="18"/>
      <c r="E103" s="37" t="s">
        <v>253</v>
      </c>
      <c r="F103" s="18" t="s">
        <v>288</v>
      </c>
      <c r="G103" s="18" t="s">
        <v>289</v>
      </c>
      <c r="H103" s="17" t="s">
        <v>45</v>
      </c>
      <c r="I103" s="17">
        <v>106.03296752352641</v>
      </c>
      <c r="J103" s="17">
        <v>104.1189612546941</v>
      </c>
      <c r="K103" s="17">
        <v>0</v>
      </c>
      <c r="L103" s="17">
        <v>0</v>
      </c>
      <c r="M103" s="17">
        <f t="shared" si="49"/>
        <v>210.15192877822051</v>
      </c>
      <c r="N103" s="17">
        <v>182.55011877117343</v>
      </c>
      <c r="O103" s="17">
        <v>13.086615752642894</v>
      </c>
      <c r="P103" s="17">
        <v>0</v>
      </c>
      <c r="Q103" s="17">
        <v>0</v>
      </c>
      <c r="R103" s="17">
        <f t="shared" si="50"/>
        <v>195.63673452381633</v>
      </c>
      <c r="S103" s="17">
        <v>154.80591412762499</v>
      </c>
      <c r="T103" s="17">
        <v>85.861207170802658</v>
      </c>
      <c r="U103" s="17">
        <v>0</v>
      </c>
      <c r="V103" s="17">
        <v>0</v>
      </c>
      <c r="W103" s="17">
        <f t="shared" si="51"/>
        <v>240.66712129842765</v>
      </c>
      <c r="X103" s="17">
        <v>104.04045617974117</v>
      </c>
      <c r="Y103" s="17">
        <v>161.819454793034</v>
      </c>
      <c r="Z103" s="17">
        <v>0</v>
      </c>
      <c r="AA103" s="17">
        <v>0</v>
      </c>
      <c r="AB103" s="17">
        <f t="shared" si="52"/>
        <v>265.8599109727752</v>
      </c>
      <c r="AC103" s="17">
        <v>196.84285778058421</v>
      </c>
      <c r="AD103" s="17">
        <v>102.85464963110245</v>
      </c>
      <c r="AE103" s="17">
        <v>0</v>
      </c>
      <c r="AF103" s="17">
        <v>0</v>
      </c>
      <c r="AG103" s="17">
        <f t="shared" si="53"/>
        <v>299.69750741168667</v>
      </c>
      <c r="AH103" s="17">
        <v>183.7071435019314</v>
      </c>
      <c r="AI103" s="17">
        <v>117.5055571723548</v>
      </c>
      <c r="AJ103" s="17">
        <v>0</v>
      </c>
      <c r="AK103" s="17">
        <v>0</v>
      </c>
      <c r="AL103" s="17">
        <f t="shared" si="54"/>
        <v>301.21270067428622</v>
      </c>
      <c r="AM103" s="17">
        <v>120.44615453293683</v>
      </c>
      <c r="AN103" s="17">
        <v>185.76654575657179</v>
      </c>
      <c r="AO103" s="17">
        <v>0</v>
      </c>
      <c r="AP103" s="17">
        <v>0</v>
      </c>
      <c r="AQ103" s="17">
        <f t="shared" si="55"/>
        <v>306.21270028950863</v>
      </c>
      <c r="AR103" s="17">
        <v>168.94615453293682</v>
      </c>
      <c r="AS103" s="17">
        <v>122.2665457565718</v>
      </c>
      <c r="AT103" s="17">
        <v>0</v>
      </c>
      <c r="AU103" s="17">
        <v>0</v>
      </c>
      <c r="AV103" s="17">
        <f t="shared" si="56"/>
        <v>291.21270028950863</v>
      </c>
      <c r="AW103" s="17">
        <v>150.6823955919877</v>
      </c>
      <c r="AX103" s="17">
        <v>134.89313561522226</v>
      </c>
      <c r="AY103" s="17">
        <v>0</v>
      </c>
      <c r="AZ103" s="17">
        <v>0</v>
      </c>
      <c r="BA103" s="17">
        <f t="shared" si="57"/>
        <v>285.57553120720996</v>
      </c>
      <c r="BB103" s="17">
        <v>130.04212797355368</v>
      </c>
      <c r="BC103" s="17">
        <v>116.62499368248891</v>
      </c>
      <c r="BD103" s="17">
        <v>0</v>
      </c>
      <c r="BE103" s="17">
        <v>0</v>
      </c>
      <c r="BF103" s="17">
        <f t="shared" si="58"/>
        <v>246.66712165604258</v>
      </c>
      <c r="BG103" s="17">
        <v>108.52920724868521</v>
      </c>
      <c r="BH103" s="17">
        <v>126.6227215295353</v>
      </c>
      <c r="BI103" s="17">
        <v>0</v>
      </c>
      <c r="BJ103" s="17">
        <v>0</v>
      </c>
      <c r="BK103" s="17">
        <f t="shared" si="59"/>
        <v>235.15192877822051</v>
      </c>
      <c r="BL103" s="17">
        <v>108.529207248685</v>
      </c>
      <c r="BM103" s="36">
        <v>111.6227215295353</v>
      </c>
      <c r="BN103" s="36">
        <v>0</v>
      </c>
      <c r="BO103" s="17">
        <v>0</v>
      </c>
      <c r="BP103" s="17">
        <f t="shared" si="60"/>
        <v>220.15192877822028</v>
      </c>
      <c r="BQ103" s="17">
        <f t="shared" si="61"/>
        <v>1715.1547050133665</v>
      </c>
      <c r="BR103" s="17">
        <f t="shared" si="61"/>
        <v>1383.0431096445561</v>
      </c>
      <c r="BS103" s="17">
        <f t="shared" si="61"/>
        <v>0</v>
      </c>
      <c r="BT103" s="17">
        <f t="shared" si="61"/>
        <v>0</v>
      </c>
      <c r="BU103" s="17">
        <f t="shared" si="62"/>
        <v>3098.1978146579227</v>
      </c>
    </row>
    <row r="104" spans="1:73" s="38" customFormat="1" hidden="1" outlineLevel="1">
      <c r="A104" s="16" t="s">
        <v>242</v>
      </c>
      <c r="B104" s="17" t="s">
        <v>243</v>
      </c>
      <c r="C104" s="17" t="s">
        <v>278</v>
      </c>
      <c r="D104" s="18"/>
      <c r="E104" s="37" t="s">
        <v>279</v>
      </c>
      <c r="F104" s="18" t="s">
        <v>290</v>
      </c>
      <c r="G104" s="18" t="s">
        <v>291</v>
      </c>
      <c r="H104" s="17" t="s">
        <v>45</v>
      </c>
      <c r="I104" s="17">
        <v>54.902528279382409</v>
      </c>
      <c r="J104" s="17">
        <v>95.732327879466695</v>
      </c>
      <c r="K104" s="17">
        <v>0</v>
      </c>
      <c r="L104" s="17">
        <v>0</v>
      </c>
      <c r="M104" s="17">
        <f t="shared" si="49"/>
        <v>150.63485615884912</v>
      </c>
      <c r="N104" s="17">
        <v>82.516150349227971</v>
      </c>
      <c r="O104" s="17">
        <v>68.027419922080838</v>
      </c>
      <c r="P104" s="17">
        <v>0</v>
      </c>
      <c r="Q104" s="17">
        <v>0</v>
      </c>
      <c r="R104" s="17">
        <f t="shared" si="50"/>
        <v>150.54357027130879</v>
      </c>
      <c r="S104" s="17">
        <v>45.490976384150805</v>
      </c>
      <c r="T104" s="17">
        <v>110.50695083426683</v>
      </c>
      <c r="U104" s="17">
        <v>0</v>
      </c>
      <c r="V104" s="17">
        <v>0</v>
      </c>
      <c r="W104" s="17">
        <f t="shared" si="51"/>
        <v>155.99792721841763</v>
      </c>
      <c r="X104" s="17">
        <v>89.216608453996344</v>
      </c>
      <c r="Y104" s="17">
        <v>74.69003280413348</v>
      </c>
      <c r="Z104" s="17">
        <v>0</v>
      </c>
      <c r="AA104" s="17">
        <v>0</v>
      </c>
      <c r="AB104" s="17">
        <f t="shared" si="52"/>
        <v>163.90664125812981</v>
      </c>
      <c r="AC104" s="17">
        <v>111.94224052384202</v>
      </c>
      <c r="AD104" s="17">
        <v>53.873114774000229</v>
      </c>
      <c r="AE104" s="17">
        <v>0</v>
      </c>
      <c r="AF104" s="17">
        <v>0</v>
      </c>
      <c r="AG104" s="17">
        <f t="shared" si="53"/>
        <v>165.81535529784225</v>
      </c>
      <c r="AH104" s="17">
        <v>102.94224052384199</v>
      </c>
      <c r="AI104" s="17">
        <v>59.8731147740002</v>
      </c>
      <c r="AJ104" s="17">
        <v>0</v>
      </c>
      <c r="AK104" s="17">
        <v>0</v>
      </c>
      <c r="AL104" s="17">
        <f t="shared" si="54"/>
        <v>162.81535529784219</v>
      </c>
      <c r="AM104" s="17">
        <v>89.942240523842017</v>
      </c>
      <c r="AN104" s="17">
        <v>75.873114774000157</v>
      </c>
      <c r="AO104" s="17">
        <v>0</v>
      </c>
      <c r="AP104" s="17">
        <v>0</v>
      </c>
      <c r="AQ104" s="17">
        <f t="shared" si="55"/>
        <v>165.81535529784219</v>
      </c>
      <c r="AR104" s="17">
        <v>95.942240523842045</v>
      </c>
      <c r="AS104" s="17">
        <v>68.873114774000157</v>
      </c>
      <c r="AT104" s="17">
        <v>0</v>
      </c>
      <c r="AU104" s="17">
        <v>0</v>
      </c>
      <c r="AV104" s="17">
        <f t="shared" si="56"/>
        <v>164.81535529784219</v>
      </c>
      <c r="AW104" s="17">
        <v>92.942240523842045</v>
      </c>
      <c r="AX104" s="17">
        <v>68.873114774000157</v>
      </c>
      <c r="AY104" s="17">
        <v>0</v>
      </c>
      <c r="AZ104" s="17">
        <v>0</v>
      </c>
      <c r="BA104" s="17">
        <f t="shared" si="57"/>
        <v>161.81535529784219</v>
      </c>
      <c r="BB104" s="17">
        <v>91.2166084539964</v>
      </c>
      <c r="BC104" s="17">
        <v>59.690032804133473</v>
      </c>
      <c r="BD104" s="17">
        <v>0</v>
      </c>
      <c r="BE104" s="17">
        <v>0</v>
      </c>
      <c r="BF104" s="17">
        <f t="shared" si="58"/>
        <v>150.90664125812987</v>
      </c>
      <c r="BG104" s="17">
        <v>101.31660845399638</v>
      </c>
      <c r="BH104" s="17">
        <v>49.690032804133473</v>
      </c>
      <c r="BI104" s="17">
        <v>0</v>
      </c>
      <c r="BJ104" s="17">
        <v>0</v>
      </c>
      <c r="BK104" s="17">
        <f t="shared" si="59"/>
        <v>151.00664125812986</v>
      </c>
      <c r="BL104" s="17">
        <v>101.11660845399638</v>
      </c>
      <c r="BM104" s="36">
        <v>49.690032804133487</v>
      </c>
      <c r="BN104" s="36">
        <v>0</v>
      </c>
      <c r="BO104" s="17">
        <v>0</v>
      </c>
      <c r="BP104" s="17">
        <f t="shared" si="60"/>
        <v>150.80664125812987</v>
      </c>
      <c r="BQ104" s="17">
        <f t="shared" si="61"/>
        <v>1059.4872914479565</v>
      </c>
      <c r="BR104" s="17">
        <f t="shared" si="61"/>
        <v>835.39240372234917</v>
      </c>
      <c r="BS104" s="17">
        <f t="shared" si="61"/>
        <v>0</v>
      </c>
      <c r="BT104" s="17">
        <f t="shared" si="61"/>
        <v>0</v>
      </c>
      <c r="BU104" s="17">
        <f t="shared" si="62"/>
        <v>1894.8796951703057</v>
      </c>
    </row>
    <row r="105" spans="1:73" s="38" customFormat="1" collapsed="1">
      <c r="A105" s="24" t="s">
        <v>242</v>
      </c>
      <c r="B105" s="25" t="s">
        <v>292</v>
      </c>
      <c r="C105" s="25"/>
      <c r="D105" s="26"/>
      <c r="E105" s="25" t="s">
        <v>182</v>
      </c>
      <c r="F105" s="25"/>
      <c r="G105" s="25" t="s">
        <v>292</v>
      </c>
      <c r="H105" s="25"/>
      <c r="I105" s="25">
        <f>SUM(I88:I104)</f>
        <v>532.1432408598921</v>
      </c>
      <c r="J105" s="25">
        <f t="shared" ref="J105:BU105" si="63">SUM(J88:J104)</f>
        <v>3726.8685295913665</v>
      </c>
      <c r="K105" s="25">
        <f t="shared" si="63"/>
        <v>0</v>
      </c>
      <c r="L105" s="25">
        <f t="shared" si="63"/>
        <v>0</v>
      </c>
      <c r="M105" s="25">
        <f t="shared" si="63"/>
        <v>4259.0117704512586</v>
      </c>
      <c r="N105" s="25">
        <f t="shared" si="63"/>
        <v>752.01093282781176</v>
      </c>
      <c r="O105" s="25">
        <f t="shared" si="63"/>
        <v>3630.8908197368164</v>
      </c>
      <c r="P105" s="25">
        <f t="shared" si="63"/>
        <v>0</v>
      </c>
      <c r="Q105" s="25">
        <f t="shared" si="63"/>
        <v>0</v>
      </c>
      <c r="R105" s="25">
        <f t="shared" si="63"/>
        <v>4382.9017525646277</v>
      </c>
      <c r="S105" s="25">
        <f t="shared" si="63"/>
        <v>671.91456332198391</v>
      </c>
      <c r="T105" s="25">
        <f t="shared" si="63"/>
        <v>5044.5836505613779</v>
      </c>
      <c r="U105" s="25">
        <f t="shared" si="63"/>
        <v>0</v>
      </c>
      <c r="V105" s="25">
        <f t="shared" si="63"/>
        <v>0</v>
      </c>
      <c r="W105" s="25">
        <f t="shared" si="63"/>
        <v>5716.4982138833602</v>
      </c>
      <c r="X105" s="25">
        <f t="shared" si="63"/>
        <v>960.41091261620295</v>
      </c>
      <c r="Y105" s="25">
        <f t="shared" si="63"/>
        <v>4699.3653430581226</v>
      </c>
      <c r="Z105" s="25">
        <f t="shared" si="63"/>
        <v>0</v>
      </c>
      <c r="AA105" s="25">
        <f t="shared" si="63"/>
        <v>0</v>
      </c>
      <c r="AB105" s="25">
        <f t="shared" si="63"/>
        <v>5659.7762556743246</v>
      </c>
      <c r="AC105" s="25">
        <f t="shared" si="63"/>
        <v>1180.5243429064456</v>
      </c>
      <c r="AD105" s="25">
        <f t="shared" si="63"/>
        <v>5265.8528727167431</v>
      </c>
      <c r="AE105" s="25">
        <f t="shared" si="63"/>
        <v>0</v>
      </c>
      <c r="AF105" s="25">
        <f t="shared" si="63"/>
        <v>0</v>
      </c>
      <c r="AG105" s="25">
        <f t="shared" si="63"/>
        <v>6446.377215623188</v>
      </c>
      <c r="AH105" s="25">
        <f t="shared" si="63"/>
        <v>1013.6488291132634</v>
      </c>
      <c r="AI105" s="25">
        <f t="shared" si="63"/>
        <v>5948.8203733565024</v>
      </c>
      <c r="AJ105" s="25">
        <f t="shared" si="63"/>
        <v>0</v>
      </c>
      <c r="AK105" s="25">
        <f t="shared" si="63"/>
        <v>0</v>
      </c>
      <c r="AL105" s="25">
        <f t="shared" si="63"/>
        <v>6962.469202469767</v>
      </c>
      <c r="AM105" s="25">
        <f t="shared" si="63"/>
        <v>987.17436522619062</v>
      </c>
      <c r="AN105" s="25">
        <f t="shared" si="63"/>
        <v>6056.0846543076968</v>
      </c>
      <c r="AO105" s="25">
        <f t="shared" si="63"/>
        <v>0</v>
      </c>
      <c r="AP105" s="25">
        <f t="shared" si="63"/>
        <v>0</v>
      </c>
      <c r="AQ105" s="25">
        <f t="shared" si="63"/>
        <v>7043.2590195338889</v>
      </c>
      <c r="AR105" s="25">
        <f t="shared" si="63"/>
        <v>981.71639815742458</v>
      </c>
      <c r="AS105" s="25">
        <f t="shared" si="63"/>
        <v>5997.783316111063</v>
      </c>
      <c r="AT105" s="25">
        <f t="shared" si="63"/>
        <v>0</v>
      </c>
      <c r="AU105" s="25">
        <f t="shared" si="63"/>
        <v>0</v>
      </c>
      <c r="AV105" s="25">
        <f t="shared" si="63"/>
        <v>6979.4997142684879</v>
      </c>
      <c r="AW105" s="25">
        <f t="shared" si="63"/>
        <v>967.39613568395032</v>
      </c>
      <c r="AX105" s="25">
        <f t="shared" si="63"/>
        <v>5539.5774837776053</v>
      </c>
      <c r="AY105" s="25">
        <f t="shared" si="63"/>
        <v>0</v>
      </c>
      <c r="AZ105" s="25">
        <f t="shared" si="63"/>
        <v>0</v>
      </c>
      <c r="BA105" s="25">
        <f t="shared" si="63"/>
        <v>6506.9736194615562</v>
      </c>
      <c r="BB105" s="25">
        <f t="shared" si="63"/>
        <v>877.54344225587488</v>
      </c>
      <c r="BC105" s="25">
        <f t="shared" si="63"/>
        <v>4983.3107538321347</v>
      </c>
      <c r="BD105" s="25">
        <f t="shared" si="63"/>
        <v>0</v>
      </c>
      <c r="BE105" s="25">
        <f t="shared" si="63"/>
        <v>0</v>
      </c>
      <c r="BF105" s="25">
        <f t="shared" si="63"/>
        <v>5860.8541960880102</v>
      </c>
      <c r="BG105" s="25">
        <f t="shared" si="63"/>
        <v>838.62429467304128</v>
      </c>
      <c r="BH105" s="25">
        <f t="shared" si="63"/>
        <v>4671.9942616377275</v>
      </c>
      <c r="BI105" s="25">
        <f t="shared" si="63"/>
        <v>0</v>
      </c>
      <c r="BJ105" s="25">
        <f t="shared" si="63"/>
        <v>0</v>
      </c>
      <c r="BK105" s="25">
        <f t="shared" si="63"/>
        <v>5510.6185563107683</v>
      </c>
      <c r="BL105" s="25">
        <f t="shared" si="63"/>
        <v>859.59082065554014</v>
      </c>
      <c r="BM105" s="25">
        <f t="shared" si="63"/>
        <v>4500.7696635541533</v>
      </c>
      <c r="BN105" s="25">
        <f t="shared" si="63"/>
        <v>0</v>
      </c>
      <c r="BO105" s="25">
        <f t="shared" si="63"/>
        <v>0</v>
      </c>
      <c r="BP105" s="25">
        <f t="shared" si="63"/>
        <v>5360.3604842096947</v>
      </c>
      <c r="BQ105" s="25">
        <f t="shared" si="63"/>
        <v>10622.698278297621</v>
      </c>
      <c r="BR105" s="25">
        <f t="shared" si="63"/>
        <v>60065.901722241309</v>
      </c>
      <c r="BS105" s="25">
        <f t="shared" si="63"/>
        <v>0</v>
      </c>
      <c r="BT105" s="25">
        <f t="shared" si="63"/>
        <v>0</v>
      </c>
      <c r="BU105" s="25">
        <f t="shared" si="63"/>
        <v>70688.600000538921</v>
      </c>
    </row>
    <row r="106" spans="1:73" s="38" customFormat="1" hidden="1" outlineLevel="1">
      <c r="A106" s="27" t="s">
        <v>242</v>
      </c>
      <c r="B106" s="17" t="s">
        <v>293</v>
      </c>
      <c r="C106" s="17" t="s">
        <v>294</v>
      </c>
      <c r="D106" s="17" t="s">
        <v>295</v>
      </c>
      <c r="E106" s="17" t="s">
        <v>296</v>
      </c>
      <c r="F106" s="18" t="s">
        <v>297</v>
      </c>
      <c r="G106" s="17" t="s">
        <v>298</v>
      </c>
      <c r="H106" s="17" t="s">
        <v>45</v>
      </c>
      <c r="I106" s="17">
        <v>15.463582147182002</v>
      </c>
      <c r="J106" s="17">
        <v>711.28302575297562</v>
      </c>
      <c r="K106" s="17">
        <v>0</v>
      </c>
      <c r="L106" s="17">
        <v>0</v>
      </c>
      <c r="M106" s="17">
        <f t="shared" ref="M106:M123" si="64">I106+J106+L106+K106</f>
        <v>726.74660790015764</v>
      </c>
      <c r="N106" s="17">
        <v>18.160718568202121</v>
      </c>
      <c r="O106" s="17">
        <v>563.01843722151841</v>
      </c>
      <c r="P106" s="17">
        <v>0</v>
      </c>
      <c r="Q106" s="17">
        <v>0</v>
      </c>
      <c r="R106" s="17">
        <f t="shared" ref="R106:R123" si="65">N106+O106+Q106+P106</f>
        <v>581.17915578972054</v>
      </c>
      <c r="S106" s="17">
        <v>4.9228476966019015</v>
      </c>
      <c r="T106" s="17">
        <v>844.88557271429886</v>
      </c>
      <c r="U106" s="17">
        <v>0</v>
      </c>
      <c r="V106" s="17">
        <v>0</v>
      </c>
      <c r="W106" s="17">
        <f t="shared" ref="W106:W123" si="66">S106+T106+V106+U106</f>
        <v>849.80842041090079</v>
      </c>
      <c r="X106" s="17">
        <v>7.4029060375644002</v>
      </c>
      <c r="Y106" s="17">
        <v>858.83178052038943</v>
      </c>
      <c r="Z106" s="17">
        <v>0</v>
      </c>
      <c r="AA106" s="17">
        <v>0</v>
      </c>
      <c r="AB106" s="17">
        <f t="shared" ref="AB106:AB123" si="67">X106+Y106+AA106+Z106</f>
        <v>866.23468655795386</v>
      </c>
      <c r="AC106" s="17">
        <v>8.155489902697898</v>
      </c>
      <c r="AD106" s="17">
        <v>1039.8169542416445</v>
      </c>
      <c r="AE106" s="17">
        <v>0</v>
      </c>
      <c r="AF106" s="17">
        <v>0</v>
      </c>
      <c r="AG106" s="17">
        <f t="shared" ref="AG106:AG123" si="68">AC106+AD106+AF106+AE106</f>
        <v>1047.9724441443423</v>
      </c>
      <c r="AH106" s="17">
        <v>13.658955367954999</v>
      </c>
      <c r="AI106" s="17">
        <v>1213.2075643824387</v>
      </c>
      <c r="AJ106" s="17">
        <v>0</v>
      </c>
      <c r="AK106" s="17">
        <v>0</v>
      </c>
      <c r="AL106" s="17">
        <f t="shared" ref="AL106:AL123" si="69">AH106+AI106+AK106+AJ106</f>
        <v>1226.8665197503938</v>
      </c>
      <c r="AM106" s="17">
        <v>40.816664504771097</v>
      </c>
      <c r="AN106" s="17">
        <v>1340.5958935572723</v>
      </c>
      <c r="AO106" s="17">
        <v>0</v>
      </c>
      <c r="AP106" s="17">
        <v>0</v>
      </c>
      <c r="AQ106" s="17">
        <f t="shared" ref="AQ106:AQ123" si="70">AM106+AN106+AP106+AO106</f>
        <v>1381.4125580620434</v>
      </c>
      <c r="AR106" s="17">
        <v>14.558000841628402</v>
      </c>
      <c r="AS106" s="17">
        <v>1307.1193682052869</v>
      </c>
      <c r="AT106" s="17">
        <v>0</v>
      </c>
      <c r="AU106" s="17">
        <v>0</v>
      </c>
      <c r="AV106" s="17">
        <f t="shared" ref="AV106:AV123" si="71">AR106+AS106+AU106+AT106</f>
        <v>1321.6773690469154</v>
      </c>
      <c r="AW106" s="17">
        <v>20.847002559579902</v>
      </c>
      <c r="AX106" s="17">
        <v>1100.8215161735661</v>
      </c>
      <c r="AY106" s="17">
        <v>0</v>
      </c>
      <c r="AZ106" s="17">
        <v>0</v>
      </c>
      <c r="BA106" s="17">
        <f t="shared" ref="BA106:BA123" si="72">AW106+AX106+AZ106+AY106</f>
        <v>1121.6685187331461</v>
      </c>
      <c r="BB106" s="17">
        <v>20.918926197473802</v>
      </c>
      <c r="BC106" s="17">
        <v>1012.7344604793938</v>
      </c>
      <c r="BD106" s="17">
        <v>0</v>
      </c>
      <c r="BE106" s="17">
        <v>0</v>
      </c>
      <c r="BF106" s="17">
        <f t="shared" ref="BF106:BF123" si="73">BB106+BC106+BE106+BD106</f>
        <v>1033.6533866768675</v>
      </c>
      <c r="BG106" s="17">
        <v>10.523346189057499</v>
      </c>
      <c r="BH106" s="17">
        <v>1012.2132667973408</v>
      </c>
      <c r="BI106" s="17">
        <v>0</v>
      </c>
      <c r="BJ106" s="17">
        <v>0</v>
      </c>
      <c r="BK106" s="17">
        <f t="shared" ref="BK106:BK123" si="74">BG106+BH106+BJ106+BI106</f>
        <v>1022.7366129863983</v>
      </c>
      <c r="BL106" s="17">
        <v>12.9410261553924</v>
      </c>
      <c r="BM106" s="17">
        <v>966.1284920691304</v>
      </c>
      <c r="BN106" s="17">
        <v>0</v>
      </c>
      <c r="BO106" s="17">
        <v>0</v>
      </c>
      <c r="BP106" s="17">
        <f t="shared" ref="BP106:BP123" si="75">BL106+BM106+BO106+BN106</f>
        <v>979.06951822452277</v>
      </c>
      <c r="BQ106" s="17">
        <f t="shared" ref="BQ106:BT123" si="76">BL106+BG106+BB106+AW106+AR106+AM106+AH106+AC106+X106+S106+N106+I106</f>
        <v>188.36946616810641</v>
      </c>
      <c r="BR106" s="17">
        <f t="shared" si="76"/>
        <v>11970.656332115255</v>
      </c>
      <c r="BS106" s="17">
        <f t="shared" si="76"/>
        <v>0</v>
      </c>
      <c r="BT106" s="17">
        <f t="shared" si="76"/>
        <v>0</v>
      </c>
      <c r="BU106" s="17">
        <f t="shared" si="46"/>
        <v>12159.025798283361</v>
      </c>
    </row>
    <row r="107" spans="1:73" s="38" customFormat="1" hidden="1" outlineLevel="1">
      <c r="A107" s="27" t="s">
        <v>242</v>
      </c>
      <c r="B107" s="17" t="s">
        <v>293</v>
      </c>
      <c r="C107" s="17" t="s">
        <v>294</v>
      </c>
      <c r="D107" s="17" t="s">
        <v>299</v>
      </c>
      <c r="E107" s="17" t="s">
        <v>300</v>
      </c>
      <c r="F107" s="18" t="s">
        <v>301</v>
      </c>
      <c r="G107" s="17" t="s">
        <v>302</v>
      </c>
      <c r="H107" s="17" t="s">
        <v>45</v>
      </c>
      <c r="I107" s="17">
        <v>52.909378559141551</v>
      </c>
      <c r="J107" s="17">
        <v>2241.2322389526998</v>
      </c>
      <c r="K107" s="17">
        <v>0</v>
      </c>
      <c r="L107" s="17">
        <v>0</v>
      </c>
      <c r="M107" s="17">
        <f t="shared" si="64"/>
        <v>2294.1416175118416</v>
      </c>
      <c r="N107" s="17">
        <v>8.4023222228626917</v>
      </c>
      <c r="O107" s="17">
        <v>2934.8570351089566</v>
      </c>
      <c r="P107" s="17">
        <v>0</v>
      </c>
      <c r="Q107" s="17">
        <v>0</v>
      </c>
      <c r="R107" s="17">
        <f t="shared" si="65"/>
        <v>2943.259357331819</v>
      </c>
      <c r="S107" s="17">
        <v>11.265669882487297</v>
      </c>
      <c r="T107" s="17">
        <v>3234.4167569796168</v>
      </c>
      <c r="U107" s="17">
        <v>0</v>
      </c>
      <c r="V107" s="17">
        <v>0</v>
      </c>
      <c r="W107" s="17">
        <f t="shared" si="66"/>
        <v>3245.682426862104</v>
      </c>
      <c r="X107" s="17">
        <v>110.12901754211188</v>
      </c>
      <c r="Y107" s="17">
        <v>3337.9764788502689</v>
      </c>
      <c r="Z107" s="17">
        <v>0</v>
      </c>
      <c r="AA107" s="17">
        <v>0</v>
      </c>
      <c r="AB107" s="17">
        <f t="shared" si="67"/>
        <v>3448.1054963923807</v>
      </c>
      <c r="AC107" s="17">
        <v>63.317833897822155</v>
      </c>
      <c r="AD107" s="17">
        <v>3901.8019031789913</v>
      </c>
      <c r="AE107" s="17">
        <v>0</v>
      </c>
      <c r="AF107" s="17">
        <v>0</v>
      </c>
      <c r="AG107" s="17">
        <f t="shared" si="68"/>
        <v>3965.1197370768136</v>
      </c>
      <c r="AH107" s="17">
        <v>119.73553909089428</v>
      </c>
      <c r="AI107" s="17">
        <v>4962.6344151466828</v>
      </c>
      <c r="AJ107" s="17">
        <v>0</v>
      </c>
      <c r="AK107" s="17">
        <v>0</v>
      </c>
      <c r="AL107" s="17">
        <f t="shared" si="69"/>
        <v>5082.3699542375771</v>
      </c>
      <c r="AM107" s="17">
        <v>16.768439543870166</v>
      </c>
      <c r="AN107" s="17">
        <v>5907.0680173652754</v>
      </c>
      <c r="AO107" s="17">
        <v>0</v>
      </c>
      <c r="AP107" s="17">
        <v>0</v>
      </c>
      <c r="AQ107" s="17">
        <f t="shared" si="70"/>
        <v>5923.8364569091455</v>
      </c>
      <c r="AR107" s="17">
        <v>68.589824606433055</v>
      </c>
      <c r="AS107" s="17">
        <v>6143.26175318272</v>
      </c>
      <c r="AT107" s="17">
        <v>0</v>
      </c>
      <c r="AU107" s="17">
        <v>0</v>
      </c>
      <c r="AV107" s="17">
        <f t="shared" si="71"/>
        <v>6211.8515777891535</v>
      </c>
      <c r="AW107" s="17">
        <v>76.314485774454639</v>
      </c>
      <c r="AX107" s="17">
        <v>5750.5059700590855</v>
      </c>
      <c r="AY107" s="17">
        <v>0</v>
      </c>
      <c r="AZ107" s="17">
        <v>0</v>
      </c>
      <c r="BA107" s="17">
        <f t="shared" si="72"/>
        <v>5826.8204558335401</v>
      </c>
      <c r="BB107" s="17">
        <v>73.880402372803346</v>
      </c>
      <c r="BC107" s="17">
        <v>5020.3021090431012</v>
      </c>
      <c r="BD107" s="17">
        <v>0</v>
      </c>
      <c r="BE107" s="17">
        <v>0</v>
      </c>
      <c r="BF107" s="17">
        <f t="shared" si="73"/>
        <v>5094.1825114159046</v>
      </c>
      <c r="BG107" s="17">
        <v>62.460056223098334</v>
      </c>
      <c r="BH107" s="17">
        <v>4552.1877279010505</v>
      </c>
      <c r="BI107" s="17">
        <v>0</v>
      </c>
      <c r="BJ107" s="17">
        <v>0</v>
      </c>
      <c r="BK107" s="17">
        <f t="shared" si="74"/>
        <v>4614.6477841241485</v>
      </c>
      <c r="BL107" s="17">
        <v>51.666333374733789</v>
      </c>
      <c r="BM107" s="17">
        <v>4054.9473384393182</v>
      </c>
      <c r="BN107" s="17">
        <v>0</v>
      </c>
      <c r="BO107" s="17">
        <v>0</v>
      </c>
      <c r="BP107" s="17">
        <f t="shared" si="75"/>
        <v>4106.6136718140524</v>
      </c>
      <c r="BQ107" s="17">
        <f t="shared" si="76"/>
        <v>715.43930309071322</v>
      </c>
      <c r="BR107" s="17">
        <f t="shared" si="76"/>
        <v>52041.191744207768</v>
      </c>
      <c r="BS107" s="17">
        <f t="shared" si="76"/>
        <v>0</v>
      </c>
      <c r="BT107" s="17">
        <f t="shared" si="76"/>
        <v>0</v>
      </c>
      <c r="BU107" s="17">
        <f t="shared" si="46"/>
        <v>52756.631047298484</v>
      </c>
    </row>
    <row r="108" spans="1:73" s="38" customFormat="1" hidden="1" outlineLevel="1">
      <c r="A108" s="27" t="s">
        <v>242</v>
      </c>
      <c r="B108" s="17" t="s">
        <v>293</v>
      </c>
      <c r="C108" s="17" t="s">
        <v>294</v>
      </c>
      <c r="D108" s="17" t="s">
        <v>303</v>
      </c>
      <c r="E108" s="17" t="s">
        <v>304</v>
      </c>
      <c r="F108" s="18" t="s">
        <v>305</v>
      </c>
      <c r="G108" s="17" t="s">
        <v>306</v>
      </c>
      <c r="H108" s="17" t="s">
        <v>45</v>
      </c>
      <c r="I108" s="17">
        <v>46.110012608940934</v>
      </c>
      <c r="J108" s="17">
        <v>284.02239749538506</v>
      </c>
      <c r="K108" s="17">
        <v>0</v>
      </c>
      <c r="L108" s="17">
        <v>0</v>
      </c>
      <c r="M108" s="17">
        <f t="shared" si="64"/>
        <v>330.13241010432603</v>
      </c>
      <c r="N108" s="17">
        <v>71.452676965271621</v>
      </c>
      <c r="O108" s="17">
        <v>364.9946756973755</v>
      </c>
      <c r="P108" s="17">
        <v>0</v>
      </c>
      <c r="Q108" s="17">
        <v>0</v>
      </c>
      <c r="R108" s="17">
        <f t="shared" si="65"/>
        <v>436.44735266264712</v>
      </c>
      <c r="S108" s="17">
        <v>97.242727370636629</v>
      </c>
      <c r="T108" s="17">
        <v>379.60922283644913</v>
      </c>
      <c r="U108" s="17">
        <v>0</v>
      </c>
      <c r="V108" s="17">
        <v>0</v>
      </c>
      <c r="W108" s="17">
        <f t="shared" si="66"/>
        <v>476.85195020708579</v>
      </c>
      <c r="X108" s="17">
        <v>86.675913870486923</v>
      </c>
      <c r="Y108" s="17">
        <v>355.67304725102264</v>
      </c>
      <c r="Z108" s="17">
        <v>0</v>
      </c>
      <c r="AA108" s="17">
        <v>0</v>
      </c>
      <c r="AB108" s="17">
        <f t="shared" si="67"/>
        <v>442.34896112150955</v>
      </c>
      <c r="AC108" s="17">
        <v>88.35601468121682</v>
      </c>
      <c r="AD108" s="17">
        <v>504.80214152917011</v>
      </c>
      <c r="AE108" s="17">
        <v>0</v>
      </c>
      <c r="AF108" s="17">
        <v>0</v>
      </c>
      <c r="AG108" s="17">
        <f t="shared" si="68"/>
        <v>593.15815621038689</v>
      </c>
      <c r="AH108" s="17">
        <v>72.783029802826348</v>
      </c>
      <c r="AI108" s="17">
        <v>526.49650567089247</v>
      </c>
      <c r="AJ108" s="17">
        <v>0</v>
      </c>
      <c r="AK108" s="17">
        <v>0</v>
      </c>
      <c r="AL108" s="17">
        <f t="shared" si="69"/>
        <v>599.27953547371885</v>
      </c>
      <c r="AM108" s="17">
        <v>82.24653736363112</v>
      </c>
      <c r="AN108" s="17">
        <v>520.09368774175323</v>
      </c>
      <c r="AO108" s="17">
        <v>0</v>
      </c>
      <c r="AP108" s="17">
        <v>0</v>
      </c>
      <c r="AQ108" s="17">
        <f t="shared" si="70"/>
        <v>602.34022510538432</v>
      </c>
      <c r="AR108" s="17">
        <v>86.547009640680315</v>
      </c>
      <c r="AS108" s="17">
        <v>504.57068681526249</v>
      </c>
      <c r="AT108" s="17">
        <v>0</v>
      </c>
      <c r="AU108" s="17">
        <v>0</v>
      </c>
      <c r="AV108" s="17">
        <f t="shared" si="71"/>
        <v>591.11769645594279</v>
      </c>
      <c r="AW108" s="17">
        <v>63.310989478534388</v>
      </c>
      <c r="AX108" s="17">
        <v>569.64486795963376</v>
      </c>
      <c r="AY108" s="17">
        <v>0</v>
      </c>
      <c r="AZ108" s="17">
        <v>0</v>
      </c>
      <c r="BA108" s="17">
        <f t="shared" si="72"/>
        <v>632.9558574381681</v>
      </c>
      <c r="BB108" s="17">
        <v>58.526134120711411</v>
      </c>
      <c r="BC108" s="17">
        <v>440.57731062916247</v>
      </c>
      <c r="BD108" s="17">
        <v>0</v>
      </c>
      <c r="BE108" s="17">
        <v>0</v>
      </c>
      <c r="BF108" s="17">
        <f t="shared" si="73"/>
        <v>499.10344474987386</v>
      </c>
      <c r="BG108" s="17">
        <v>57.770687046344648</v>
      </c>
      <c r="BH108" s="17">
        <v>452.75758512519042</v>
      </c>
      <c r="BI108" s="17">
        <v>0</v>
      </c>
      <c r="BJ108" s="17">
        <v>0</v>
      </c>
      <c r="BK108" s="17">
        <f t="shared" si="74"/>
        <v>510.52827217153504</v>
      </c>
      <c r="BL108" s="17">
        <v>62.754286235614757</v>
      </c>
      <c r="BM108" s="17">
        <v>386.99262302543389</v>
      </c>
      <c r="BN108" s="17">
        <v>0</v>
      </c>
      <c r="BO108" s="17">
        <v>0</v>
      </c>
      <c r="BP108" s="17">
        <f t="shared" si="75"/>
        <v>449.74690926104864</v>
      </c>
      <c r="BQ108" s="17">
        <f t="shared" si="76"/>
        <v>873.77601918489597</v>
      </c>
      <c r="BR108" s="17">
        <f t="shared" si="76"/>
        <v>5290.2347517767321</v>
      </c>
      <c r="BS108" s="17">
        <f t="shared" si="76"/>
        <v>0</v>
      </c>
      <c r="BT108" s="17">
        <f t="shared" si="76"/>
        <v>0</v>
      </c>
      <c r="BU108" s="17">
        <f t="shared" si="46"/>
        <v>6164.0107709616277</v>
      </c>
    </row>
    <row r="109" spans="1:73" s="38" customFormat="1" hidden="1" outlineLevel="1">
      <c r="A109" s="27" t="s">
        <v>242</v>
      </c>
      <c r="B109" s="17" t="s">
        <v>293</v>
      </c>
      <c r="C109" s="17" t="s">
        <v>294</v>
      </c>
      <c r="D109" s="17" t="s">
        <v>307</v>
      </c>
      <c r="E109" s="17" t="s">
        <v>308</v>
      </c>
      <c r="F109" s="18" t="s">
        <v>309</v>
      </c>
      <c r="G109" s="17" t="s">
        <v>310</v>
      </c>
      <c r="H109" s="17" t="s">
        <v>45</v>
      </c>
      <c r="I109" s="17">
        <v>9.1320780399890982</v>
      </c>
      <c r="J109" s="17">
        <v>188.16982448390746</v>
      </c>
      <c r="K109" s="17">
        <v>0</v>
      </c>
      <c r="L109" s="17">
        <v>0</v>
      </c>
      <c r="M109" s="17">
        <f t="shared" si="64"/>
        <v>197.30190252389656</v>
      </c>
      <c r="N109" s="17">
        <v>12.103870394017337</v>
      </c>
      <c r="O109" s="17">
        <v>189.38586881243134</v>
      </c>
      <c r="P109" s="17">
        <v>0</v>
      </c>
      <c r="Q109" s="17">
        <v>0</v>
      </c>
      <c r="R109" s="17">
        <f t="shared" si="65"/>
        <v>201.48973920644869</v>
      </c>
      <c r="S109" s="17">
        <v>10.71191524237492</v>
      </c>
      <c r="T109" s="17">
        <v>193.86202661487323</v>
      </c>
      <c r="U109" s="17">
        <v>0</v>
      </c>
      <c r="V109" s="17">
        <v>0</v>
      </c>
      <c r="W109" s="17">
        <f t="shared" si="66"/>
        <v>204.57394185724814</v>
      </c>
      <c r="X109" s="17">
        <v>13.308554776105877</v>
      </c>
      <c r="Y109" s="17">
        <v>223.31072697003418</v>
      </c>
      <c r="Z109" s="17">
        <v>0</v>
      </c>
      <c r="AA109" s="17">
        <v>0</v>
      </c>
      <c r="AB109" s="17">
        <f t="shared" si="67"/>
        <v>236.61928174614005</v>
      </c>
      <c r="AC109" s="17">
        <v>32.587068062672216</v>
      </c>
      <c r="AD109" s="17">
        <v>259.12937058823593</v>
      </c>
      <c r="AE109" s="17">
        <v>0</v>
      </c>
      <c r="AF109" s="17">
        <v>0</v>
      </c>
      <c r="AG109" s="17">
        <f t="shared" si="68"/>
        <v>291.71643865090812</v>
      </c>
      <c r="AH109" s="17">
        <f>+'[1]Sell in ko tính KDT'!AC109</f>
        <v>9.013239158194315</v>
      </c>
      <c r="AI109" s="17">
        <f>+'[1]Sell in ko tính KDT'!AD109</f>
        <v>217.97809231748258</v>
      </c>
      <c r="AJ109" s="17">
        <v>0</v>
      </c>
      <c r="AK109" s="17">
        <v>0</v>
      </c>
      <c r="AL109" s="17">
        <f t="shared" si="69"/>
        <v>226.9913314756769</v>
      </c>
      <c r="AM109" s="17">
        <f>+'[1]Sell in ko tính KDT'!AG109</f>
        <v>17.439410253716421</v>
      </c>
      <c r="AN109" s="17">
        <f>+'[1]Sell in ko tính KDT'!AH109</f>
        <v>209.341799667038</v>
      </c>
      <c r="AO109" s="17">
        <v>0</v>
      </c>
      <c r="AP109" s="17">
        <v>0</v>
      </c>
      <c r="AQ109" s="17">
        <f t="shared" si="70"/>
        <v>226.78120992075443</v>
      </c>
      <c r="AR109" s="17">
        <f>+'[1]Sell in ko tính KDT'!AK109</f>
        <v>8.9394102537164155</v>
      </c>
      <c r="AS109" s="17">
        <f>+'[1]Sell in ko tính KDT'!AL109</f>
        <v>237.841799667038</v>
      </c>
      <c r="AT109" s="17">
        <v>0</v>
      </c>
      <c r="AU109" s="17">
        <v>0</v>
      </c>
      <c r="AV109" s="17">
        <f t="shared" si="71"/>
        <v>246.78120992075441</v>
      </c>
      <c r="AW109" s="17">
        <f>+'[1]Sell in ko tính KDT'!AO109</f>
        <v>5.7347258716279903</v>
      </c>
      <c r="AX109" s="17">
        <f>+'[1]Sell in ko tính KDT'!AP109</f>
        <v>225.91694150943499</v>
      </c>
      <c r="AY109" s="17">
        <v>0</v>
      </c>
      <c r="AZ109" s="17">
        <v>0</v>
      </c>
      <c r="BA109" s="17">
        <f t="shared" si="72"/>
        <v>231.65166738106299</v>
      </c>
      <c r="BB109" s="17">
        <f>+'[1]Sell in ko tính KDT'!AS109</f>
        <v>8.2515282029731072</v>
      </c>
      <c r="BC109" s="17">
        <f>+'[1]Sell in ko tính KDT'!AT109</f>
        <v>188.17343973363</v>
      </c>
      <c r="BD109" s="17">
        <v>0</v>
      </c>
      <c r="BE109" s="17">
        <v>0</v>
      </c>
      <c r="BF109" s="17">
        <f t="shared" si="73"/>
        <v>196.42496793660311</v>
      </c>
      <c r="BG109" s="17">
        <f>+'[1]Sell in ko tính KDT'!AW109</f>
        <v>6.3253571074510031</v>
      </c>
      <c r="BH109" s="17">
        <f>+'[1]Sell in ko tính KDT'!AX109</f>
        <v>190.067225194229</v>
      </c>
      <c r="BI109" s="17">
        <v>0</v>
      </c>
      <c r="BJ109" s="17">
        <v>0</v>
      </c>
      <c r="BK109" s="17">
        <f t="shared" si="74"/>
        <v>196.39258230167999</v>
      </c>
      <c r="BL109" s="17">
        <f>+'[1]Sell in ko tính KDT'!BA109</f>
        <v>7.8991860119288919</v>
      </c>
      <c r="BM109" s="17">
        <f>+'[1]Sell in ko tính KDT'!BB109</f>
        <v>178.46101065482901</v>
      </c>
      <c r="BN109" s="17">
        <v>0</v>
      </c>
      <c r="BO109" s="17">
        <v>0</v>
      </c>
      <c r="BP109" s="17">
        <f t="shared" si="75"/>
        <v>186.3601966667579</v>
      </c>
      <c r="BQ109" s="17">
        <f t="shared" si="76"/>
        <v>141.44634337476759</v>
      </c>
      <c r="BR109" s="17">
        <f t="shared" si="76"/>
        <v>2501.6381262131645</v>
      </c>
      <c r="BS109" s="17">
        <f t="shared" si="76"/>
        <v>0</v>
      </c>
      <c r="BT109" s="17">
        <f t="shared" si="76"/>
        <v>0</v>
      </c>
      <c r="BU109" s="17">
        <f t="shared" si="46"/>
        <v>2643.0844695879323</v>
      </c>
    </row>
    <row r="110" spans="1:73" s="38" customFormat="1" hidden="1" outlineLevel="1">
      <c r="A110" s="27" t="s">
        <v>242</v>
      </c>
      <c r="B110" s="17" t="s">
        <v>293</v>
      </c>
      <c r="C110" s="17" t="s">
        <v>294</v>
      </c>
      <c r="D110" s="17" t="s">
        <v>307</v>
      </c>
      <c r="E110" s="17" t="s">
        <v>308</v>
      </c>
      <c r="F110" s="18" t="s">
        <v>311</v>
      </c>
      <c r="G110" s="17" t="s">
        <v>312</v>
      </c>
      <c r="H110" s="17" t="s">
        <v>45</v>
      </c>
      <c r="I110" s="17">
        <v>5.8399284891836292</v>
      </c>
      <c r="J110" s="17">
        <v>297.93467057901324</v>
      </c>
      <c r="K110" s="17">
        <v>0</v>
      </c>
      <c r="L110" s="17">
        <v>0</v>
      </c>
      <c r="M110" s="17">
        <f t="shared" si="64"/>
        <v>303.77459906819689</v>
      </c>
      <c r="N110" s="17">
        <v>7.0407199078856708</v>
      </c>
      <c r="O110" s="17">
        <v>295.98683104849522</v>
      </c>
      <c r="P110" s="17">
        <v>0</v>
      </c>
      <c r="Q110" s="17">
        <v>0</v>
      </c>
      <c r="R110" s="17">
        <f t="shared" si="65"/>
        <v>303.02755095638088</v>
      </c>
      <c r="S110" s="17">
        <v>9.5685473219819812</v>
      </c>
      <c r="T110" s="17">
        <v>326.36333307040144</v>
      </c>
      <c r="U110" s="17">
        <v>0</v>
      </c>
      <c r="V110" s="17">
        <v>0</v>
      </c>
      <c r="W110" s="17">
        <f t="shared" si="66"/>
        <v>335.93188039238339</v>
      </c>
      <c r="X110" s="17">
        <v>6.6709215780880884</v>
      </c>
      <c r="Y110" s="17">
        <v>354.01981447884708</v>
      </c>
      <c r="Z110" s="17">
        <v>0</v>
      </c>
      <c r="AA110" s="17">
        <v>0</v>
      </c>
      <c r="AB110" s="17">
        <f t="shared" si="67"/>
        <v>360.69073605693518</v>
      </c>
      <c r="AC110" s="17">
        <v>13.301633854919919</v>
      </c>
      <c r="AD110" s="17">
        <v>384.71675890138027</v>
      </c>
      <c r="AE110" s="17">
        <v>0</v>
      </c>
      <c r="AF110" s="17">
        <v>0</v>
      </c>
      <c r="AG110" s="17">
        <f t="shared" si="68"/>
        <v>398.01839275630022</v>
      </c>
      <c r="AH110" s="17">
        <f>+'[1]Sell in ko tính KDT'!AC110</f>
        <v>3.0913964293093001</v>
      </c>
      <c r="AI110" s="17">
        <f>+'[1]Sell in ko tính KDT'!AD110</f>
        <v>482.90860357069073</v>
      </c>
      <c r="AJ110" s="17">
        <v>0</v>
      </c>
      <c r="AK110" s="17">
        <v>0</v>
      </c>
      <c r="AL110" s="17">
        <f t="shared" si="69"/>
        <v>486.00000000000006</v>
      </c>
      <c r="AM110" s="17">
        <f>+'[1]Sell in ko tính KDT'!AG110</f>
        <v>5.9979575734823767</v>
      </c>
      <c r="AN110" s="17">
        <f>+'[1]Sell in ko tính KDT'!AH110</f>
        <v>491.34415603127002</v>
      </c>
      <c r="AO110" s="17">
        <v>0</v>
      </c>
      <c r="AP110" s="17">
        <v>0</v>
      </c>
      <c r="AQ110" s="17">
        <f t="shared" si="70"/>
        <v>497.3421136047524</v>
      </c>
      <c r="AR110" s="17">
        <f>+'[1]Sell in ko tính KDT'!AK110</f>
        <v>10.208194999092985</v>
      </c>
      <c r="AS110" s="17">
        <f>+'[1]Sell in ko tính KDT'!AL110</f>
        <v>485.909804172115</v>
      </c>
      <c r="AT110" s="17">
        <v>0</v>
      </c>
      <c r="AU110" s="17">
        <v>0</v>
      </c>
      <c r="AV110" s="17">
        <f t="shared" si="71"/>
        <v>496.117999171208</v>
      </c>
      <c r="AW110" s="17">
        <f>+'[1]Sell in ko tính KDT'!AO110</f>
        <v>7.6570078710399292</v>
      </c>
      <c r="AX110" s="17">
        <f>+'[1]Sell in ko tính KDT'!AP110</f>
        <v>474.58156346789298</v>
      </c>
      <c r="AY110" s="17">
        <v>0</v>
      </c>
      <c r="AZ110" s="17">
        <v>0</v>
      </c>
      <c r="BA110" s="17">
        <f t="shared" si="72"/>
        <v>482.2385713389329</v>
      </c>
      <c r="BB110" s="17">
        <f>+'[1]Sell in ko tính KDT'!AS110</f>
        <v>6.3533315896023801</v>
      </c>
      <c r="BC110" s="17">
        <f>+'[1]Sell in ko tính KDT'!AT110</f>
        <v>373.20896059778499</v>
      </c>
      <c r="BD110" s="17">
        <v>0</v>
      </c>
      <c r="BE110" s="17">
        <v>0</v>
      </c>
      <c r="BF110" s="17">
        <f t="shared" si="73"/>
        <v>379.56229218738736</v>
      </c>
      <c r="BG110" s="17">
        <f>+'[1]Sell in ko tính KDT'!AW110</f>
        <v>6.5496553081648301</v>
      </c>
      <c r="BH110" s="17">
        <f>+'[1]Sell in ko tính KDT'!AX110</f>
        <v>370.33635772767599</v>
      </c>
      <c r="BI110" s="17">
        <v>0</v>
      </c>
      <c r="BJ110" s="17">
        <v>0</v>
      </c>
      <c r="BK110" s="17">
        <f t="shared" si="74"/>
        <v>376.88601303584085</v>
      </c>
      <c r="BL110" s="17">
        <f>+'[1]Sell in ko tính KDT'!BA110</f>
        <v>6.2882307545011713</v>
      </c>
      <c r="BM110" s="17">
        <f>+'[1]Sell in ko tính KDT'!BB110</f>
        <v>367.94246888260898</v>
      </c>
      <c r="BN110" s="17">
        <v>0</v>
      </c>
      <c r="BO110" s="17">
        <v>0</v>
      </c>
      <c r="BP110" s="17">
        <f t="shared" si="75"/>
        <v>374.23069963711015</v>
      </c>
      <c r="BQ110" s="17">
        <f t="shared" si="76"/>
        <v>88.567525677252263</v>
      </c>
      <c r="BR110" s="17">
        <f t="shared" si="76"/>
        <v>4705.2533225281759</v>
      </c>
      <c r="BS110" s="17">
        <f t="shared" si="76"/>
        <v>0</v>
      </c>
      <c r="BT110" s="17">
        <f t="shared" si="76"/>
        <v>0</v>
      </c>
      <c r="BU110" s="17">
        <f t="shared" si="46"/>
        <v>4793.8208482054279</v>
      </c>
    </row>
    <row r="111" spans="1:73" s="38" customFormat="1" hidden="1" outlineLevel="1">
      <c r="A111" s="27" t="s">
        <v>242</v>
      </c>
      <c r="B111" s="17" t="s">
        <v>293</v>
      </c>
      <c r="C111" s="17" t="s">
        <v>294</v>
      </c>
      <c r="D111" s="17"/>
      <c r="E111" s="17" t="s">
        <v>313</v>
      </c>
      <c r="F111" s="18" t="s">
        <v>314</v>
      </c>
      <c r="G111" s="17" t="s">
        <v>315</v>
      </c>
      <c r="H111" s="17" t="s">
        <v>39</v>
      </c>
      <c r="I111" s="17">
        <v>0.4460271420321148</v>
      </c>
      <c r="J111" s="17">
        <v>69.002032483304191</v>
      </c>
      <c r="K111" s="17">
        <v>0</v>
      </c>
      <c r="L111" s="17">
        <v>0</v>
      </c>
      <c r="M111" s="17">
        <f t="shared" si="64"/>
        <v>69.448059625336299</v>
      </c>
      <c r="N111" s="17">
        <v>0.4460271420321148</v>
      </c>
      <c r="O111" s="17">
        <v>69.002032483304191</v>
      </c>
      <c r="P111" s="17">
        <v>0</v>
      </c>
      <c r="Q111" s="17">
        <v>0</v>
      </c>
      <c r="R111" s="17">
        <f t="shared" si="65"/>
        <v>69.448059625336299</v>
      </c>
      <c r="S111" s="17">
        <v>0.4460271420321148</v>
      </c>
      <c r="T111" s="17">
        <v>63.00203248330422</v>
      </c>
      <c r="U111" s="17">
        <v>0</v>
      </c>
      <c r="V111" s="17">
        <v>0</v>
      </c>
      <c r="W111" s="17">
        <f t="shared" si="66"/>
        <v>63.448059625336334</v>
      </c>
      <c r="X111" s="17">
        <v>0.4460271420321148</v>
      </c>
      <c r="Y111" s="17">
        <v>69.002032483304191</v>
      </c>
      <c r="Z111" s="17">
        <v>0</v>
      </c>
      <c r="AA111" s="17">
        <v>0</v>
      </c>
      <c r="AB111" s="17">
        <f t="shared" si="67"/>
        <v>69.448059625336299</v>
      </c>
      <c r="AC111" s="17">
        <v>0.4460271420321148</v>
      </c>
      <c r="AD111" s="17">
        <v>69.002032483304191</v>
      </c>
      <c r="AE111" s="17">
        <v>0</v>
      </c>
      <c r="AF111" s="17">
        <v>0</v>
      </c>
      <c r="AG111" s="17">
        <f t="shared" si="68"/>
        <v>69.448059625336299</v>
      </c>
      <c r="AH111" s="17">
        <v>0.4460271420321148</v>
      </c>
      <c r="AI111" s="17">
        <v>69.002032483304191</v>
      </c>
      <c r="AJ111" s="17">
        <v>0</v>
      </c>
      <c r="AK111" s="17">
        <v>0</v>
      </c>
      <c r="AL111" s="17">
        <f t="shared" si="69"/>
        <v>69.448059625336299</v>
      </c>
      <c r="AM111" s="17">
        <v>0.4460271420321148</v>
      </c>
      <c r="AN111" s="17">
        <v>69.002032483304191</v>
      </c>
      <c r="AO111" s="17">
        <v>0</v>
      </c>
      <c r="AP111" s="17">
        <v>0</v>
      </c>
      <c r="AQ111" s="17">
        <f t="shared" si="70"/>
        <v>69.448059625336299</v>
      </c>
      <c r="AR111" s="17">
        <v>0.4460271420321148</v>
      </c>
      <c r="AS111" s="17">
        <v>69.002032483304191</v>
      </c>
      <c r="AT111" s="17">
        <v>0</v>
      </c>
      <c r="AU111" s="17">
        <v>0</v>
      </c>
      <c r="AV111" s="17">
        <f t="shared" si="71"/>
        <v>69.448059625336299</v>
      </c>
      <c r="AW111" s="17">
        <v>0.4460271420321148</v>
      </c>
      <c r="AX111" s="17">
        <v>69.002032483304191</v>
      </c>
      <c r="AY111" s="17">
        <v>0</v>
      </c>
      <c r="AZ111" s="17">
        <v>0</v>
      </c>
      <c r="BA111" s="17">
        <f t="shared" si="72"/>
        <v>69.448059625336299</v>
      </c>
      <c r="BB111" s="17">
        <v>0.4460271420321148</v>
      </c>
      <c r="BC111" s="17">
        <v>71.002032483304163</v>
      </c>
      <c r="BD111" s="17">
        <v>0</v>
      </c>
      <c r="BE111" s="17">
        <v>0</v>
      </c>
      <c r="BF111" s="17">
        <f t="shared" si="73"/>
        <v>71.448059625336271</v>
      </c>
      <c r="BG111" s="17">
        <v>0.4460271420321148</v>
      </c>
      <c r="BH111" s="17">
        <v>71.00203248330422</v>
      </c>
      <c r="BI111" s="17">
        <v>0</v>
      </c>
      <c r="BJ111" s="17">
        <v>0</v>
      </c>
      <c r="BK111" s="17">
        <f t="shared" si="74"/>
        <v>71.448059625336327</v>
      </c>
      <c r="BL111" s="17">
        <v>0.4460271420321148</v>
      </c>
      <c r="BM111" s="17">
        <v>71.00203248330422</v>
      </c>
      <c r="BN111" s="17">
        <v>0</v>
      </c>
      <c r="BO111" s="17">
        <v>0</v>
      </c>
      <c r="BP111" s="17">
        <f t="shared" si="75"/>
        <v>71.448059625336327</v>
      </c>
      <c r="BQ111" s="17">
        <f t="shared" si="76"/>
        <v>5.352325704385378</v>
      </c>
      <c r="BR111" s="17">
        <f t="shared" si="76"/>
        <v>828.02438979965052</v>
      </c>
      <c r="BS111" s="17">
        <f t="shared" si="76"/>
        <v>0</v>
      </c>
      <c r="BT111" s="17">
        <f t="shared" si="76"/>
        <v>0</v>
      </c>
      <c r="BU111" s="17">
        <f t="shared" si="46"/>
        <v>833.37671550403593</v>
      </c>
    </row>
    <row r="112" spans="1:73" s="38" customFormat="1" hidden="1" outlineLevel="1">
      <c r="A112" s="27" t="s">
        <v>242</v>
      </c>
      <c r="B112" s="17" t="s">
        <v>293</v>
      </c>
      <c r="C112" s="17" t="s">
        <v>294</v>
      </c>
      <c r="D112" s="17"/>
      <c r="E112" s="17" t="s">
        <v>313</v>
      </c>
      <c r="F112" s="18" t="s">
        <v>316</v>
      </c>
      <c r="G112" s="17" t="s">
        <v>317</v>
      </c>
      <c r="H112" s="17" t="s">
        <v>39</v>
      </c>
      <c r="I112" s="17">
        <v>25.398245316432373</v>
      </c>
      <c r="J112" s="17">
        <v>6.3218138837584998</v>
      </c>
      <c r="K112" s="17">
        <v>0</v>
      </c>
      <c r="L112" s="17">
        <v>0</v>
      </c>
      <c r="M112" s="17">
        <f t="shared" si="64"/>
        <v>31.720059200190875</v>
      </c>
      <c r="N112" s="17">
        <v>15.398245316432369</v>
      </c>
      <c r="O112" s="17">
        <v>2.3218138837585003</v>
      </c>
      <c r="P112" s="17">
        <v>0</v>
      </c>
      <c r="Q112" s="17">
        <v>0</v>
      </c>
      <c r="R112" s="17">
        <f t="shared" si="65"/>
        <v>17.720059200190871</v>
      </c>
      <c r="S112" s="17">
        <v>13.398245316432371</v>
      </c>
      <c r="T112" s="17">
        <v>4.3218138837585007</v>
      </c>
      <c r="U112" s="17">
        <v>0</v>
      </c>
      <c r="V112" s="17">
        <v>0</v>
      </c>
      <c r="W112" s="17">
        <f t="shared" si="66"/>
        <v>17.720059200190871</v>
      </c>
      <c r="X112" s="17">
        <v>15.398245316432371</v>
      </c>
      <c r="Y112" s="17">
        <v>4.3218138837585007</v>
      </c>
      <c r="Z112" s="17">
        <v>0</v>
      </c>
      <c r="AA112" s="17">
        <v>0</v>
      </c>
      <c r="AB112" s="17">
        <f t="shared" si="67"/>
        <v>19.720059200190871</v>
      </c>
      <c r="AC112" s="17">
        <v>15.398245316432371</v>
      </c>
      <c r="AD112" s="17">
        <v>4.3218138837585007</v>
      </c>
      <c r="AE112" s="17">
        <v>0</v>
      </c>
      <c r="AF112" s="17">
        <v>0</v>
      </c>
      <c r="AG112" s="17">
        <f t="shared" si="68"/>
        <v>19.720059200190871</v>
      </c>
      <c r="AH112" s="17">
        <v>15.398245316432371</v>
      </c>
      <c r="AI112" s="17">
        <v>4.3218138837585007</v>
      </c>
      <c r="AJ112" s="17">
        <v>0</v>
      </c>
      <c r="AK112" s="17">
        <v>0</v>
      </c>
      <c r="AL112" s="17">
        <f t="shared" si="69"/>
        <v>19.720059200190871</v>
      </c>
      <c r="AM112" s="17">
        <v>19.398245316432373</v>
      </c>
      <c r="AN112" s="17">
        <v>12.3218138837585</v>
      </c>
      <c r="AO112" s="17">
        <v>0</v>
      </c>
      <c r="AP112" s="17">
        <v>0</v>
      </c>
      <c r="AQ112" s="17">
        <f t="shared" si="70"/>
        <v>31.720059200190875</v>
      </c>
      <c r="AR112" s="17">
        <v>17.398245316432373</v>
      </c>
      <c r="AS112" s="17">
        <v>1.3218138837585003</v>
      </c>
      <c r="AT112" s="17">
        <v>0</v>
      </c>
      <c r="AU112" s="17">
        <v>0</v>
      </c>
      <c r="AV112" s="17">
        <f t="shared" si="71"/>
        <v>18.720059200190875</v>
      </c>
      <c r="AW112" s="17">
        <v>17.398245316432373</v>
      </c>
      <c r="AX112" s="17">
        <v>1.3218138837585003</v>
      </c>
      <c r="AY112" s="17">
        <v>0</v>
      </c>
      <c r="AZ112" s="17">
        <v>0</v>
      </c>
      <c r="BA112" s="17">
        <f t="shared" si="72"/>
        <v>18.720059200190875</v>
      </c>
      <c r="BB112" s="17">
        <v>17.398245316432373</v>
      </c>
      <c r="BC112" s="17">
        <v>4.3218138837585007</v>
      </c>
      <c r="BD112" s="17">
        <v>0</v>
      </c>
      <c r="BE112" s="17">
        <v>0</v>
      </c>
      <c r="BF112" s="17">
        <f t="shared" si="73"/>
        <v>21.720059200190875</v>
      </c>
      <c r="BG112" s="17">
        <v>17.398245316432373</v>
      </c>
      <c r="BH112" s="17">
        <v>4.3218138837585007</v>
      </c>
      <c r="BI112" s="17">
        <v>0</v>
      </c>
      <c r="BJ112" s="17">
        <v>0</v>
      </c>
      <c r="BK112" s="17">
        <f t="shared" si="74"/>
        <v>21.720059200190875</v>
      </c>
      <c r="BL112" s="17">
        <v>17.398245316432373</v>
      </c>
      <c r="BM112" s="17">
        <v>4.3218138837585007</v>
      </c>
      <c r="BN112" s="17">
        <v>0</v>
      </c>
      <c r="BO112" s="17">
        <v>0</v>
      </c>
      <c r="BP112" s="17">
        <f t="shared" si="75"/>
        <v>21.720059200190875</v>
      </c>
      <c r="BQ112" s="17">
        <f t="shared" si="76"/>
        <v>206.77894379718842</v>
      </c>
      <c r="BR112" s="17">
        <f t="shared" si="76"/>
        <v>53.861766605102012</v>
      </c>
      <c r="BS112" s="17">
        <f t="shared" si="76"/>
        <v>0</v>
      </c>
      <c r="BT112" s="17">
        <f t="shared" si="76"/>
        <v>0</v>
      </c>
      <c r="BU112" s="17">
        <f t="shared" si="46"/>
        <v>260.64071040229044</v>
      </c>
    </row>
    <row r="113" spans="1:73" s="38" customFormat="1" hidden="1" outlineLevel="1">
      <c r="A113" s="27" t="s">
        <v>242</v>
      </c>
      <c r="B113" s="17" t="s">
        <v>293</v>
      </c>
      <c r="C113" s="17" t="s">
        <v>294</v>
      </c>
      <c r="D113" s="17"/>
      <c r="E113" s="17" t="s">
        <v>313</v>
      </c>
      <c r="F113" s="18" t="s">
        <v>318</v>
      </c>
      <c r="G113" s="17" t="s">
        <v>319</v>
      </c>
      <c r="H113" s="17" t="s">
        <v>320</v>
      </c>
      <c r="I113" s="17">
        <v>158.6535021671971</v>
      </c>
      <c r="J113" s="17">
        <v>49.975591002162417</v>
      </c>
      <c r="K113" s="17">
        <v>0</v>
      </c>
      <c r="L113" s="17">
        <v>0</v>
      </c>
      <c r="M113" s="17">
        <f t="shared" si="64"/>
        <v>208.62909316935952</v>
      </c>
      <c r="N113" s="17">
        <v>163.62025316719721</v>
      </c>
      <c r="O113" s="17">
        <v>48.008840002162472</v>
      </c>
      <c r="P113" s="17">
        <v>0</v>
      </c>
      <c r="Q113" s="17">
        <v>0</v>
      </c>
      <c r="R113" s="17">
        <f t="shared" si="65"/>
        <v>211.62909316935969</v>
      </c>
      <c r="S113" s="17">
        <v>167.62025316719715</v>
      </c>
      <c r="T113" s="17">
        <v>51.008840002162472</v>
      </c>
      <c r="U113" s="17">
        <v>0</v>
      </c>
      <c r="V113" s="17">
        <v>0</v>
      </c>
      <c r="W113" s="17">
        <f t="shared" si="66"/>
        <v>218.62909316935963</v>
      </c>
      <c r="X113" s="17">
        <v>178.62025316719712</v>
      </c>
      <c r="Y113" s="17">
        <v>63.008840002162422</v>
      </c>
      <c r="Z113" s="17">
        <v>0</v>
      </c>
      <c r="AA113" s="17">
        <v>0</v>
      </c>
      <c r="AB113" s="17">
        <f t="shared" si="67"/>
        <v>241.62909316935955</v>
      </c>
      <c r="AC113" s="17">
        <v>192.62025316719721</v>
      </c>
      <c r="AD113" s="17">
        <v>49.008840002162422</v>
      </c>
      <c r="AE113" s="17">
        <v>0</v>
      </c>
      <c r="AF113" s="17">
        <v>0</v>
      </c>
      <c r="AG113" s="17">
        <f t="shared" si="68"/>
        <v>241.62909316935963</v>
      </c>
      <c r="AH113" s="17"/>
      <c r="AI113" s="17"/>
      <c r="AJ113" s="17">
        <v>0</v>
      </c>
      <c r="AK113" s="17">
        <v>0</v>
      </c>
      <c r="AL113" s="17">
        <f t="shared" si="69"/>
        <v>0</v>
      </c>
      <c r="AM113" s="17"/>
      <c r="AN113" s="17"/>
      <c r="AO113" s="17">
        <v>0</v>
      </c>
      <c r="AP113" s="17">
        <v>0</v>
      </c>
      <c r="AQ113" s="17">
        <f t="shared" si="70"/>
        <v>0</v>
      </c>
      <c r="AR113" s="17"/>
      <c r="AS113" s="17"/>
      <c r="AT113" s="17">
        <v>0</v>
      </c>
      <c r="AU113" s="17">
        <v>0</v>
      </c>
      <c r="AV113" s="17">
        <f t="shared" si="71"/>
        <v>0</v>
      </c>
      <c r="AW113" s="17"/>
      <c r="AX113" s="17"/>
      <c r="AY113" s="17">
        <v>0</v>
      </c>
      <c r="AZ113" s="17">
        <v>0</v>
      </c>
      <c r="BA113" s="17">
        <f t="shared" si="72"/>
        <v>0</v>
      </c>
      <c r="BB113" s="17"/>
      <c r="BC113" s="17"/>
      <c r="BD113" s="17">
        <v>0</v>
      </c>
      <c r="BE113" s="17">
        <v>0</v>
      </c>
      <c r="BF113" s="17">
        <f t="shared" si="73"/>
        <v>0</v>
      </c>
      <c r="BG113" s="17"/>
      <c r="BH113" s="17"/>
      <c r="BI113" s="17">
        <v>0</v>
      </c>
      <c r="BJ113" s="17">
        <v>0</v>
      </c>
      <c r="BK113" s="17">
        <f t="shared" si="74"/>
        <v>0</v>
      </c>
      <c r="BL113" s="17"/>
      <c r="BM113" s="17"/>
      <c r="BN113" s="17">
        <v>0</v>
      </c>
      <c r="BO113" s="17">
        <v>0</v>
      </c>
      <c r="BP113" s="17">
        <f t="shared" si="75"/>
        <v>0</v>
      </c>
      <c r="BQ113" s="17">
        <f t="shared" si="76"/>
        <v>861.13451483598578</v>
      </c>
      <c r="BR113" s="17">
        <f t="shared" si="76"/>
        <v>261.01095101081216</v>
      </c>
      <c r="BS113" s="17">
        <f t="shared" si="76"/>
        <v>0</v>
      </c>
      <c r="BT113" s="17">
        <f t="shared" si="76"/>
        <v>0</v>
      </c>
      <c r="BU113" s="17">
        <f t="shared" si="46"/>
        <v>1122.1454658467978</v>
      </c>
    </row>
    <row r="114" spans="1:73" s="38" customFormat="1" hidden="1" outlineLevel="1">
      <c r="A114" s="27" t="s">
        <v>242</v>
      </c>
      <c r="B114" s="17" t="s">
        <v>293</v>
      </c>
      <c r="C114" s="17" t="s">
        <v>294</v>
      </c>
      <c r="D114" s="17"/>
      <c r="E114" s="17" t="s">
        <v>313</v>
      </c>
      <c r="F114" s="41" t="s">
        <v>321</v>
      </c>
      <c r="G114" s="41" t="s">
        <v>322</v>
      </c>
      <c r="H114" s="17" t="s">
        <v>320</v>
      </c>
      <c r="I114" s="17">
        <v>57.591065626501567</v>
      </c>
      <c r="J114" s="17">
        <v>49.723679962648617</v>
      </c>
      <c r="K114" s="17">
        <v>0</v>
      </c>
      <c r="L114" s="17">
        <v>0</v>
      </c>
      <c r="M114" s="17">
        <f t="shared" si="64"/>
        <v>107.31474558915019</v>
      </c>
      <c r="N114" s="17">
        <v>61.591065626501575</v>
      </c>
      <c r="O114" s="17">
        <v>35.723679962648617</v>
      </c>
      <c r="P114" s="17">
        <v>0</v>
      </c>
      <c r="Q114" s="17">
        <v>0</v>
      </c>
      <c r="R114" s="17">
        <f t="shared" si="65"/>
        <v>97.314745589150192</v>
      </c>
      <c r="S114" s="17">
        <v>59.591065626501575</v>
      </c>
      <c r="T114" s="17">
        <v>49.723679962648617</v>
      </c>
      <c r="U114" s="17">
        <v>0</v>
      </c>
      <c r="V114" s="17">
        <v>0</v>
      </c>
      <c r="W114" s="17">
        <f t="shared" si="66"/>
        <v>109.31474558915019</v>
      </c>
      <c r="X114" s="17">
        <v>60.591065626501575</v>
      </c>
      <c r="Y114" s="17">
        <v>48.723679962648617</v>
      </c>
      <c r="Z114" s="17">
        <v>0</v>
      </c>
      <c r="AA114" s="17">
        <v>0</v>
      </c>
      <c r="AB114" s="17">
        <f t="shared" si="67"/>
        <v>109.31474558915019</v>
      </c>
      <c r="AC114" s="17">
        <v>61.591065626501575</v>
      </c>
      <c r="AD114" s="17">
        <v>47.723679962648617</v>
      </c>
      <c r="AE114" s="17">
        <v>0</v>
      </c>
      <c r="AF114" s="17">
        <v>0</v>
      </c>
      <c r="AG114" s="17">
        <f t="shared" si="68"/>
        <v>109.31474558915019</v>
      </c>
      <c r="AH114" s="17"/>
      <c r="AI114" s="17"/>
      <c r="AJ114" s="17">
        <v>0</v>
      </c>
      <c r="AK114" s="17">
        <v>0</v>
      </c>
      <c r="AL114" s="17">
        <f t="shared" si="69"/>
        <v>0</v>
      </c>
      <c r="AM114" s="17"/>
      <c r="AN114" s="17"/>
      <c r="AO114" s="17">
        <v>0</v>
      </c>
      <c r="AP114" s="17">
        <v>0</v>
      </c>
      <c r="AQ114" s="17">
        <f t="shared" si="70"/>
        <v>0</v>
      </c>
      <c r="AR114" s="17"/>
      <c r="AS114" s="17"/>
      <c r="AT114" s="17">
        <v>0</v>
      </c>
      <c r="AU114" s="17">
        <v>0</v>
      </c>
      <c r="AV114" s="17">
        <f t="shared" si="71"/>
        <v>0</v>
      </c>
      <c r="AW114" s="17"/>
      <c r="AX114" s="17"/>
      <c r="AY114" s="17">
        <v>0</v>
      </c>
      <c r="AZ114" s="17">
        <v>0</v>
      </c>
      <c r="BA114" s="17">
        <f t="shared" si="72"/>
        <v>0</v>
      </c>
      <c r="BB114" s="17"/>
      <c r="BC114" s="17"/>
      <c r="BD114" s="17">
        <v>0</v>
      </c>
      <c r="BE114" s="17">
        <v>0</v>
      </c>
      <c r="BF114" s="17">
        <f t="shared" si="73"/>
        <v>0</v>
      </c>
      <c r="BG114" s="17"/>
      <c r="BH114" s="17"/>
      <c r="BI114" s="17">
        <v>0</v>
      </c>
      <c r="BJ114" s="17">
        <v>0</v>
      </c>
      <c r="BK114" s="17">
        <f t="shared" si="74"/>
        <v>0</v>
      </c>
      <c r="BL114" s="17"/>
      <c r="BM114" s="17"/>
      <c r="BN114" s="17">
        <v>0</v>
      </c>
      <c r="BO114" s="17">
        <v>0</v>
      </c>
      <c r="BP114" s="17">
        <f t="shared" si="75"/>
        <v>0</v>
      </c>
      <c r="BQ114" s="17">
        <f t="shared" si="76"/>
        <v>300.95532813250787</v>
      </c>
      <c r="BR114" s="17">
        <f t="shared" si="76"/>
        <v>231.61839981324309</v>
      </c>
      <c r="BS114" s="17">
        <f t="shared" si="76"/>
        <v>0</v>
      </c>
      <c r="BT114" s="17">
        <f t="shared" si="76"/>
        <v>0</v>
      </c>
      <c r="BU114" s="17">
        <f t="shared" si="46"/>
        <v>532.57372794575099</v>
      </c>
    </row>
    <row r="115" spans="1:73" s="38" customFormat="1" hidden="1" outlineLevel="1">
      <c r="A115" s="27" t="s">
        <v>242</v>
      </c>
      <c r="B115" s="17" t="s">
        <v>293</v>
      </c>
      <c r="C115" s="17" t="s">
        <v>323</v>
      </c>
      <c r="D115" s="17" t="s">
        <v>324</v>
      </c>
      <c r="E115" s="17" t="s">
        <v>325</v>
      </c>
      <c r="F115" s="18" t="s">
        <v>326</v>
      </c>
      <c r="G115" s="17" t="s">
        <v>327</v>
      </c>
      <c r="H115" s="17" t="s">
        <v>45</v>
      </c>
      <c r="I115" s="17">
        <v>12.496995143875036</v>
      </c>
      <c r="J115" s="17">
        <v>235.33068314321309</v>
      </c>
      <c r="K115" s="17">
        <v>0</v>
      </c>
      <c r="L115" s="20">
        <v>7.3798153491308405</v>
      </c>
      <c r="M115" s="17">
        <f t="shared" si="64"/>
        <v>255.20749363621897</v>
      </c>
      <c r="N115" s="17">
        <v>7.3340293911756671</v>
      </c>
      <c r="O115" s="17">
        <v>240.48193903041098</v>
      </c>
      <c r="P115" s="17">
        <v>0</v>
      </c>
      <c r="Q115" s="20">
        <v>5.0586867282461139</v>
      </c>
      <c r="R115" s="17">
        <f t="shared" si="65"/>
        <v>252.87465514983276</v>
      </c>
      <c r="S115" s="17">
        <v>16.058638759879422</v>
      </c>
      <c r="T115" s="17">
        <v>231.72492783902851</v>
      </c>
      <c r="U115" s="17">
        <v>0</v>
      </c>
      <c r="V115" s="20">
        <v>5.628062723633124</v>
      </c>
      <c r="W115" s="17">
        <f t="shared" si="66"/>
        <v>253.41162932254105</v>
      </c>
      <c r="X115" s="17">
        <v>12.875978694906781</v>
      </c>
      <c r="Y115" s="17">
        <v>271.2340422445626</v>
      </c>
      <c r="Z115" s="17">
        <v>0</v>
      </c>
      <c r="AA115" s="20">
        <v>6.0897501613756129</v>
      </c>
      <c r="AB115" s="17">
        <f t="shared" si="67"/>
        <v>290.199771100845</v>
      </c>
      <c r="AC115" s="17">
        <v>13.4199217931488</v>
      </c>
      <c r="AD115" s="17">
        <v>284.75885451202953</v>
      </c>
      <c r="AE115" s="17">
        <v>0</v>
      </c>
      <c r="AF115" s="20">
        <v>15.401887940031111</v>
      </c>
      <c r="AG115" s="17">
        <f t="shared" si="68"/>
        <v>313.58066424520939</v>
      </c>
      <c r="AH115" s="17">
        <v>0.94441096760762711</v>
      </c>
      <c r="AI115" s="17">
        <v>349.21507064637541</v>
      </c>
      <c r="AJ115" s="17">
        <v>0</v>
      </c>
      <c r="AK115" s="20">
        <v>0.1464565493833497</v>
      </c>
      <c r="AL115" s="17">
        <f t="shared" si="69"/>
        <v>350.30593816336636</v>
      </c>
      <c r="AM115" s="17">
        <v>26.369621307536317</v>
      </c>
      <c r="AN115" s="20">
        <f>308.79192282635+80</f>
        <v>388.79192282635</v>
      </c>
      <c r="AO115" s="17">
        <v>0</v>
      </c>
      <c r="AP115" s="20">
        <v>7.8398694749441944</v>
      </c>
      <c r="AQ115" s="17">
        <f>AM115+AN115+AP115+AO115</f>
        <v>423.00141360883049</v>
      </c>
      <c r="AR115" s="17">
        <v>28.731986089010672</v>
      </c>
      <c r="AS115" s="20">
        <f>289.206803567795+77</f>
        <v>366.20680356779502</v>
      </c>
      <c r="AT115" s="17">
        <v>0</v>
      </c>
      <c r="AU115" s="20">
        <v>5.0369611656550806</v>
      </c>
      <c r="AV115" s="17">
        <f t="shared" si="71"/>
        <v>399.97575082246078</v>
      </c>
      <c r="AW115" s="17">
        <v>28.369621307536299</v>
      </c>
      <c r="AX115" s="17">
        <f>276.79192282635+77</f>
        <v>353.79192282635</v>
      </c>
      <c r="AY115" s="17">
        <v>0</v>
      </c>
      <c r="AZ115" s="20">
        <v>7.8398694749441944</v>
      </c>
      <c r="BA115" s="17">
        <f t="shared" si="72"/>
        <v>390.00141360883049</v>
      </c>
      <c r="BB115" s="17">
        <v>22.24609368703754</v>
      </c>
      <c r="BC115" s="20">
        <f>240.429888086177+70</f>
        <v>310.42988808617702</v>
      </c>
      <c r="BD115" s="17">
        <v>0</v>
      </c>
      <c r="BE115" s="20">
        <v>5.6937599538700852</v>
      </c>
      <c r="BF115" s="17">
        <f t="shared" si="73"/>
        <v>338.36974172708466</v>
      </c>
      <c r="BG115" s="17">
        <v>23.121243929843846</v>
      </c>
      <c r="BH115" s="20">
        <f>225.913353929015+70</f>
        <v>295.91335392901499</v>
      </c>
      <c r="BI115" s="17">
        <v>0</v>
      </c>
      <c r="BJ115" s="20">
        <v>5.4747691864135435</v>
      </c>
      <c r="BK115" s="17">
        <f t="shared" si="74"/>
        <v>324.50936704527237</v>
      </c>
      <c r="BL115" s="17">
        <v>22.249467612306312</v>
      </c>
      <c r="BM115" s="20">
        <f>229.112359738802+70</f>
        <v>299.11235973880201</v>
      </c>
      <c r="BN115" s="17">
        <v>0</v>
      </c>
      <c r="BO115" s="17">
        <v>0</v>
      </c>
      <c r="BP115" s="17">
        <f t="shared" si="75"/>
        <v>321.36182735110833</v>
      </c>
      <c r="BQ115" s="17">
        <f t="shared" si="76"/>
        <v>214.21800868386435</v>
      </c>
      <c r="BR115" s="17">
        <f t="shared" si="76"/>
        <v>3626.9917683901099</v>
      </c>
      <c r="BS115" s="17">
        <f t="shared" si="76"/>
        <v>0</v>
      </c>
      <c r="BT115" s="17">
        <f t="shared" si="76"/>
        <v>71.589888707627239</v>
      </c>
      <c r="BU115" s="17">
        <f t="shared" si="46"/>
        <v>3912.7996657816016</v>
      </c>
    </row>
    <row r="116" spans="1:73" s="38" customFormat="1" hidden="1" outlineLevel="1">
      <c r="A116" s="27" t="s">
        <v>242</v>
      </c>
      <c r="B116" s="17" t="s">
        <v>293</v>
      </c>
      <c r="C116" s="17" t="s">
        <v>323</v>
      </c>
      <c r="D116" s="17"/>
      <c r="E116" s="20" t="s">
        <v>313</v>
      </c>
      <c r="F116" s="23" t="s">
        <v>328</v>
      </c>
      <c r="G116" s="23" t="s">
        <v>329</v>
      </c>
      <c r="H116" s="17" t="s">
        <v>45</v>
      </c>
      <c r="I116" s="17">
        <v>121.05542993126174</v>
      </c>
      <c r="J116" s="17">
        <v>83.098402081300947</v>
      </c>
      <c r="K116" s="17">
        <v>11.569880978137137</v>
      </c>
      <c r="L116" s="17">
        <v>0</v>
      </c>
      <c r="M116" s="17">
        <f t="shared" si="64"/>
        <v>215.72371299069985</v>
      </c>
      <c r="N116" s="17">
        <v>81.055429931261742</v>
      </c>
      <c r="O116" s="17">
        <v>113.09840208130095</v>
      </c>
      <c r="P116" s="17">
        <v>11.569880978137137</v>
      </c>
      <c r="Q116" s="17">
        <v>0</v>
      </c>
      <c r="R116" s="17">
        <f t="shared" si="65"/>
        <v>205.72371299069985</v>
      </c>
      <c r="S116" s="17">
        <v>121.05542993126174</v>
      </c>
      <c r="T116" s="17">
        <v>98.098402081300947</v>
      </c>
      <c r="U116" s="17">
        <v>11.569880978137137</v>
      </c>
      <c r="V116" s="17">
        <v>0</v>
      </c>
      <c r="W116" s="17">
        <f t="shared" si="66"/>
        <v>230.72371299069985</v>
      </c>
      <c r="X116" s="17">
        <v>121.05542993126174</v>
      </c>
      <c r="Y116" s="17">
        <v>98.098402081300947</v>
      </c>
      <c r="Z116" s="17">
        <v>11.569880978137137</v>
      </c>
      <c r="AA116" s="17">
        <v>0</v>
      </c>
      <c r="AB116" s="17">
        <f t="shared" si="67"/>
        <v>230.72371299069985</v>
      </c>
      <c r="AC116" s="17">
        <v>115.6082014278248</v>
      </c>
      <c r="AD116" s="17">
        <v>124.00332218536597</v>
      </c>
      <c r="AE116" s="17">
        <v>12.148375027043993</v>
      </c>
      <c r="AF116" s="17">
        <v>0</v>
      </c>
      <c r="AG116" s="17">
        <f t="shared" si="68"/>
        <v>251.75989864023475</v>
      </c>
      <c r="AH116" s="17">
        <v>100.16097292438796</v>
      </c>
      <c r="AI116" s="17">
        <v>129.90824228943103</v>
      </c>
      <c r="AJ116" s="17">
        <v>12.726869075950852</v>
      </c>
      <c r="AK116" s="17">
        <v>0</v>
      </c>
      <c r="AL116" s="17">
        <f t="shared" si="69"/>
        <v>242.79608428976985</v>
      </c>
      <c r="AM116" s="17">
        <v>100.16097292438796</v>
      </c>
      <c r="AN116" s="20">
        <f>129.908242289431-80</f>
        <v>49.908242289431001</v>
      </c>
      <c r="AO116" s="17">
        <v>12.726869075950852</v>
      </c>
      <c r="AP116" s="17">
        <v>0</v>
      </c>
      <c r="AQ116" s="17">
        <f t="shared" si="70"/>
        <v>162.79608428976979</v>
      </c>
      <c r="AR116" s="17">
        <v>95.608201427824838</v>
      </c>
      <c r="AS116" s="20">
        <f>124.003322185366-77</f>
        <v>47.003322185366002</v>
      </c>
      <c r="AT116" s="17">
        <v>12.148375027043993</v>
      </c>
      <c r="AU116" s="17">
        <v>0</v>
      </c>
      <c r="AV116" s="17">
        <f t="shared" si="71"/>
        <v>154.75989864023484</v>
      </c>
      <c r="AW116" s="17">
        <v>81.055429931261742</v>
      </c>
      <c r="AX116" s="17">
        <f>138.098402081301-77</f>
        <v>61.098402081301003</v>
      </c>
      <c r="AY116" s="17">
        <v>11.569880978137137</v>
      </c>
      <c r="AZ116" s="17">
        <v>0</v>
      </c>
      <c r="BA116" s="17">
        <f t="shared" si="72"/>
        <v>153.72371299069991</v>
      </c>
      <c r="BB116" s="17">
        <v>61.055429931261749</v>
      </c>
      <c r="BC116" s="20">
        <f>138.098402081301-70</f>
        <v>68.098402081301003</v>
      </c>
      <c r="BD116" s="17">
        <v>11.569880978137137</v>
      </c>
      <c r="BE116" s="17">
        <v>0</v>
      </c>
      <c r="BF116" s="17">
        <f t="shared" si="73"/>
        <v>140.72371299069991</v>
      </c>
      <c r="BG116" s="17">
        <v>61.055429931261749</v>
      </c>
      <c r="BH116" s="20">
        <f>138.098402081301-70</f>
        <v>68.098402081301003</v>
      </c>
      <c r="BI116" s="17">
        <v>11.569880978137137</v>
      </c>
      <c r="BJ116" s="17">
        <v>0</v>
      </c>
      <c r="BK116" s="17">
        <f t="shared" si="74"/>
        <v>140.72371299069991</v>
      </c>
      <c r="BL116" s="17">
        <v>61.055429931261749</v>
      </c>
      <c r="BM116" s="20">
        <f>138.098402081301-70</f>
        <v>68.098402081301003</v>
      </c>
      <c r="BN116" s="17">
        <v>11.569880978137137</v>
      </c>
      <c r="BO116" s="17">
        <v>0</v>
      </c>
      <c r="BP116" s="17">
        <f t="shared" si="75"/>
        <v>140.72371299069991</v>
      </c>
      <c r="BQ116" s="17">
        <f t="shared" si="76"/>
        <v>1119.9817881545196</v>
      </c>
      <c r="BR116" s="17">
        <f t="shared" si="76"/>
        <v>1008.6103456000019</v>
      </c>
      <c r="BS116" s="17">
        <f t="shared" si="76"/>
        <v>142.30953603108679</v>
      </c>
      <c r="BT116" s="17">
        <f t="shared" si="76"/>
        <v>0</v>
      </c>
      <c r="BU116" s="17">
        <f t="shared" si="46"/>
        <v>2270.9016697856082</v>
      </c>
    </row>
    <row r="117" spans="1:73" s="38" customFormat="1" hidden="1" outlineLevel="1">
      <c r="A117" s="27" t="s">
        <v>242</v>
      </c>
      <c r="B117" s="17" t="s">
        <v>293</v>
      </c>
      <c r="C117" s="17" t="s">
        <v>330</v>
      </c>
      <c r="D117" s="17"/>
      <c r="E117" s="17" t="s">
        <v>313</v>
      </c>
      <c r="F117" s="18" t="s">
        <v>331</v>
      </c>
      <c r="G117" s="17" t="s">
        <v>332</v>
      </c>
      <c r="H117" s="17" t="s">
        <v>39</v>
      </c>
      <c r="I117" s="17">
        <v>24.854151749331102</v>
      </c>
      <c r="J117" s="17">
        <v>46.2020192473069</v>
      </c>
      <c r="K117" s="17">
        <v>0</v>
      </c>
      <c r="L117" s="17">
        <v>0</v>
      </c>
      <c r="M117" s="17">
        <f t="shared" si="64"/>
        <v>71.056170996638002</v>
      </c>
      <c r="N117" s="17">
        <v>23.785334051376296</v>
      </c>
      <c r="O117" s="17">
        <v>47.270836945261735</v>
      </c>
      <c r="P117" s="17">
        <v>0</v>
      </c>
      <c r="Q117" s="17">
        <v>0</v>
      </c>
      <c r="R117" s="17">
        <f t="shared" si="65"/>
        <v>71.056170996638031</v>
      </c>
      <c r="S117" s="17">
        <v>23.785334051376296</v>
      </c>
      <c r="T117" s="17">
        <v>47.270836945261735</v>
      </c>
      <c r="U117" s="17">
        <v>0</v>
      </c>
      <c r="V117" s="17">
        <v>0</v>
      </c>
      <c r="W117" s="17">
        <f t="shared" si="66"/>
        <v>71.056170996638031</v>
      </c>
      <c r="X117" s="17">
        <v>22.907466647294854</v>
      </c>
      <c r="Y117" s="17">
        <v>48.148704349343134</v>
      </c>
      <c r="Z117" s="17">
        <v>0</v>
      </c>
      <c r="AA117" s="17">
        <v>0</v>
      </c>
      <c r="AB117" s="17">
        <f t="shared" si="67"/>
        <v>71.056170996637988</v>
      </c>
      <c r="AC117" s="17">
        <v>22.029599243213415</v>
      </c>
      <c r="AD117" s="17">
        <v>49.026571753424626</v>
      </c>
      <c r="AE117" s="17">
        <v>0</v>
      </c>
      <c r="AF117" s="17">
        <v>0</v>
      </c>
      <c r="AG117" s="17">
        <f t="shared" si="68"/>
        <v>71.056170996638045</v>
      </c>
      <c r="AH117" s="17">
        <v>22.029599243213415</v>
      </c>
      <c r="AI117" s="17">
        <v>49.026571753424626</v>
      </c>
      <c r="AJ117" s="17">
        <v>0</v>
      </c>
      <c r="AK117" s="17">
        <v>0</v>
      </c>
      <c r="AL117" s="17">
        <f t="shared" si="69"/>
        <v>71.056170996638045</v>
      </c>
      <c r="AM117" s="17">
        <v>44.854151749331088</v>
      </c>
      <c r="AN117" s="17">
        <v>26.202019247306897</v>
      </c>
      <c r="AO117" s="17">
        <v>0</v>
      </c>
      <c r="AP117" s="17">
        <v>0</v>
      </c>
      <c r="AQ117" s="17">
        <f t="shared" si="70"/>
        <v>71.056170996637988</v>
      </c>
      <c r="AR117" s="17">
        <v>22.029599243213362</v>
      </c>
      <c r="AS117" s="17">
        <v>49.026571753424626</v>
      </c>
      <c r="AT117" s="17">
        <v>0</v>
      </c>
      <c r="AU117" s="17">
        <v>0</v>
      </c>
      <c r="AV117" s="17">
        <f t="shared" si="71"/>
        <v>71.056170996637988</v>
      </c>
      <c r="AW117" s="17">
        <v>23.785334051376296</v>
      </c>
      <c r="AX117" s="17">
        <v>47.270836945261735</v>
      </c>
      <c r="AY117" s="17">
        <v>0</v>
      </c>
      <c r="AZ117" s="17">
        <v>0</v>
      </c>
      <c r="BA117" s="17">
        <f t="shared" si="72"/>
        <v>71.056170996638031</v>
      </c>
      <c r="BB117" s="17">
        <v>23.785334051376296</v>
      </c>
      <c r="BC117" s="17">
        <v>47.270836945261735</v>
      </c>
      <c r="BD117" s="17">
        <v>0</v>
      </c>
      <c r="BE117" s="17">
        <v>0</v>
      </c>
      <c r="BF117" s="17">
        <f t="shared" si="73"/>
        <v>71.056170996638031</v>
      </c>
      <c r="BG117" s="17">
        <v>23.785334051376296</v>
      </c>
      <c r="BH117" s="17">
        <v>47.270836945261735</v>
      </c>
      <c r="BI117" s="17">
        <v>0</v>
      </c>
      <c r="BJ117" s="17">
        <v>0</v>
      </c>
      <c r="BK117" s="17">
        <f t="shared" si="74"/>
        <v>71.056170996638031</v>
      </c>
      <c r="BL117" s="17">
        <v>23.785334051376292</v>
      </c>
      <c r="BM117" s="17">
        <v>47.270836945261735</v>
      </c>
      <c r="BN117" s="17">
        <v>0</v>
      </c>
      <c r="BO117" s="17">
        <v>0</v>
      </c>
      <c r="BP117" s="17">
        <f t="shared" si="75"/>
        <v>71.056170996638031</v>
      </c>
      <c r="BQ117" s="17">
        <f t="shared" si="76"/>
        <v>301.41657218385507</v>
      </c>
      <c r="BR117" s="17">
        <f t="shared" si="76"/>
        <v>551.25747977580113</v>
      </c>
      <c r="BS117" s="17">
        <f t="shared" si="76"/>
        <v>0</v>
      </c>
      <c r="BT117" s="17">
        <f t="shared" si="76"/>
        <v>0</v>
      </c>
      <c r="BU117" s="17">
        <f t="shared" si="46"/>
        <v>852.67405195965625</v>
      </c>
    </row>
    <row r="118" spans="1:73" s="38" customFormat="1" hidden="1" outlineLevel="1">
      <c r="A118" s="27" t="s">
        <v>242</v>
      </c>
      <c r="B118" s="17" t="s">
        <v>293</v>
      </c>
      <c r="C118" s="17" t="s">
        <v>330</v>
      </c>
      <c r="D118" s="17"/>
      <c r="E118" s="17" t="s">
        <v>333</v>
      </c>
      <c r="F118" s="18" t="s">
        <v>334</v>
      </c>
      <c r="G118" s="17" t="s">
        <v>335</v>
      </c>
      <c r="H118" s="17" t="s">
        <v>45</v>
      </c>
      <c r="I118" s="17">
        <v>73.846840407703013</v>
      </c>
      <c r="J118" s="17">
        <v>134.95168862799565</v>
      </c>
      <c r="K118" s="17">
        <v>0</v>
      </c>
      <c r="L118" s="17">
        <v>0</v>
      </c>
      <c r="M118" s="17">
        <f t="shared" si="64"/>
        <v>208.79852903569866</v>
      </c>
      <c r="N118" s="17">
        <v>73.846840407703013</v>
      </c>
      <c r="O118" s="17">
        <v>144.79049272521462</v>
      </c>
      <c r="P118" s="17">
        <v>0</v>
      </c>
      <c r="Q118" s="17">
        <v>0</v>
      </c>
      <c r="R118" s="17">
        <f t="shared" si="65"/>
        <v>218.63733313291763</v>
      </c>
      <c r="S118" s="17">
        <v>73.846840407703013</v>
      </c>
      <c r="T118" s="17">
        <v>144.95168862799565</v>
      </c>
      <c r="U118" s="17">
        <v>0</v>
      </c>
      <c r="V118" s="17">
        <v>0</v>
      </c>
      <c r="W118" s="17">
        <f t="shared" si="66"/>
        <v>218.79852903569866</v>
      </c>
      <c r="X118" s="17">
        <v>76.090458758023914</v>
      </c>
      <c r="Y118" s="17">
        <v>148.49805881677796</v>
      </c>
      <c r="Z118" s="17">
        <v>0</v>
      </c>
      <c r="AA118" s="17">
        <v>0</v>
      </c>
      <c r="AB118" s="17">
        <f t="shared" si="67"/>
        <v>224.58851757480187</v>
      </c>
      <c r="AC118" s="17">
        <v>78.3340771083449</v>
      </c>
      <c r="AD118" s="17">
        <v>152.04442900556032</v>
      </c>
      <c r="AE118" s="17">
        <v>0</v>
      </c>
      <c r="AF118" s="17">
        <v>0</v>
      </c>
      <c r="AG118" s="17">
        <f t="shared" si="68"/>
        <v>230.37850611390522</v>
      </c>
      <c r="AH118" s="17">
        <v>78.3340771083449</v>
      </c>
      <c r="AI118" s="17">
        <v>168.86450413660543</v>
      </c>
      <c r="AJ118" s="17">
        <v>0</v>
      </c>
      <c r="AK118" s="17">
        <v>0</v>
      </c>
      <c r="AL118" s="17">
        <f t="shared" si="69"/>
        <v>247.19858124495033</v>
      </c>
      <c r="AM118" s="17">
        <v>78.3340771083449</v>
      </c>
      <c r="AN118" s="17">
        <v>169.44394375073762</v>
      </c>
      <c r="AO118" s="17">
        <v>0</v>
      </c>
      <c r="AP118" s="17">
        <v>0</v>
      </c>
      <c r="AQ118" s="17">
        <f t="shared" si="70"/>
        <v>247.77802085908252</v>
      </c>
      <c r="AR118" s="17">
        <v>78.3340771083449</v>
      </c>
      <c r="AS118" s="17">
        <v>186.94394375073762</v>
      </c>
      <c r="AT118" s="17">
        <v>0</v>
      </c>
      <c r="AU118" s="17">
        <v>0</v>
      </c>
      <c r="AV118" s="17">
        <f t="shared" si="71"/>
        <v>265.27802085908252</v>
      </c>
      <c r="AW118" s="17">
        <v>73.846840407703013</v>
      </c>
      <c r="AX118" s="17">
        <v>170.1923241449087</v>
      </c>
      <c r="AY118" s="17">
        <v>0</v>
      </c>
      <c r="AZ118" s="17">
        <v>0</v>
      </c>
      <c r="BA118" s="17">
        <f t="shared" si="72"/>
        <v>244.03916455261171</v>
      </c>
      <c r="BB118" s="17">
        <v>73.846840407703013</v>
      </c>
      <c r="BC118" s="17">
        <v>133.11288453077665</v>
      </c>
      <c r="BD118" s="17">
        <v>0</v>
      </c>
      <c r="BE118" s="17">
        <v>0</v>
      </c>
      <c r="BF118" s="17">
        <f t="shared" si="73"/>
        <v>206.95972493847967</v>
      </c>
      <c r="BG118" s="17">
        <v>73.846840407703013</v>
      </c>
      <c r="BH118" s="17">
        <v>115.11288453077664</v>
      </c>
      <c r="BI118" s="17">
        <v>0</v>
      </c>
      <c r="BJ118" s="17">
        <v>0</v>
      </c>
      <c r="BK118" s="17">
        <f t="shared" si="74"/>
        <v>188.95972493847967</v>
      </c>
      <c r="BL118" s="17">
        <v>73.846840407703013</v>
      </c>
      <c r="BM118" s="17">
        <v>125.11288453077665</v>
      </c>
      <c r="BN118" s="17">
        <v>0</v>
      </c>
      <c r="BO118" s="17">
        <v>0</v>
      </c>
      <c r="BP118" s="17">
        <f t="shared" si="75"/>
        <v>198.95972493847967</v>
      </c>
      <c r="BQ118" s="17">
        <f t="shared" si="76"/>
        <v>906.35465004532455</v>
      </c>
      <c r="BR118" s="17">
        <f t="shared" si="76"/>
        <v>1794.0197271788634</v>
      </c>
      <c r="BS118" s="17">
        <f t="shared" si="76"/>
        <v>0</v>
      </c>
      <c r="BT118" s="17">
        <f t="shared" si="76"/>
        <v>0</v>
      </c>
      <c r="BU118" s="17">
        <f t="shared" si="46"/>
        <v>2700.3743772241878</v>
      </c>
    </row>
    <row r="119" spans="1:73" s="38" customFormat="1" hidden="1" outlineLevel="1">
      <c r="A119" s="27" t="s">
        <v>242</v>
      </c>
      <c r="B119" s="17" t="s">
        <v>293</v>
      </c>
      <c r="C119" s="17" t="s">
        <v>261</v>
      </c>
      <c r="D119" s="17"/>
      <c r="E119" s="17" t="s">
        <v>313</v>
      </c>
      <c r="F119" s="18" t="s">
        <v>336</v>
      </c>
      <c r="G119" s="17" t="s">
        <v>337</v>
      </c>
      <c r="H119" s="17" t="s">
        <v>338</v>
      </c>
      <c r="I119" s="17">
        <v>40</v>
      </c>
      <c r="J119" s="17">
        <v>0</v>
      </c>
      <c r="K119" s="17">
        <v>0</v>
      </c>
      <c r="L119" s="17">
        <v>0</v>
      </c>
      <c r="M119" s="17">
        <f t="shared" si="64"/>
        <v>40</v>
      </c>
      <c r="N119" s="17">
        <v>40</v>
      </c>
      <c r="O119" s="17">
        <v>0</v>
      </c>
      <c r="P119" s="17">
        <v>0</v>
      </c>
      <c r="Q119" s="17">
        <v>0</v>
      </c>
      <c r="R119" s="17">
        <f t="shared" si="65"/>
        <v>40</v>
      </c>
      <c r="S119" s="17">
        <v>40</v>
      </c>
      <c r="T119" s="17">
        <v>0</v>
      </c>
      <c r="U119" s="17">
        <v>0</v>
      </c>
      <c r="V119" s="17">
        <v>0</v>
      </c>
      <c r="W119" s="17">
        <f t="shared" si="66"/>
        <v>40</v>
      </c>
      <c r="X119" s="17">
        <v>29</v>
      </c>
      <c r="Y119" s="17">
        <v>0</v>
      </c>
      <c r="Z119" s="17">
        <v>0</v>
      </c>
      <c r="AA119" s="17">
        <v>0</v>
      </c>
      <c r="AB119" s="17">
        <f t="shared" si="67"/>
        <v>29</v>
      </c>
      <c r="AC119" s="17">
        <v>29</v>
      </c>
      <c r="AD119" s="17">
        <v>0</v>
      </c>
      <c r="AE119" s="17">
        <v>0</v>
      </c>
      <c r="AF119" s="17">
        <v>0</v>
      </c>
      <c r="AG119" s="17">
        <f t="shared" si="68"/>
        <v>29</v>
      </c>
      <c r="AH119" s="17"/>
      <c r="AI119" s="17">
        <v>0</v>
      </c>
      <c r="AJ119" s="17">
        <v>0</v>
      </c>
      <c r="AK119" s="17">
        <v>0</v>
      </c>
      <c r="AL119" s="17">
        <f t="shared" si="69"/>
        <v>0</v>
      </c>
      <c r="AM119" s="17"/>
      <c r="AN119" s="17">
        <v>0</v>
      </c>
      <c r="AO119" s="17">
        <v>0</v>
      </c>
      <c r="AP119" s="17">
        <v>0</v>
      </c>
      <c r="AQ119" s="17">
        <f t="shared" si="70"/>
        <v>0</v>
      </c>
      <c r="AR119" s="17"/>
      <c r="AS119" s="17">
        <v>0</v>
      </c>
      <c r="AT119" s="17">
        <v>0</v>
      </c>
      <c r="AU119" s="17">
        <v>0</v>
      </c>
      <c r="AV119" s="17">
        <f t="shared" si="71"/>
        <v>0</v>
      </c>
      <c r="AW119" s="17"/>
      <c r="AX119" s="17">
        <v>0</v>
      </c>
      <c r="AY119" s="17">
        <v>0</v>
      </c>
      <c r="AZ119" s="17">
        <v>0</v>
      </c>
      <c r="BA119" s="17">
        <f t="shared" si="72"/>
        <v>0</v>
      </c>
      <c r="BB119" s="17"/>
      <c r="BC119" s="17">
        <v>0</v>
      </c>
      <c r="BD119" s="17">
        <v>0</v>
      </c>
      <c r="BE119" s="17">
        <v>0</v>
      </c>
      <c r="BF119" s="17">
        <f t="shared" si="73"/>
        <v>0</v>
      </c>
      <c r="BG119" s="17"/>
      <c r="BH119" s="17">
        <v>0</v>
      </c>
      <c r="BI119" s="17">
        <v>0</v>
      </c>
      <c r="BJ119" s="17">
        <v>0</v>
      </c>
      <c r="BK119" s="17">
        <f t="shared" si="74"/>
        <v>0</v>
      </c>
      <c r="BL119" s="17"/>
      <c r="BM119" s="17">
        <v>0</v>
      </c>
      <c r="BN119" s="17">
        <v>0</v>
      </c>
      <c r="BO119" s="17">
        <v>0</v>
      </c>
      <c r="BP119" s="17">
        <f t="shared" si="75"/>
        <v>0</v>
      </c>
      <c r="BQ119" s="17">
        <f t="shared" si="76"/>
        <v>178</v>
      </c>
      <c r="BR119" s="17">
        <f t="shared" si="76"/>
        <v>0</v>
      </c>
      <c r="BS119" s="17">
        <f t="shared" si="76"/>
        <v>0</v>
      </c>
      <c r="BT119" s="17">
        <f t="shared" si="76"/>
        <v>0</v>
      </c>
      <c r="BU119" s="17">
        <f t="shared" si="46"/>
        <v>178</v>
      </c>
    </row>
    <row r="120" spans="1:73" s="38" customFormat="1" hidden="1" outlineLevel="1">
      <c r="A120" s="27" t="s">
        <v>242</v>
      </c>
      <c r="B120" s="17" t="s">
        <v>293</v>
      </c>
      <c r="C120" s="17" t="s">
        <v>339</v>
      </c>
      <c r="D120" s="17" t="s">
        <v>340</v>
      </c>
      <c r="E120" s="17" t="s">
        <v>341</v>
      </c>
      <c r="F120" s="32" t="s">
        <v>342</v>
      </c>
      <c r="G120" s="42" t="s">
        <v>343</v>
      </c>
      <c r="H120" s="17" t="s">
        <v>45</v>
      </c>
      <c r="I120" s="17">
        <v>1.2319528682031839</v>
      </c>
      <c r="J120" s="17">
        <v>130.30210220115362</v>
      </c>
      <c r="K120" s="17">
        <v>2.8</v>
      </c>
      <c r="L120" s="17">
        <v>0</v>
      </c>
      <c r="M120" s="17">
        <f t="shared" si="64"/>
        <v>134.33405506935682</v>
      </c>
      <c r="N120" s="17">
        <v>1.2319528682031839</v>
      </c>
      <c r="O120" s="17">
        <v>130.30210220115401</v>
      </c>
      <c r="P120" s="17">
        <v>2.8</v>
      </c>
      <c r="Q120" s="17">
        <v>0</v>
      </c>
      <c r="R120" s="17">
        <f t="shared" si="65"/>
        <v>134.33405506935722</v>
      </c>
      <c r="S120" s="17">
        <v>1.2319528682031839</v>
      </c>
      <c r="T120" s="17">
        <v>143.30210220115399</v>
      </c>
      <c r="U120" s="17">
        <v>2.8</v>
      </c>
      <c r="V120" s="17">
        <v>0</v>
      </c>
      <c r="W120" s="17">
        <f t="shared" si="66"/>
        <v>147.33405506935719</v>
      </c>
      <c r="X120" s="17">
        <v>10.23195286820318</v>
      </c>
      <c r="Y120" s="17">
        <v>140.30210220115399</v>
      </c>
      <c r="Z120" s="17">
        <v>2.8</v>
      </c>
      <c r="AA120" s="17">
        <v>0</v>
      </c>
      <c r="AB120" s="17">
        <f t="shared" si="67"/>
        <v>153.33405506935719</v>
      </c>
      <c r="AC120" s="17">
        <v>1.2319528682031839</v>
      </c>
      <c r="AD120" s="17">
        <v>155.30210220115399</v>
      </c>
      <c r="AE120" s="17">
        <v>2.8</v>
      </c>
      <c r="AF120" s="17">
        <v>0</v>
      </c>
      <c r="AG120" s="17">
        <f t="shared" si="68"/>
        <v>159.33405506935719</v>
      </c>
      <c r="AH120" s="17">
        <v>1.2319528682031839</v>
      </c>
      <c r="AI120" s="17">
        <v>160.54273771806712</v>
      </c>
      <c r="AJ120" s="17">
        <v>2.8</v>
      </c>
      <c r="AK120" s="17">
        <v>0</v>
      </c>
      <c r="AL120" s="17">
        <f t="shared" si="69"/>
        <v>164.57469058627032</v>
      </c>
      <c r="AM120" s="17">
        <v>1.2319528682031839</v>
      </c>
      <c r="AN120" s="17">
        <v>170.54273771806712</v>
      </c>
      <c r="AO120" s="17">
        <v>2.8</v>
      </c>
      <c r="AP120" s="17">
        <v>0</v>
      </c>
      <c r="AQ120" s="17">
        <f t="shared" si="70"/>
        <v>174.57469058627032</v>
      </c>
      <c r="AR120" s="17">
        <v>1.1549558139404847</v>
      </c>
      <c r="AS120" s="17">
        <v>165.8262815865711</v>
      </c>
      <c r="AT120" s="17">
        <v>2.75</v>
      </c>
      <c r="AU120" s="17">
        <v>0</v>
      </c>
      <c r="AV120" s="17">
        <f t="shared" si="71"/>
        <v>169.73123740051159</v>
      </c>
      <c r="AW120" s="17">
        <v>1.1549558139404847</v>
      </c>
      <c r="AX120" s="17">
        <v>150.74684197243869</v>
      </c>
      <c r="AY120" s="17">
        <v>2.75</v>
      </c>
      <c r="AZ120" s="17">
        <v>0</v>
      </c>
      <c r="BA120" s="17">
        <f t="shared" si="72"/>
        <v>154.65179778637918</v>
      </c>
      <c r="BB120" s="17">
        <v>1.1549558139404847</v>
      </c>
      <c r="BC120" s="17">
        <v>135.74684197243869</v>
      </c>
      <c r="BD120" s="17">
        <v>2.75</v>
      </c>
      <c r="BE120" s="17">
        <v>0</v>
      </c>
      <c r="BF120" s="17">
        <f t="shared" si="73"/>
        <v>139.65179778637918</v>
      </c>
      <c r="BG120" s="17">
        <v>1.1549558139404847</v>
      </c>
      <c r="BH120" s="17">
        <v>135.74684197243869</v>
      </c>
      <c r="BI120" s="17">
        <v>2.75</v>
      </c>
      <c r="BJ120" s="17">
        <v>0</v>
      </c>
      <c r="BK120" s="17">
        <f t="shared" si="74"/>
        <v>139.65179778637918</v>
      </c>
      <c r="BL120" s="17">
        <v>1.1549558139404847</v>
      </c>
      <c r="BM120" s="17">
        <v>125.74684197243869</v>
      </c>
      <c r="BN120" s="17">
        <v>2.75</v>
      </c>
      <c r="BO120" s="17">
        <v>0</v>
      </c>
      <c r="BP120" s="17">
        <f t="shared" si="75"/>
        <v>129.65179778637918</v>
      </c>
      <c r="BQ120" s="17">
        <f t="shared" si="76"/>
        <v>23.398449147124705</v>
      </c>
      <c r="BR120" s="17">
        <f t="shared" si="76"/>
        <v>1744.4096359182295</v>
      </c>
      <c r="BS120" s="17">
        <f t="shared" si="76"/>
        <v>33.35</v>
      </c>
      <c r="BT120" s="17">
        <f t="shared" si="76"/>
        <v>0</v>
      </c>
      <c r="BU120" s="17">
        <f t="shared" si="46"/>
        <v>1801.158085065354</v>
      </c>
    </row>
    <row r="121" spans="1:73" s="38" customFormat="1" hidden="1" outlineLevel="1">
      <c r="A121" s="27" t="s">
        <v>242</v>
      </c>
      <c r="B121" s="17" t="s">
        <v>293</v>
      </c>
      <c r="C121" s="17" t="s">
        <v>339</v>
      </c>
      <c r="D121" s="17" t="s">
        <v>340</v>
      </c>
      <c r="E121" s="17" t="s">
        <v>341</v>
      </c>
      <c r="F121" s="18" t="s">
        <v>344</v>
      </c>
      <c r="G121" s="17" t="s">
        <v>345</v>
      </c>
      <c r="H121" s="17" t="s">
        <v>45</v>
      </c>
      <c r="I121" s="17">
        <v>29.104163964851018</v>
      </c>
      <c r="J121" s="17">
        <v>120.13394200943912</v>
      </c>
      <c r="K121" s="17">
        <v>0</v>
      </c>
      <c r="L121" s="17">
        <v>0</v>
      </c>
      <c r="M121" s="17">
        <f t="shared" si="64"/>
        <v>149.23810597429014</v>
      </c>
      <c r="N121" s="17">
        <v>29.104163964851018</v>
      </c>
      <c r="O121" s="17">
        <v>119.29513791222017</v>
      </c>
      <c r="P121" s="17">
        <v>0</v>
      </c>
      <c r="Q121" s="17">
        <v>0</v>
      </c>
      <c r="R121" s="17">
        <f t="shared" si="65"/>
        <v>148.3993018770712</v>
      </c>
      <c r="S121" s="17">
        <v>30.316837463386477</v>
      </c>
      <c r="T121" s="17">
        <v>123.27795591839741</v>
      </c>
      <c r="U121" s="17">
        <v>0</v>
      </c>
      <c r="V121" s="17">
        <v>0</v>
      </c>
      <c r="W121" s="17">
        <f t="shared" si="66"/>
        <v>153.59479338178389</v>
      </c>
      <c r="X121" s="17">
        <v>30.316837463386477</v>
      </c>
      <c r="Y121" s="17">
        <v>128.27795591839745</v>
      </c>
      <c r="Z121" s="17">
        <v>0</v>
      </c>
      <c r="AA121" s="17">
        <v>0</v>
      </c>
      <c r="AB121" s="17">
        <f t="shared" si="67"/>
        <v>158.59479338178392</v>
      </c>
      <c r="AC121" s="17">
        <v>31.529510961921932</v>
      </c>
      <c r="AD121" s="17">
        <v>137.42196982735592</v>
      </c>
      <c r="AE121" s="17">
        <v>0</v>
      </c>
      <c r="AF121" s="17">
        <v>0</v>
      </c>
      <c r="AG121" s="17">
        <f t="shared" si="68"/>
        <v>168.95148078927787</v>
      </c>
      <c r="AH121" s="17">
        <v>34.21232325928576</v>
      </c>
      <c r="AI121" s="17">
        <v>126.78302628317508</v>
      </c>
      <c r="AJ121" s="17">
        <v>0</v>
      </c>
      <c r="AK121" s="17">
        <v>0</v>
      </c>
      <c r="AL121" s="17">
        <f t="shared" si="69"/>
        <v>160.99534954246084</v>
      </c>
      <c r="AM121" s="17">
        <v>39.712323259285796</v>
      </c>
      <c r="AN121" s="17">
        <v>115.20358666904295</v>
      </c>
      <c r="AO121" s="17">
        <v>0</v>
      </c>
      <c r="AP121" s="17">
        <v>0</v>
      </c>
      <c r="AQ121" s="17">
        <f t="shared" si="70"/>
        <v>154.91590992832874</v>
      </c>
      <c r="AR121" s="17">
        <v>33.954857958992854</v>
      </c>
      <c r="AS121" s="17">
        <v>116.03238945083457</v>
      </c>
      <c r="AT121" s="17">
        <v>0</v>
      </c>
      <c r="AU121" s="17">
        <v>0</v>
      </c>
      <c r="AV121" s="17">
        <f t="shared" si="71"/>
        <v>149.98724740982743</v>
      </c>
      <c r="AW121" s="17">
        <v>32.742184460457388</v>
      </c>
      <c r="AX121" s="17">
        <v>111.88837554187629</v>
      </c>
      <c r="AY121" s="17">
        <v>0</v>
      </c>
      <c r="AZ121" s="17">
        <v>0</v>
      </c>
      <c r="BA121" s="17">
        <f t="shared" si="72"/>
        <v>144.63056000233368</v>
      </c>
      <c r="BB121" s="17">
        <v>30.316837463386477</v>
      </c>
      <c r="BC121" s="17">
        <v>112.6003477239594</v>
      </c>
      <c r="BD121" s="17">
        <v>0</v>
      </c>
      <c r="BE121" s="17">
        <v>0</v>
      </c>
      <c r="BF121" s="17">
        <f t="shared" si="73"/>
        <v>142.91718518734586</v>
      </c>
      <c r="BG121" s="17">
        <v>30.316837463386477</v>
      </c>
      <c r="BH121" s="17">
        <v>103.6003477239594</v>
      </c>
      <c r="BI121" s="17">
        <v>0</v>
      </c>
      <c r="BJ121" s="17">
        <v>0</v>
      </c>
      <c r="BK121" s="17">
        <f t="shared" si="74"/>
        <v>133.91718518734586</v>
      </c>
      <c r="BL121" s="17">
        <v>30.316837463386477</v>
      </c>
      <c r="BM121" s="17">
        <v>103.60034772395949</v>
      </c>
      <c r="BN121" s="17">
        <v>0</v>
      </c>
      <c r="BO121" s="17">
        <v>0</v>
      </c>
      <c r="BP121" s="17">
        <f t="shared" si="75"/>
        <v>133.91718518734598</v>
      </c>
      <c r="BQ121" s="17">
        <f t="shared" si="76"/>
        <v>381.94371514657814</v>
      </c>
      <c r="BR121" s="17">
        <f t="shared" si="76"/>
        <v>1418.1153827026171</v>
      </c>
      <c r="BS121" s="17">
        <f t="shared" si="76"/>
        <v>0</v>
      </c>
      <c r="BT121" s="17">
        <f t="shared" si="76"/>
        <v>0</v>
      </c>
      <c r="BU121" s="17">
        <f t="shared" si="46"/>
        <v>1800.0590978491953</v>
      </c>
    </row>
    <row r="122" spans="1:73" s="38" customFormat="1" hidden="1" outlineLevel="1">
      <c r="A122" s="27" t="s">
        <v>242</v>
      </c>
      <c r="B122" s="17" t="s">
        <v>293</v>
      </c>
      <c r="C122" s="17" t="s">
        <v>339</v>
      </c>
      <c r="D122" s="17"/>
      <c r="E122" s="17" t="s">
        <v>313</v>
      </c>
      <c r="F122" s="18" t="s">
        <v>346</v>
      </c>
      <c r="G122" s="17" t="s">
        <v>347</v>
      </c>
      <c r="H122" s="17" t="s">
        <v>39</v>
      </c>
      <c r="I122" s="17">
        <v>1.7671960669340092</v>
      </c>
      <c r="J122" s="17">
        <v>0</v>
      </c>
      <c r="K122" s="17">
        <v>0</v>
      </c>
      <c r="L122" s="17">
        <v>481.971048069083</v>
      </c>
      <c r="M122" s="17">
        <f t="shared" si="64"/>
        <v>483.73824413601699</v>
      </c>
      <c r="N122" s="17">
        <v>1.7671960669340092</v>
      </c>
      <c r="O122" s="17">
        <v>0</v>
      </c>
      <c r="P122" s="17">
        <v>0</v>
      </c>
      <c r="Q122" s="17">
        <v>457.971048069083</v>
      </c>
      <c r="R122" s="17">
        <f t="shared" si="65"/>
        <v>459.73824413601699</v>
      </c>
      <c r="S122" s="17">
        <v>1.7671960669340092</v>
      </c>
      <c r="T122" s="17">
        <v>0</v>
      </c>
      <c r="U122" s="17">
        <v>0</v>
      </c>
      <c r="V122" s="17">
        <v>467.971048069083</v>
      </c>
      <c r="W122" s="17">
        <f t="shared" si="66"/>
        <v>469.73824413601699</v>
      </c>
      <c r="X122" s="17">
        <v>1.7671960669340092</v>
      </c>
      <c r="Y122" s="17">
        <v>0</v>
      </c>
      <c r="Z122" s="17">
        <v>0</v>
      </c>
      <c r="AA122" s="17">
        <v>481.971048069083</v>
      </c>
      <c r="AB122" s="17">
        <f t="shared" si="67"/>
        <v>483.73824413601699</v>
      </c>
      <c r="AC122" s="17">
        <v>1.7671960669340092</v>
      </c>
      <c r="AD122" s="17">
        <v>0</v>
      </c>
      <c r="AE122" s="17">
        <v>0</v>
      </c>
      <c r="AF122" s="17">
        <v>481.971048069083</v>
      </c>
      <c r="AG122" s="17">
        <f t="shared" si="68"/>
        <v>483.73824413601699</v>
      </c>
      <c r="AH122" s="17">
        <v>1.7671960669340092</v>
      </c>
      <c r="AI122" s="17">
        <v>0</v>
      </c>
      <c r="AJ122" s="17">
        <v>0</v>
      </c>
      <c r="AK122" s="17">
        <v>481.971048069083</v>
      </c>
      <c r="AL122" s="17">
        <f t="shared" si="69"/>
        <v>483.73824413601699</v>
      </c>
      <c r="AM122" s="17">
        <v>1.7671960669340092</v>
      </c>
      <c r="AN122" s="17">
        <v>0</v>
      </c>
      <c r="AO122" s="17">
        <v>0</v>
      </c>
      <c r="AP122" s="17">
        <v>481.971048069083</v>
      </c>
      <c r="AQ122" s="17">
        <f t="shared" si="70"/>
        <v>483.73824413601699</v>
      </c>
      <c r="AR122" s="17">
        <v>1.7671960669340092</v>
      </c>
      <c r="AS122" s="17">
        <v>0</v>
      </c>
      <c r="AT122" s="17">
        <v>0</v>
      </c>
      <c r="AU122" s="17">
        <v>495.971048069083</v>
      </c>
      <c r="AV122" s="17">
        <f t="shared" si="71"/>
        <v>497.73824413601699</v>
      </c>
      <c r="AW122" s="17">
        <v>1.7671960669340092</v>
      </c>
      <c r="AX122" s="17">
        <v>0</v>
      </c>
      <c r="AY122" s="17">
        <v>0</v>
      </c>
      <c r="AZ122" s="17">
        <v>481.971048069083</v>
      </c>
      <c r="BA122" s="17">
        <f t="shared" si="72"/>
        <v>483.73824413601699</v>
      </c>
      <c r="BB122" s="17">
        <v>1.7671960669340092</v>
      </c>
      <c r="BC122" s="17">
        <v>0</v>
      </c>
      <c r="BD122" s="17">
        <v>0</v>
      </c>
      <c r="BE122" s="17">
        <v>481.971048069083</v>
      </c>
      <c r="BF122" s="17">
        <f t="shared" si="73"/>
        <v>483.73824413601699</v>
      </c>
      <c r="BG122" s="17">
        <v>1.7671960669340092</v>
      </c>
      <c r="BH122" s="17">
        <v>0</v>
      </c>
      <c r="BI122" s="17">
        <v>0</v>
      </c>
      <c r="BJ122" s="17">
        <v>481.971048069083</v>
      </c>
      <c r="BK122" s="17">
        <f t="shared" si="74"/>
        <v>483.73824413601699</v>
      </c>
      <c r="BL122" s="17">
        <v>1.7212095521810795</v>
      </c>
      <c r="BM122" s="17">
        <v>0</v>
      </c>
      <c r="BN122" s="17">
        <v>0</v>
      </c>
      <c r="BO122" s="17">
        <v>474.99782376988696</v>
      </c>
      <c r="BP122" s="17">
        <f t="shared" si="75"/>
        <v>476.71903332206807</v>
      </c>
      <c r="BQ122" s="17">
        <f t="shared" si="76"/>
        <v>21.16036628845518</v>
      </c>
      <c r="BR122" s="17">
        <f t="shared" si="76"/>
        <v>0</v>
      </c>
      <c r="BS122" s="17">
        <f t="shared" si="76"/>
        <v>0</v>
      </c>
      <c r="BT122" s="17">
        <f t="shared" si="76"/>
        <v>5752.679352529799</v>
      </c>
      <c r="BU122" s="17">
        <f t="shared" si="46"/>
        <v>5773.8397188182544</v>
      </c>
    </row>
    <row r="123" spans="1:73" s="38" customFormat="1" hidden="1" outlineLevel="1">
      <c r="A123" s="27" t="s">
        <v>242</v>
      </c>
      <c r="B123" s="17" t="s">
        <v>293</v>
      </c>
      <c r="C123" s="17" t="s">
        <v>339</v>
      </c>
      <c r="D123" s="17"/>
      <c r="E123" s="17" t="s">
        <v>313</v>
      </c>
      <c r="F123" s="18" t="s">
        <v>348</v>
      </c>
      <c r="G123" s="17" t="s">
        <v>349</v>
      </c>
      <c r="H123" s="17" t="s">
        <v>39</v>
      </c>
      <c r="I123" s="17">
        <v>0</v>
      </c>
      <c r="J123" s="17">
        <v>0</v>
      </c>
      <c r="K123" s="17">
        <v>0</v>
      </c>
      <c r="L123" s="17">
        <v>0</v>
      </c>
      <c r="M123" s="17">
        <f t="shared" si="64"/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f t="shared" si="65"/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f t="shared" si="66"/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f t="shared" si="67"/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f t="shared" si="68"/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f t="shared" si="69"/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f t="shared" si="70"/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f t="shared" si="71"/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f t="shared" si="72"/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f t="shared" si="73"/>
        <v>0</v>
      </c>
      <c r="BG123" s="17">
        <v>0</v>
      </c>
      <c r="BH123" s="17">
        <v>50.317758456528395</v>
      </c>
      <c r="BI123" s="17">
        <v>0</v>
      </c>
      <c r="BJ123" s="17">
        <v>0</v>
      </c>
      <c r="BK123" s="17">
        <f t="shared" si="74"/>
        <v>50.317758456528395</v>
      </c>
      <c r="BL123" s="17">
        <v>0</v>
      </c>
      <c r="BM123" s="17">
        <v>50.317758456528395</v>
      </c>
      <c r="BN123" s="17">
        <v>0</v>
      </c>
      <c r="BO123" s="17">
        <v>0</v>
      </c>
      <c r="BP123" s="17">
        <f t="shared" si="75"/>
        <v>50.317758456528395</v>
      </c>
      <c r="BQ123" s="17">
        <f t="shared" si="76"/>
        <v>0</v>
      </c>
      <c r="BR123" s="17">
        <f t="shared" si="76"/>
        <v>100.63551691305679</v>
      </c>
      <c r="BS123" s="17">
        <f t="shared" si="76"/>
        <v>0</v>
      </c>
      <c r="BT123" s="17">
        <f t="shared" si="76"/>
        <v>0</v>
      </c>
      <c r="BU123" s="17">
        <f t="shared" si="46"/>
        <v>100.63551691305679</v>
      </c>
    </row>
    <row r="124" spans="1:73" s="38" customFormat="1" collapsed="1">
      <c r="A124" s="24" t="s">
        <v>242</v>
      </c>
      <c r="B124" s="25" t="s">
        <v>350</v>
      </c>
      <c r="C124" s="25"/>
      <c r="D124" s="26"/>
      <c r="E124" s="25" t="s">
        <v>182</v>
      </c>
      <c r="F124" s="25"/>
      <c r="G124" s="25" t="s">
        <v>350</v>
      </c>
      <c r="H124" s="25"/>
      <c r="I124" s="25">
        <f>SUM(I106:I123)</f>
        <v>675.90055022875958</v>
      </c>
      <c r="J124" s="25">
        <f t="shared" ref="J124:BU124" si="77">SUM(J106:J123)</f>
        <v>4647.6841119062628</v>
      </c>
      <c r="K124" s="25">
        <f t="shared" si="77"/>
        <v>14.369880978137136</v>
      </c>
      <c r="L124" s="25">
        <f t="shared" si="77"/>
        <v>489.35086341821386</v>
      </c>
      <c r="M124" s="25">
        <f t="shared" si="77"/>
        <v>5827.3054065313736</v>
      </c>
      <c r="N124" s="25">
        <f t="shared" si="77"/>
        <v>616.34084599190771</v>
      </c>
      <c r="O124" s="25">
        <f t="shared" si="77"/>
        <v>5298.5381251162144</v>
      </c>
      <c r="P124" s="25">
        <f t="shared" si="77"/>
        <v>14.369880978137136</v>
      </c>
      <c r="Q124" s="25">
        <f t="shared" si="77"/>
        <v>463.02973479732913</v>
      </c>
      <c r="R124" s="25">
        <f t="shared" si="77"/>
        <v>6392.2785868835863</v>
      </c>
      <c r="S124" s="25">
        <f t="shared" si="77"/>
        <v>682.82952831499006</v>
      </c>
      <c r="T124" s="25">
        <f t="shared" si="77"/>
        <v>5935.8191921606513</v>
      </c>
      <c r="U124" s="25">
        <f t="shared" si="77"/>
        <v>14.369880978137136</v>
      </c>
      <c r="V124" s="25">
        <f t="shared" si="77"/>
        <v>473.59911079271615</v>
      </c>
      <c r="W124" s="25">
        <f t="shared" si="77"/>
        <v>7106.6177122464942</v>
      </c>
      <c r="X124" s="25">
        <f t="shared" si="77"/>
        <v>783.48822548653141</v>
      </c>
      <c r="Y124" s="25">
        <f t="shared" si="77"/>
        <v>6149.4274800139729</v>
      </c>
      <c r="Z124" s="25">
        <f t="shared" si="77"/>
        <v>14.369880978137136</v>
      </c>
      <c r="AA124" s="25">
        <f t="shared" si="77"/>
        <v>488.0607982304586</v>
      </c>
      <c r="AB124" s="25">
        <f t="shared" si="77"/>
        <v>7435.3463847090989</v>
      </c>
      <c r="AC124" s="25">
        <f t="shared" si="77"/>
        <v>768.69409112108326</v>
      </c>
      <c r="AD124" s="25">
        <f t="shared" si="77"/>
        <v>7162.8807442561874</v>
      </c>
      <c r="AE124" s="25">
        <f t="shared" si="77"/>
        <v>14.948375027043994</v>
      </c>
      <c r="AF124" s="25">
        <f t="shared" si="77"/>
        <v>497.37293600911408</v>
      </c>
      <c r="AG124" s="25">
        <f t="shared" si="77"/>
        <v>8443.8961464134281</v>
      </c>
      <c r="AH124" s="25">
        <f t="shared" si="77"/>
        <v>472.80696474562052</v>
      </c>
      <c r="AI124" s="25">
        <f t="shared" si="77"/>
        <v>8460.8891802823273</v>
      </c>
      <c r="AJ124" s="25">
        <f t="shared" si="77"/>
        <v>15.526869075950852</v>
      </c>
      <c r="AK124" s="25">
        <f t="shared" si="77"/>
        <v>482.11750461846634</v>
      </c>
      <c r="AL124" s="25">
        <f t="shared" si="77"/>
        <v>9431.3405187223689</v>
      </c>
      <c r="AM124" s="25">
        <f t="shared" si="77"/>
        <v>475.54357698195889</v>
      </c>
      <c r="AN124" s="25">
        <f t="shared" si="77"/>
        <v>9469.8598532306078</v>
      </c>
      <c r="AO124" s="25">
        <f t="shared" si="77"/>
        <v>15.526869075950852</v>
      </c>
      <c r="AP124" s="25">
        <f t="shared" si="77"/>
        <v>489.81091754402718</v>
      </c>
      <c r="AQ124" s="25">
        <f t="shared" si="77"/>
        <v>10450.741216832543</v>
      </c>
      <c r="AR124" s="25">
        <f t="shared" si="77"/>
        <v>468.26758650827674</v>
      </c>
      <c r="AS124" s="25">
        <f t="shared" si="77"/>
        <v>9680.0665707042135</v>
      </c>
      <c r="AT124" s="25">
        <f t="shared" si="77"/>
        <v>14.898375027043993</v>
      </c>
      <c r="AU124" s="25">
        <f t="shared" si="77"/>
        <v>501.0080092347381</v>
      </c>
      <c r="AV124" s="25">
        <f t="shared" si="77"/>
        <v>10664.240541474275</v>
      </c>
      <c r="AW124" s="25">
        <f t="shared" si="77"/>
        <v>434.43004605291054</v>
      </c>
      <c r="AX124" s="25">
        <f t="shared" si="77"/>
        <v>9086.7834090488122</v>
      </c>
      <c r="AY124" s="25">
        <f t="shared" si="77"/>
        <v>14.319880978137137</v>
      </c>
      <c r="AZ124" s="25">
        <f t="shared" si="77"/>
        <v>489.81091754402718</v>
      </c>
      <c r="BA124" s="25">
        <f t="shared" si="77"/>
        <v>10025.344253623887</v>
      </c>
      <c r="BB124" s="25">
        <f t="shared" si="77"/>
        <v>399.94728236366814</v>
      </c>
      <c r="BC124" s="25">
        <f t="shared" si="77"/>
        <v>7917.5793281900496</v>
      </c>
      <c r="BD124" s="25">
        <f t="shared" si="77"/>
        <v>14.319880978137137</v>
      </c>
      <c r="BE124" s="25">
        <f t="shared" si="77"/>
        <v>487.66480802295308</v>
      </c>
      <c r="BF124" s="25">
        <f t="shared" si="77"/>
        <v>8819.5112995548079</v>
      </c>
      <c r="BG124" s="25">
        <f t="shared" si="77"/>
        <v>376.52121199702663</v>
      </c>
      <c r="BH124" s="25">
        <f t="shared" si="77"/>
        <v>7468.9464347518306</v>
      </c>
      <c r="BI124" s="25">
        <f t="shared" si="77"/>
        <v>14.319880978137137</v>
      </c>
      <c r="BJ124" s="25">
        <f t="shared" si="77"/>
        <v>487.44581725549654</v>
      </c>
      <c r="BK124" s="25">
        <f t="shared" si="77"/>
        <v>8347.233344982491</v>
      </c>
      <c r="BL124" s="25">
        <f t="shared" si="77"/>
        <v>373.52340982279088</v>
      </c>
      <c r="BM124" s="25">
        <f t="shared" si="77"/>
        <v>6849.0552108874517</v>
      </c>
      <c r="BN124" s="25">
        <f t="shared" si="77"/>
        <v>14.319880978137137</v>
      </c>
      <c r="BO124" s="25">
        <f t="shared" si="77"/>
        <v>474.99782376988696</v>
      </c>
      <c r="BP124" s="25">
        <f t="shared" si="77"/>
        <v>7711.8963254582659</v>
      </c>
      <c r="BQ124" s="25">
        <f t="shared" si="77"/>
        <v>6528.2933196155254</v>
      </c>
      <c r="BR124" s="25">
        <f t="shared" si="77"/>
        <v>88127.529640548586</v>
      </c>
      <c r="BS124" s="25">
        <f t="shared" si="77"/>
        <v>175.65953603108679</v>
      </c>
      <c r="BT124" s="25">
        <f t="shared" si="77"/>
        <v>5824.2692412374263</v>
      </c>
      <c r="BU124" s="25">
        <f t="shared" si="77"/>
        <v>100655.75173743264</v>
      </c>
    </row>
    <row r="125" spans="1:73" s="38" customFormat="1">
      <c r="A125" s="34"/>
      <c r="B125" s="43" t="s">
        <v>351</v>
      </c>
      <c r="C125" s="43"/>
      <c r="D125" s="43"/>
      <c r="E125" s="43"/>
      <c r="F125" s="43"/>
      <c r="G125" s="43" t="s">
        <v>351</v>
      </c>
      <c r="H125" s="43"/>
      <c r="I125" s="44">
        <f>+I124+I105</f>
        <v>1208.0437910886517</v>
      </c>
      <c r="J125" s="44">
        <f t="shared" ref="J125:BU125" si="78">+J124+J105</f>
        <v>8374.5526414976302</v>
      </c>
      <c r="K125" s="44">
        <f t="shared" si="78"/>
        <v>14.369880978137136</v>
      </c>
      <c r="L125" s="44">
        <f t="shared" si="78"/>
        <v>489.35086341821386</v>
      </c>
      <c r="M125" s="44">
        <f t="shared" si="78"/>
        <v>10086.317176982633</v>
      </c>
      <c r="N125" s="44">
        <f t="shared" si="78"/>
        <v>1368.3517788197196</v>
      </c>
      <c r="O125" s="44">
        <f t="shared" si="78"/>
        <v>8929.4289448530308</v>
      </c>
      <c r="P125" s="44">
        <f t="shared" si="78"/>
        <v>14.369880978137136</v>
      </c>
      <c r="Q125" s="44">
        <f t="shared" si="78"/>
        <v>463.02973479732913</v>
      </c>
      <c r="R125" s="44">
        <f t="shared" si="78"/>
        <v>10775.180339448214</v>
      </c>
      <c r="S125" s="44">
        <f t="shared" si="78"/>
        <v>1354.744091636974</v>
      </c>
      <c r="T125" s="44">
        <f t="shared" si="78"/>
        <v>10980.402842722029</v>
      </c>
      <c r="U125" s="44">
        <f t="shared" si="78"/>
        <v>14.369880978137136</v>
      </c>
      <c r="V125" s="44">
        <f t="shared" si="78"/>
        <v>473.59911079271615</v>
      </c>
      <c r="W125" s="44">
        <f t="shared" si="78"/>
        <v>12823.115926129854</v>
      </c>
      <c r="X125" s="44">
        <f t="shared" si="78"/>
        <v>1743.8991381027345</v>
      </c>
      <c r="Y125" s="44">
        <f t="shared" si="78"/>
        <v>10848.792823072095</v>
      </c>
      <c r="Z125" s="44">
        <f t="shared" si="78"/>
        <v>14.369880978137136</v>
      </c>
      <c r="AA125" s="44">
        <f t="shared" si="78"/>
        <v>488.0607982304586</v>
      </c>
      <c r="AB125" s="44">
        <f t="shared" si="78"/>
        <v>13095.122640383423</v>
      </c>
      <c r="AC125" s="44">
        <f t="shared" si="78"/>
        <v>1949.2184340275289</v>
      </c>
      <c r="AD125" s="44">
        <f t="shared" si="78"/>
        <v>12428.733616972931</v>
      </c>
      <c r="AE125" s="44">
        <f t="shared" si="78"/>
        <v>14.948375027043994</v>
      </c>
      <c r="AF125" s="44">
        <f t="shared" si="78"/>
        <v>497.37293600911408</v>
      </c>
      <c r="AG125" s="44">
        <f t="shared" si="78"/>
        <v>14890.273362036616</v>
      </c>
      <c r="AH125" s="44">
        <f t="shared" si="78"/>
        <v>1486.4557938588839</v>
      </c>
      <c r="AI125" s="44">
        <f t="shared" si="78"/>
        <v>14409.70955363883</v>
      </c>
      <c r="AJ125" s="44">
        <f t="shared" si="78"/>
        <v>15.526869075950852</v>
      </c>
      <c r="AK125" s="44">
        <f t="shared" si="78"/>
        <v>482.11750461846634</v>
      </c>
      <c r="AL125" s="44">
        <f t="shared" si="78"/>
        <v>16393.809721192134</v>
      </c>
      <c r="AM125" s="44">
        <f t="shared" si="78"/>
        <v>1462.7179422081495</v>
      </c>
      <c r="AN125" s="44">
        <f t="shared" si="78"/>
        <v>15525.944507538305</v>
      </c>
      <c r="AO125" s="44">
        <f t="shared" si="78"/>
        <v>15.526869075950852</v>
      </c>
      <c r="AP125" s="44">
        <f t="shared" si="78"/>
        <v>489.81091754402718</v>
      </c>
      <c r="AQ125" s="44">
        <f t="shared" si="78"/>
        <v>17494.000236366432</v>
      </c>
      <c r="AR125" s="44">
        <f t="shared" si="78"/>
        <v>1449.9839846657014</v>
      </c>
      <c r="AS125" s="44">
        <f t="shared" si="78"/>
        <v>15677.849886815276</v>
      </c>
      <c r="AT125" s="44">
        <f t="shared" si="78"/>
        <v>14.898375027043993</v>
      </c>
      <c r="AU125" s="44">
        <f t="shared" si="78"/>
        <v>501.0080092347381</v>
      </c>
      <c r="AV125" s="44">
        <f t="shared" si="78"/>
        <v>17643.740255742763</v>
      </c>
      <c r="AW125" s="44">
        <f t="shared" si="78"/>
        <v>1401.8261817368609</v>
      </c>
      <c r="AX125" s="44">
        <f t="shared" si="78"/>
        <v>14626.360892826418</v>
      </c>
      <c r="AY125" s="44">
        <f t="shared" si="78"/>
        <v>14.319880978137137</v>
      </c>
      <c r="AZ125" s="44">
        <f t="shared" si="78"/>
        <v>489.81091754402718</v>
      </c>
      <c r="BA125" s="44">
        <f t="shared" si="78"/>
        <v>16532.317873085442</v>
      </c>
      <c r="BB125" s="44">
        <f t="shared" si="78"/>
        <v>1277.490724619543</v>
      </c>
      <c r="BC125" s="44">
        <f t="shared" si="78"/>
        <v>12900.890082022184</v>
      </c>
      <c r="BD125" s="44">
        <f t="shared" si="78"/>
        <v>14.319880978137137</v>
      </c>
      <c r="BE125" s="44">
        <f t="shared" si="78"/>
        <v>487.66480802295308</v>
      </c>
      <c r="BF125" s="44">
        <f t="shared" si="78"/>
        <v>14680.365495642818</v>
      </c>
      <c r="BG125" s="44">
        <f t="shared" si="78"/>
        <v>1215.1455066700678</v>
      </c>
      <c r="BH125" s="44">
        <f t="shared" si="78"/>
        <v>12140.940696389558</v>
      </c>
      <c r="BI125" s="44">
        <f t="shared" si="78"/>
        <v>14.319880978137137</v>
      </c>
      <c r="BJ125" s="44">
        <f t="shared" si="78"/>
        <v>487.44581725549654</v>
      </c>
      <c r="BK125" s="44">
        <f t="shared" si="78"/>
        <v>13857.851901293259</v>
      </c>
      <c r="BL125" s="44">
        <f t="shared" si="78"/>
        <v>1233.1142304783311</v>
      </c>
      <c r="BM125" s="44">
        <f t="shared" si="78"/>
        <v>11349.824874441605</v>
      </c>
      <c r="BN125" s="44">
        <f t="shared" si="78"/>
        <v>14.319880978137137</v>
      </c>
      <c r="BO125" s="44">
        <f t="shared" si="78"/>
        <v>474.99782376988696</v>
      </c>
      <c r="BP125" s="44">
        <f t="shared" si="78"/>
        <v>13072.256809667961</v>
      </c>
      <c r="BQ125" s="44">
        <f t="shared" si="78"/>
        <v>17150.991597913147</v>
      </c>
      <c r="BR125" s="44">
        <f t="shared" si="78"/>
        <v>148193.43136278988</v>
      </c>
      <c r="BS125" s="44">
        <f t="shared" si="78"/>
        <v>175.65953603108679</v>
      </c>
      <c r="BT125" s="44">
        <f t="shared" si="78"/>
        <v>5824.2692412374263</v>
      </c>
      <c r="BU125" s="44">
        <f t="shared" si="78"/>
        <v>171344.35173797156</v>
      </c>
    </row>
    <row r="126" spans="1:73" s="46" customFormat="1" hidden="1" outlineLevel="1">
      <c r="A126" s="17" t="s">
        <v>352</v>
      </c>
      <c r="B126" s="17" t="s">
        <v>353</v>
      </c>
      <c r="C126" s="45" t="s">
        <v>354</v>
      </c>
      <c r="D126" s="45"/>
      <c r="E126" s="45" t="s">
        <v>355</v>
      </c>
      <c r="F126" s="39"/>
      <c r="G126" s="45" t="s">
        <v>356</v>
      </c>
      <c r="H126" s="45" t="s">
        <v>357</v>
      </c>
      <c r="I126" s="17">
        <f>+'[1]Sell in ko tính KDT'!I126</f>
        <v>0</v>
      </c>
      <c r="J126" s="17">
        <f>+'[1]Sell in ko tính KDT'!J126</f>
        <v>0</v>
      </c>
      <c r="K126" s="17">
        <f>+'[1]Sell in ko tính KDT'!K126</f>
        <v>0</v>
      </c>
      <c r="L126" s="17">
        <v>0</v>
      </c>
      <c r="M126" s="17">
        <f t="shared" ref="M126:M139" si="79">I126+J126+L126+K126</f>
        <v>0</v>
      </c>
      <c r="N126" s="17">
        <f>+'[1]Sell in ko tính KDT'!M126</f>
        <v>0</v>
      </c>
      <c r="O126" s="17">
        <f>+'[1]Sell in ko tính KDT'!N126</f>
        <v>0</v>
      </c>
      <c r="P126" s="17">
        <f>+'[1]Sell in ko tính KDT'!O126</f>
        <v>0</v>
      </c>
      <c r="Q126" s="17">
        <v>0</v>
      </c>
      <c r="R126" s="17">
        <f t="shared" ref="R126:R139" si="80">N126+O126+Q126+P126</f>
        <v>0</v>
      </c>
      <c r="S126" s="17">
        <f>+'[1]Sell in ko tính KDT'!Q126</f>
        <v>21.5</v>
      </c>
      <c r="T126" s="17">
        <f>+'[1]Sell in ko tính KDT'!R126</f>
        <v>25</v>
      </c>
      <c r="U126" s="17">
        <f>+'[1]Sell in ko tính KDT'!S126</f>
        <v>0</v>
      </c>
      <c r="V126" s="17">
        <v>0</v>
      </c>
      <c r="W126" s="17">
        <f t="shared" ref="W126:W139" si="81">S126+T126+V126+U126</f>
        <v>46.5</v>
      </c>
      <c r="X126" s="17">
        <f>+'[1]Sell in ko tính KDT'!U126</f>
        <v>21.5</v>
      </c>
      <c r="Y126" s="17">
        <f>+'[1]Sell in ko tính KDT'!V126</f>
        <v>25</v>
      </c>
      <c r="Z126" s="17">
        <f>+'[1]Sell in ko tính KDT'!W126</f>
        <v>0</v>
      </c>
      <c r="AA126" s="17">
        <v>0</v>
      </c>
      <c r="AB126" s="17">
        <f t="shared" ref="AB126:AB139" si="82">X126+Y126+AA126+Z126</f>
        <v>46.5</v>
      </c>
      <c r="AC126" s="17">
        <f>+'[1]Sell in ko tính KDT'!Y126</f>
        <v>21.5</v>
      </c>
      <c r="AD126" s="17">
        <f>+'[1]Sell in ko tính KDT'!Z126</f>
        <v>25</v>
      </c>
      <c r="AE126" s="17">
        <f>+'[1]Sell in ko tính KDT'!AA126</f>
        <v>0</v>
      </c>
      <c r="AF126" s="17">
        <v>0</v>
      </c>
      <c r="AG126" s="17">
        <f t="shared" ref="AG126:AG139" si="83">AC126+AD126+AF126+AE126</f>
        <v>46.5</v>
      </c>
      <c r="AH126" s="17">
        <f>+'[1]Sell in ko tính KDT'!AC126</f>
        <v>0</v>
      </c>
      <c r="AI126" s="17">
        <f>+'[1]Sell in ko tính KDT'!AD126</f>
        <v>0</v>
      </c>
      <c r="AJ126" s="17">
        <f>+'[1]Sell in ko tính KDT'!AE126</f>
        <v>0</v>
      </c>
      <c r="AK126" s="17">
        <v>0</v>
      </c>
      <c r="AL126" s="17">
        <f t="shared" ref="AL126:AL139" si="84">AH126+AI126+AK126+AJ126</f>
        <v>0</v>
      </c>
      <c r="AM126" s="17">
        <f>+'[1]Sell in ko tính KDT'!AG126</f>
        <v>0</v>
      </c>
      <c r="AN126" s="17">
        <f>+'[1]Sell in ko tính KDT'!AH126</f>
        <v>0</v>
      </c>
      <c r="AO126" s="17">
        <f>+'[1]Sell in ko tính KDT'!AI126</f>
        <v>0</v>
      </c>
      <c r="AP126" s="17">
        <v>0</v>
      </c>
      <c r="AQ126" s="17">
        <f t="shared" ref="AQ126:AQ139" si="85">AM126+AN126+AP126+AO126</f>
        <v>0</v>
      </c>
      <c r="AR126" s="17">
        <f>+'[1]Sell in ko tính KDT'!AK126</f>
        <v>0</v>
      </c>
      <c r="AS126" s="17">
        <f>+'[1]Sell in ko tính KDT'!AL126</f>
        <v>0</v>
      </c>
      <c r="AT126" s="17">
        <f>+'[1]Sell in ko tính KDT'!AM126</f>
        <v>0</v>
      </c>
      <c r="AU126" s="17">
        <v>0</v>
      </c>
      <c r="AV126" s="17">
        <f t="shared" ref="AV126:AV139" si="86">AR126+AS126+AU126+AT126</f>
        <v>0</v>
      </c>
      <c r="AW126" s="17">
        <f>+'[1]Sell in ko tính KDT'!AO126</f>
        <v>0</v>
      </c>
      <c r="AX126" s="17">
        <f>+'[1]Sell in ko tính KDT'!AP126</f>
        <v>0</v>
      </c>
      <c r="AY126" s="17">
        <f>+'[1]Sell in ko tính KDT'!AQ126</f>
        <v>0</v>
      </c>
      <c r="AZ126" s="17">
        <v>0</v>
      </c>
      <c r="BA126" s="17">
        <f t="shared" ref="BA126:BA139" si="87">AW126+AX126+AZ126+AY126</f>
        <v>0</v>
      </c>
      <c r="BB126" s="17">
        <f>+'[1]Sell in ko tính KDT'!AS126</f>
        <v>0</v>
      </c>
      <c r="BC126" s="17">
        <f>+'[1]Sell in ko tính KDT'!AT126</f>
        <v>0</v>
      </c>
      <c r="BD126" s="17">
        <f>+'[1]Sell in ko tính KDT'!AU126</f>
        <v>0</v>
      </c>
      <c r="BE126" s="17">
        <v>0</v>
      </c>
      <c r="BF126" s="17">
        <f t="shared" ref="BF126:BF139" si="88">BB126+BC126+BE126+BD126</f>
        <v>0</v>
      </c>
      <c r="BG126" s="17">
        <f>+'[1]Sell in ko tính KDT'!AW126</f>
        <v>0</v>
      </c>
      <c r="BH126" s="17">
        <f>+'[1]Sell in ko tính KDT'!AX126</f>
        <v>0</v>
      </c>
      <c r="BI126" s="17">
        <f>+'[1]Sell in ko tính KDT'!AY126</f>
        <v>0</v>
      </c>
      <c r="BJ126" s="17">
        <v>0</v>
      </c>
      <c r="BK126" s="17">
        <f t="shared" ref="BK126:BK139" si="89">BG126+BH126+BJ126+BI126</f>
        <v>0</v>
      </c>
      <c r="BL126" s="17">
        <f>+'[1]Sell in ko tính KDT'!BA126</f>
        <v>0</v>
      </c>
      <c r="BM126" s="17">
        <f>+'[1]Sell in ko tính KDT'!BB126</f>
        <v>0</v>
      </c>
      <c r="BN126" s="17">
        <f>+'[1]Sell in ko tính KDT'!BC126</f>
        <v>0</v>
      </c>
      <c r="BO126" s="17">
        <v>0</v>
      </c>
      <c r="BP126" s="17">
        <f t="shared" ref="BP126:BP159" si="90">BL126+BM126+BO126+BN126</f>
        <v>0</v>
      </c>
      <c r="BQ126" s="17">
        <f t="shared" ref="BQ126:BT141" si="91">BL126+BG126+BB126+AW126+AR126+AM126+AH126+AC126+X126+S126+N126+I126</f>
        <v>64.5</v>
      </c>
      <c r="BR126" s="17">
        <f t="shared" si="91"/>
        <v>75</v>
      </c>
      <c r="BS126" s="17">
        <f t="shared" si="91"/>
        <v>0</v>
      </c>
      <c r="BT126" s="17">
        <f t="shared" si="91"/>
        <v>0</v>
      </c>
      <c r="BU126" s="17">
        <f t="shared" si="46"/>
        <v>139.5</v>
      </c>
    </row>
    <row r="127" spans="1:73" s="46" customFormat="1" hidden="1" outlineLevel="1">
      <c r="A127" s="17" t="s">
        <v>352</v>
      </c>
      <c r="B127" s="17" t="s">
        <v>353</v>
      </c>
      <c r="C127" s="45" t="s">
        <v>358</v>
      </c>
      <c r="D127" s="45"/>
      <c r="E127" s="45" t="s">
        <v>355</v>
      </c>
      <c r="F127" s="39"/>
      <c r="G127" s="45" t="s">
        <v>359</v>
      </c>
      <c r="H127" s="45" t="s">
        <v>357</v>
      </c>
      <c r="I127" s="17">
        <f>+'[1]Sell in ko tính KDT'!I127</f>
        <v>0</v>
      </c>
      <c r="J127" s="17">
        <f>+'[1]Sell in ko tính KDT'!J127</f>
        <v>0</v>
      </c>
      <c r="K127" s="17">
        <f>+'[1]Sell in ko tính KDT'!K127</f>
        <v>0</v>
      </c>
      <c r="L127" s="17">
        <v>0</v>
      </c>
      <c r="M127" s="17">
        <f t="shared" si="79"/>
        <v>0</v>
      </c>
      <c r="N127" s="17">
        <f>+'[1]Sell in ko tính KDT'!M127</f>
        <v>0</v>
      </c>
      <c r="O127" s="17">
        <f>+'[1]Sell in ko tính KDT'!N127</f>
        <v>0</v>
      </c>
      <c r="P127" s="17">
        <f>+'[1]Sell in ko tính KDT'!O127</f>
        <v>0</v>
      </c>
      <c r="Q127" s="17">
        <v>0</v>
      </c>
      <c r="R127" s="17">
        <f t="shared" si="80"/>
        <v>0</v>
      </c>
      <c r="S127" s="17">
        <f>+'[1]Sell in ko tính KDT'!Q127</f>
        <v>2</v>
      </c>
      <c r="T127" s="17">
        <f>+'[1]Sell in ko tính KDT'!R127</f>
        <v>45</v>
      </c>
      <c r="U127" s="17">
        <f>+'[1]Sell in ko tính KDT'!S127</f>
        <v>0</v>
      </c>
      <c r="V127" s="17">
        <v>0</v>
      </c>
      <c r="W127" s="17">
        <f t="shared" si="81"/>
        <v>47</v>
      </c>
      <c r="X127" s="17">
        <f>+'[1]Sell in ko tính KDT'!U127</f>
        <v>2</v>
      </c>
      <c r="Y127" s="17">
        <f>+'[1]Sell in ko tính KDT'!V127</f>
        <v>45</v>
      </c>
      <c r="Z127" s="17">
        <f>+'[1]Sell in ko tính KDT'!W127</f>
        <v>0</v>
      </c>
      <c r="AA127" s="17">
        <v>0</v>
      </c>
      <c r="AB127" s="17">
        <f t="shared" si="82"/>
        <v>47</v>
      </c>
      <c r="AC127" s="17">
        <f>+'[1]Sell in ko tính KDT'!Y127</f>
        <v>2</v>
      </c>
      <c r="AD127" s="17">
        <f>+'[1]Sell in ko tính KDT'!Z127</f>
        <v>45</v>
      </c>
      <c r="AE127" s="17">
        <f>+'[1]Sell in ko tính KDT'!AA127</f>
        <v>0</v>
      </c>
      <c r="AF127" s="17">
        <v>0</v>
      </c>
      <c r="AG127" s="17">
        <f t="shared" si="83"/>
        <v>47</v>
      </c>
      <c r="AH127" s="17">
        <f>+'[1]Sell in ko tính KDT'!AC127</f>
        <v>0</v>
      </c>
      <c r="AI127" s="17">
        <f>+'[1]Sell in ko tính KDT'!AD127</f>
        <v>0</v>
      </c>
      <c r="AJ127" s="17">
        <f>+'[1]Sell in ko tính KDT'!AE127</f>
        <v>0</v>
      </c>
      <c r="AK127" s="17">
        <v>0</v>
      </c>
      <c r="AL127" s="17">
        <f t="shared" si="84"/>
        <v>0</v>
      </c>
      <c r="AM127" s="17">
        <f>+'[1]Sell in ko tính KDT'!AG127</f>
        <v>0</v>
      </c>
      <c r="AN127" s="17">
        <f>+'[1]Sell in ko tính KDT'!AH127</f>
        <v>0</v>
      </c>
      <c r="AO127" s="17">
        <f>+'[1]Sell in ko tính KDT'!AI127</f>
        <v>0</v>
      </c>
      <c r="AP127" s="17">
        <v>0</v>
      </c>
      <c r="AQ127" s="17">
        <f t="shared" si="85"/>
        <v>0</v>
      </c>
      <c r="AR127" s="17">
        <f>+'[1]Sell in ko tính KDT'!AK127</f>
        <v>0</v>
      </c>
      <c r="AS127" s="17">
        <f>+'[1]Sell in ko tính KDT'!AL127</f>
        <v>0</v>
      </c>
      <c r="AT127" s="17">
        <f>+'[1]Sell in ko tính KDT'!AM127</f>
        <v>0</v>
      </c>
      <c r="AU127" s="17">
        <v>0</v>
      </c>
      <c r="AV127" s="17">
        <f t="shared" si="86"/>
        <v>0</v>
      </c>
      <c r="AW127" s="17">
        <f>+'[1]Sell in ko tính KDT'!AO127</f>
        <v>0</v>
      </c>
      <c r="AX127" s="17">
        <f>+'[1]Sell in ko tính KDT'!AP127</f>
        <v>0</v>
      </c>
      <c r="AY127" s="17">
        <f>+'[1]Sell in ko tính KDT'!AQ127</f>
        <v>0</v>
      </c>
      <c r="AZ127" s="17">
        <v>0</v>
      </c>
      <c r="BA127" s="17">
        <f t="shared" si="87"/>
        <v>0</v>
      </c>
      <c r="BB127" s="17">
        <f>+'[1]Sell in ko tính KDT'!AS127</f>
        <v>0</v>
      </c>
      <c r="BC127" s="17">
        <f>+'[1]Sell in ko tính KDT'!AT127</f>
        <v>0</v>
      </c>
      <c r="BD127" s="17">
        <f>+'[1]Sell in ko tính KDT'!AU127</f>
        <v>0</v>
      </c>
      <c r="BE127" s="17">
        <v>0</v>
      </c>
      <c r="BF127" s="17">
        <f t="shared" si="88"/>
        <v>0</v>
      </c>
      <c r="BG127" s="17">
        <f>+'[1]Sell in ko tính KDT'!AW127</f>
        <v>0</v>
      </c>
      <c r="BH127" s="17">
        <f>+'[1]Sell in ko tính KDT'!AX127</f>
        <v>0</v>
      </c>
      <c r="BI127" s="17">
        <f>+'[1]Sell in ko tính KDT'!AY127</f>
        <v>0</v>
      </c>
      <c r="BJ127" s="17">
        <v>0</v>
      </c>
      <c r="BK127" s="17">
        <f t="shared" si="89"/>
        <v>0</v>
      </c>
      <c r="BL127" s="17">
        <f>+'[1]Sell in ko tính KDT'!BA127</f>
        <v>0</v>
      </c>
      <c r="BM127" s="17">
        <f>+'[1]Sell in ko tính KDT'!BB127</f>
        <v>0</v>
      </c>
      <c r="BN127" s="17">
        <f>+'[1]Sell in ko tính KDT'!BC127</f>
        <v>0</v>
      </c>
      <c r="BO127" s="17">
        <v>0</v>
      </c>
      <c r="BP127" s="17">
        <f t="shared" si="90"/>
        <v>0</v>
      </c>
      <c r="BQ127" s="17">
        <f t="shared" si="91"/>
        <v>6</v>
      </c>
      <c r="BR127" s="17">
        <f t="shared" si="91"/>
        <v>135</v>
      </c>
      <c r="BS127" s="17">
        <f t="shared" si="91"/>
        <v>0</v>
      </c>
      <c r="BT127" s="17">
        <f t="shared" si="91"/>
        <v>0</v>
      </c>
      <c r="BU127" s="17">
        <f t="shared" si="46"/>
        <v>141</v>
      </c>
    </row>
    <row r="128" spans="1:73" s="46" customFormat="1" hidden="1" outlineLevel="1">
      <c r="A128" s="17" t="s">
        <v>352</v>
      </c>
      <c r="B128" s="17" t="s">
        <v>353</v>
      </c>
      <c r="C128" s="45" t="s">
        <v>360</v>
      </c>
      <c r="D128" s="45"/>
      <c r="E128" s="45" t="s">
        <v>355</v>
      </c>
      <c r="F128" s="39"/>
      <c r="G128" s="45" t="s">
        <v>361</v>
      </c>
      <c r="H128" s="45" t="s">
        <v>357</v>
      </c>
      <c r="I128" s="17">
        <f>+'[1]Sell in ko tính KDT'!I128</f>
        <v>0</v>
      </c>
      <c r="J128" s="17">
        <f>+'[1]Sell in ko tính KDT'!J128</f>
        <v>0</v>
      </c>
      <c r="K128" s="17">
        <f>+'[1]Sell in ko tính KDT'!K128</f>
        <v>0</v>
      </c>
      <c r="L128" s="17">
        <v>0</v>
      </c>
      <c r="M128" s="17">
        <f t="shared" si="79"/>
        <v>0</v>
      </c>
      <c r="N128" s="17">
        <f>+'[1]Sell in ko tính KDT'!M128</f>
        <v>0</v>
      </c>
      <c r="O128" s="17">
        <f>+'[1]Sell in ko tính KDT'!N128</f>
        <v>0</v>
      </c>
      <c r="P128" s="17">
        <f>+'[1]Sell in ko tính KDT'!O128</f>
        <v>0</v>
      </c>
      <c r="Q128" s="17">
        <v>0</v>
      </c>
      <c r="R128" s="17">
        <f t="shared" si="80"/>
        <v>0</v>
      </c>
      <c r="S128" s="17">
        <f>+'[1]Sell in ko tính KDT'!Q128</f>
        <v>16.5</v>
      </c>
      <c r="T128" s="17">
        <f>+'[1]Sell in ko tính KDT'!R128</f>
        <v>30</v>
      </c>
      <c r="U128" s="17">
        <f>+'[1]Sell in ko tính KDT'!S128</f>
        <v>0</v>
      </c>
      <c r="V128" s="17">
        <v>0</v>
      </c>
      <c r="W128" s="17">
        <f t="shared" si="81"/>
        <v>46.5</v>
      </c>
      <c r="X128" s="17">
        <f>+'[1]Sell in ko tính KDT'!U128</f>
        <v>29.35</v>
      </c>
      <c r="Y128" s="17">
        <f>+'[1]Sell in ko tính KDT'!V128</f>
        <v>17.149999999999999</v>
      </c>
      <c r="Z128" s="17">
        <f>+'[1]Sell in ko tính KDT'!W128</f>
        <v>0</v>
      </c>
      <c r="AA128" s="17">
        <v>0</v>
      </c>
      <c r="AB128" s="17">
        <f t="shared" si="82"/>
        <v>46.5</v>
      </c>
      <c r="AC128" s="17">
        <f>+'[1]Sell in ko tính KDT'!Y128</f>
        <v>21.5</v>
      </c>
      <c r="AD128" s="17">
        <f>+'[1]Sell in ko tính KDT'!Z128</f>
        <v>25</v>
      </c>
      <c r="AE128" s="17">
        <f>+'[1]Sell in ko tính KDT'!AA128</f>
        <v>0</v>
      </c>
      <c r="AF128" s="17">
        <v>0</v>
      </c>
      <c r="AG128" s="17">
        <f t="shared" si="83"/>
        <v>46.5</v>
      </c>
      <c r="AH128" s="17">
        <f>+'[1]Sell in ko tính KDT'!AC128</f>
        <v>0</v>
      </c>
      <c r="AI128" s="17">
        <f>+'[1]Sell in ko tính KDT'!AD128</f>
        <v>0</v>
      </c>
      <c r="AJ128" s="17">
        <f>+'[1]Sell in ko tính KDT'!AE128</f>
        <v>0</v>
      </c>
      <c r="AK128" s="17">
        <v>0</v>
      </c>
      <c r="AL128" s="17">
        <f t="shared" si="84"/>
        <v>0</v>
      </c>
      <c r="AM128" s="17">
        <f>+'[1]Sell in ko tính KDT'!AG128</f>
        <v>0</v>
      </c>
      <c r="AN128" s="17">
        <f>+'[1]Sell in ko tính KDT'!AH128</f>
        <v>0</v>
      </c>
      <c r="AO128" s="17">
        <f>+'[1]Sell in ko tính KDT'!AI128</f>
        <v>0</v>
      </c>
      <c r="AP128" s="17">
        <v>0</v>
      </c>
      <c r="AQ128" s="17">
        <f t="shared" si="85"/>
        <v>0</v>
      </c>
      <c r="AR128" s="17">
        <f>+'[1]Sell in ko tính KDT'!AK128</f>
        <v>0</v>
      </c>
      <c r="AS128" s="17">
        <f>+'[1]Sell in ko tính KDT'!AL128</f>
        <v>0</v>
      </c>
      <c r="AT128" s="17">
        <f>+'[1]Sell in ko tính KDT'!AM128</f>
        <v>0</v>
      </c>
      <c r="AU128" s="17">
        <v>0</v>
      </c>
      <c r="AV128" s="17">
        <f t="shared" si="86"/>
        <v>0</v>
      </c>
      <c r="AW128" s="17">
        <f>+'[1]Sell in ko tính KDT'!AO128</f>
        <v>0</v>
      </c>
      <c r="AX128" s="17">
        <f>+'[1]Sell in ko tính KDT'!AP128</f>
        <v>0</v>
      </c>
      <c r="AY128" s="17">
        <f>+'[1]Sell in ko tính KDT'!AQ128</f>
        <v>0</v>
      </c>
      <c r="AZ128" s="17">
        <v>0</v>
      </c>
      <c r="BA128" s="17">
        <f t="shared" si="87"/>
        <v>0</v>
      </c>
      <c r="BB128" s="17">
        <f>+'[1]Sell in ko tính KDT'!AS128</f>
        <v>0</v>
      </c>
      <c r="BC128" s="17">
        <f>+'[1]Sell in ko tính KDT'!AT128</f>
        <v>0</v>
      </c>
      <c r="BD128" s="17">
        <f>+'[1]Sell in ko tính KDT'!AU128</f>
        <v>0</v>
      </c>
      <c r="BE128" s="17">
        <v>0</v>
      </c>
      <c r="BF128" s="17">
        <f t="shared" si="88"/>
        <v>0</v>
      </c>
      <c r="BG128" s="17">
        <f>+'[1]Sell in ko tính KDT'!AW128</f>
        <v>0</v>
      </c>
      <c r="BH128" s="17">
        <f>+'[1]Sell in ko tính KDT'!AX128</f>
        <v>0</v>
      </c>
      <c r="BI128" s="17">
        <f>+'[1]Sell in ko tính KDT'!AY128</f>
        <v>0</v>
      </c>
      <c r="BJ128" s="17">
        <v>0</v>
      </c>
      <c r="BK128" s="17">
        <f t="shared" si="89"/>
        <v>0</v>
      </c>
      <c r="BL128" s="17">
        <f>+'[1]Sell in ko tính KDT'!BA128</f>
        <v>0</v>
      </c>
      <c r="BM128" s="17">
        <f>+'[1]Sell in ko tính KDT'!BB128</f>
        <v>0</v>
      </c>
      <c r="BN128" s="17">
        <f>+'[1]Sell in ko tính KDT'!BC128</f>
        <v>0</v>
      </c>
      <c r="BO128" s="17">
        <v>0</v>
      </c>
      <c r="BP128" s="17">
        <f t="shared" si="90"/>
        <v>0</v>
      </c>
      <c r="BQ128" s="17">
        <f t="shared" si="91"/>
        <v>67.349999999999994</v>
      </c>
      <c r="BR128" s="17">
        <f t="shared" si="91"/>
        <v>72.150000000000006</v>
      </c>
      <c r="BS128" s="17">
        <f t="shared" si="91"/>
        <v>0</v>
      </c>
      <c r="BT128" s="17">
        <f t="shared" si="91"/>
        <v>0</v>
      </c>
      <c r="BU128" s="17">
        <f t="shared" si="46"/>
        <v>139.5</v>
      </c>
    </row>
    <row r="129" spans="1:73" s="46" customFormat="1" hidden="1" outlineLevel="1">
      <c r="A129" s="17" t="s">
        <v>352</v>
      </c>
      <c r="B129" s="17" t="s">
        <v>353</v>
      </c>
      <c r="C129" s="45" t="s">
        <v>362</v>
      </c>
      <c r="D129" s="31" t="s">
        <v>363</v>
      </c>
      <c r="E129" s="45" t="s">
        <v>363</v>
      </c>
      <c r="F129" s="39"/>
      <c r="G129" s="45" t="s">
        <v>364</v>
      </c>
      <c r="H129" s="45" t="s">
        <v>357</v>
      </c>
      <c r="I129" s="17">
        <f>+'[1]Sell in ko tính KDT'!I129</f>
        <v>0</v>
      </c>
      <c r="J129" s="17">
        <f>+'[1]Sell in ko tính KDT'!J129</f>
        <v>0</v>
      </c>
      <c r="K129" s="17">
        <f>+'[1]Sell in ko tính KDT'!K129</f>
        <v>0</v>
      </c>
      <c r="L129" s="17">
        <v>0</v>
      </c>
      <c r="M129" s="17">
        <f t="shared" si="79"/>
        <v>0</v>
      </c>
      <c r="N129" s="17">
        <f>+'[1]Sell in ko tính KDT'!M129</f>
        <v>0</v>
      </c>
      <c r="O129" s="17">
        <f>+'[1]Sell in ko tính KDT'!N129</f>
        <v>0</v>
      </c>
      <c r="P129" s="17">
        <f>+'[1]Sell in ko tính KDT'!O129</f>
        <v>0</v>
      </c>
      <c r="Q129" s="17">
        <v>0</v>
      </c>
      <c r="R129" s="17">
        <f t="shared" si="80"/>
        <v>0</v>
      </c>
      <c r="S129" s="17">
        <f>+'[1]Sell in ko tính KDT'!Q129</f>
        <v>22</v>
      </c>
      <c r="T129" s="17">
        <f>+'[1]Sell in ko tính KDT'!R129</f>
        <v>25</v>
      </c>
      <c r="U129" s="17">
        <f>+'[1]Sell in ko tính KDT'!S129</f>
        <v>0</v>
      </c>
      <c r="V129" s="17">
        <v>0</v>
      </c>
      <c r="W129" s="17">
        <f t="shared" si="81"/>
        <v>47</v>
      </c>
      <c r="X129" s="17">
        <f>+'[1]Sell in ko tính KDT'!U129</f>
        <v>22</v>
      </c>
      <c r="Y129" s="17">
        <f>+'[1]Sell in ko tính KDT'!V129</f>
        <v>25</v>
      </c>
      <c r="Z129" s="17">
        <f>+'[1]Sell in ko tính KDT'!W129</f>
        <v>0</v>
      </c>
      <c r="AA129" s="17">
        <v>0</v>
      </c>
      <c r="AB129" s="17">
        <f t="shared" si="82"/>
        <v>47</v>
      </c>
      <c r="AC129" s="17">
        <f>+'[1]Sell in ko tính KDT'!Y129</f>
        <v>22</v>
      </c>
      <c r="AD129" s="17">
        <f>+'[1]Sell in ko tính KDT'!Z129</f>
        <v>25</v>
      </c>
      <c r="AE129" s="17">
        <f>+'[1]Sell in ko tính KDT'!AA129</f>
        <v>0</v>
      </c>
      <c r="AF129" s="17">
        <v>0</v>
      </c>
      <c r="AG129" s="17">
        <f t="shared" si="83"/>
        <v>47</v>
      </c>
      <c r="AH129" s="17">
        <f>+'[1]Sell in ko tính KDT'!AC129</f>
        <v>0</v>
      </c>
      <c r="AI129" s="17">
        <f>+'[1]Sell in ko tính KDT'!AD129</f>
        <v>0</v>
      </c>
      <c r="AJ129" s="17">
        <f>+'[1]Sell in ko tính KDT'!AE129</f>
        <v>0</v>
      </c>
      <c r="AK129" s="17">
        <v>0</v>
      </c>
      <c r="AL129" s="17">
        <f t="shared" si="84"/>
        <v>0</v>
      </c>
      <c r="AM129" s="17">
        <f>+'[1]Sell in ko tính KDT'!AG129</f>
        <v>0</v>
      </c>
      <c r="AN129" s="17">
        <f>+'[1]Sell in ko tính KDT'!AH129</f>
        <v>0</v>
      </c>
      <c r="AO129" s="17">
        <f>+'[1]Sell in ko tính KDT'!AI129</f>
        <v>0</v>
      </c>
      <c r="AP129" s="17">
        <v>0</v>
      </c>
      <c r="AQ129" s="17">
        <f t="shared" si="85"/>
        <v>0</v>
      </c>
      <c r="AR129" s="17">
        <f>+'[1]Sell in ko tính KDT'!AK129</f>
        <v>50</v>
      </c>
      <c r="AS129" s="17">
        <f>+'[1]Sell in ko tính KDT'!AL129</f>
        <v>20</v>
      </c>
      <c r="AT129" s="17">
        <f>+'[1]Sell in ko tính KDT'!AM129</f>
        <v>0</v>
      </c>
      <c r="AU129" s="17">
        <v>0</v>
      </c>
      <c r="AV129" s="17">
        <f t="shared" si="86"/>
        <v>70</v>
      </c>
      <c r="AW129" s="17">
        <f>+'[1]Sell in ko tính KDT'!AO129</f>
        <v>50</v>
      </c>
      <c r="AX129" s="17">
        <f>+'[1]Sell in ko tính KDT'!AP129</f>
        <v>20</v>
      </c>
      <c r="AY129" s="17">
        <f>+'[1]Sell in ko tính KDT'!AQ129</f>
        <v>0</v>
      </c>
      <c r="AZ129" s="17">
        <v>0</v>
      </c>
      <c r="BA129" s="17">
        <f t="shared" si="87"/>
        <v>70</v>
      </c>
      <c r="BB129" s="17">
        <f>+'[1]Sell in ko tính KDT'!AS129</f>
        <v>50</v>
      </c>
      <c r="BC129" s="17">
        <f>+'[1]Sell in ko tính KDT'!AT129</f>
        <v>20</v>
      </c>
      <c r="BD129" s="17">
        <f>+'[1]Sell in ko tính KDT'!AU129</f>
        <v>0</v>
      </c>
      <c r="BE129" s="17">
        <v>0</v>
      </c>
      <c r="BF129" s="17">
        <f t="shared" si="88"/>
        <v>70</v>
      </c>
      <c r="BG129" s="17">
        <f>+'[1]Sell in ko tính KDT'!AW129</f>
        <v>60</v>
      </c>
      <c r="BH129" s="17">
        <f>+'[1]Sell in ko tính KDT'!AX129</f>
        <v>20</v>
      </c>
      <c r="BI129" s="17">
        <f>+'[1]Sell in ko tính KDT'!AY129</f>
        <v>0</v>
      </c>
      <c r="BJ129" s="17">
        <v>0</v>
      </c>
      <c r="BK129" s="17">
        <f t="shared" si="89"/>
        <v>80</v>
      </c>
      <c r="BL129" s="17">
        <f>+'[1]Sell in ko tính KDT'!BA129</f>
        <v>60</v>
      </c>
      <c r="BM129" s="17">
        <f>+'[1]Sell in ko tính KDT'!BB129</f>
        <v>20</v>
      </c>
      <c r="BN129" s="17">
        <f>+'[1]Sell in ko tính KDT'!BC129</f>
        <v>0</v>
      </c>
      <c r="BO129" s="17">
        <v>0</v>
      </c>
      <c r="BP129" s="17">
        <f t="shared" si="90"/>
        <v>80</v>
      </c>
      <c r="BQ129" s="17">
        <f t="shared" si="91"/>
        <v>336</v>
      </c>
      <c r="BR129" s="17">
        <f t="shared" si="91"/>
        <v>175</v>
      </c>
      <c r="BS129" s="17">
        <f t="shared" si="91"/>
        <v>0</v>
      </c>
      <c r="BT129" s="17">
        <f t="shared" si="91"/>
        <v>0</v>
      </c>
      <c r="BU129" s="17">
        <f t="shared" si="46"/>
        <v>511</v>
      </c>
    </row>
    <row r="130" spans="1:73" s="46" customFormat="1" hidden="1" outlineLevel="1">
      <c r="A130" s="17" t="s">
        <v>352</v>
      </c>
      <c r="B130" s="17" t="s">
        <v>353</v>
      </c>
      <c r="C130" s="45" t="s">
        <v>365</v>
      </c>
      <c r="D130" s="31" t="s">
        <v>363</v>
      </c>
      <c r="E130" s="45" t="s">
        <v>363</v>
      </c>
      <c r="F130" s="39"/>
      <c r="G130" s="45" t="s">
        <v>366</v>
      </c>
      <c r="H130" s="45" t="s">
        <v>357</v>
      </c>
      <c r="I130" s="17">
        <f>+'[1]Sell in ko tính KDT'!I130</f>
        <v>0</v>
      </c>
      <c r="J130" s="17">
        <f>+'[1]Sell in ko tính KDT'!J130</f>
        <v>0</v>
      </c>
      <c r="K130" s="17">
        <f>+'[1]Sell in ko tính KDT'!K130</f>
        <v>0</v>
      </c>
      <c r="L130" s="17">
        <v>0</v>
      </c>
      <c r="M130" s="17">
        <f t="shared" si="79"/>
        <v>0</v>
      </c>
      <c r="N130" s="17">
        <f>+'[1]Sell in ko tính KDT'!M130</f>
        <v>0</v>
      </c>
      <c r="O130" s="17">
        <f>+'[1]Sell in ko tính KDT'!N130</f>
        <v>0</v>
      </c>
      <c r="P130" s="17">
        <f>+'[1]Sell in ko tính KDT'!O130</f>
        <v>0</v>
      </c>
      <c r="Q130" s="17">
        <v>0</v>
      </c>
      <c r="R130" s="17">
        <f t="shared" si="80"/>
        <v>0</v>
      </c>
      <c r="S130" s="17">
        <f>+'[1]Sell in ko tính KDT'!Q130</f>
        <v>28.5</v>
      </c>
      <c r="T130" s="17">
        <f>+'[1]Sell in ko tính KDT'!R130</f>
        <v>18</v>
      </c>
      <c r="U130" s="17">
        <f>+'[1]Sell in ko tính KDT'!S130</f>
        <v>0</v>
      </c>
      <c r="V130" s="17">
        <v>0</v>
      </c>
      <c r="W130" s="17">
        <f t="shared" si="81"/>
        <v>46.5</v>
      </c>
      <c r="X130" s="17">
        <f>+'[1]Sell in ko tính KDT'!U130</f>
        <v>30</v>
      </c>
      <c r="Y130" s="17">
        <f>+'[1]Sell in ko tính KDT'!V130</f>
        <v>16.5</v>
      </c>
      <c r="Z130" s="17">
        <f>+'[1]Sell in ko tính KDT'!W130</f>
        <v>0</v>
      </c>
      <c r="AA130" s="17">
        <v>0</v>
      </c>
      <c r="AB130" s="17">
        <f t="shared" si="82"/>
        <v>46.5</v>
      </c>
      <c r="AC130" s="17">
        <f>+'[1]Sell in ko tính KDT'!Y130</f>
        <v>28.5</v>
      </c>
      <c r="AD130" s="17">
        <f>+'[1]Sell in ko tính KDT'!Z130</f>
        <v>18</v>
      </c>
      <c r="AE130" s="17">
        <f>+'[1]Sell in ko tính KDT'!AA130</f>
        <v>0</v>
      </c>
      <c r="AF130" s="17">
        <v>0</v>
      </c>
      <c r="AG130" s="17">
        <f t="shared" si="83"/>
        <v>46.5</v>
      </c>
      <c r="AH130" s="17">
        <f>+'[1]Sell in ko tính KDT'!AC130</f>
        <v>0</v>
      </c>
      <c r="AI130" s="17">
        <f>+'[1]Sell in ko tính KDT'!AD130</f>
        <v>0</v>
      </c>
      <c r="AJ130" s="17">
        <f>+'[1]Sell in ko tính KDT'!AE130</f>
        <v>0</v>
      </c>
      <c r="AK130" s="17">
        <v>0</v>
      </c>
      <c r="AL130" s="17">
        <f t="shared" si="84"/>
        <v>0</v>
      </c>
      <c r="AM130" s="17">
        <f>+'[1]Sell in ko tính KDT'!AG130</f>
        <v>0</v>
      </c>
      <c r="AN130" s="17">
        <f>+'[1]Sell in ko tính KDT'!AH130</f>
        <v>0</v>
      </c>
      <c r="AO130" s="17">
        <f>+'[1]Sell in ko tính KDT'!AI130</f>
        <v>0</v>
      </c>
      <c r="AP130" s="17">
        <v>0</v>
      </c>
      <c r="AQ130" s="17">
        <f t="shared" si="85"/>
        <v>0</v>
      </c>
      <c r="AR130" s="17">
        <f>+'[1]Sell in ko tính KDT'!AK130</f>
        <v>50</v>
      </c>
      <c r="AS130" s="17">
        <f>+'[1]Sell in ko tính KDT'!AL130</f>
        <v>20</v>
      </c>
      <c r="AT130" s="17">
        <f>+'[1]Sell in ko tính KDT'!AM130</f>
        <v>0</v>
      </c>
      <c r="AU130" s="17">
        <v>0</v>
      </c>
      <c r="AV130" s="17">
        <f t="shared" si="86"/>
        <v>70</v>
      </c>
      <c r="AW130" s="17">
        <f>+'[1]Sell in ko tính KDT'!AO130</f>
        <v>50</v>
      </c>
      <c r="AX130" s="17">
        <f>+'[1]Sell in ko tính KDT'!AP130</f>
        <v>20</v>
      </c>
      <c r="AY130" s="17">
        <f>+'[1]Sell in ko tính KDT'!AQ130</f>
        <v>0</v>
      </c>
      <c r="AZ130" s="17">
        <v>0</v>
      </c>
      <c r="BA130" s="17">
        <f t="shared" si="87"/>
        <v>70</v>
      </c>
      <c r="BB130" s="17">
        <f>+'[1]Sell in ko tính KDT'!AS130</f>
        <v>50</v>
      </c>
      <c r="BC130" s="17">
        <f>+'[1]Sell in ko tính KDT'!AT130</f>
        <v>20</v>
      </c>
      <c r="BD130" s="17">
        <f>+'[1]Sell in ko tính KDT'!AU130</f>
        <v>0</v>
      </c>
      <c r="BE130" s="17">
        <v>0</v>
      </c>
      <c r="BF130" s="17">
        <f t="shared" si="88"/>
        <v>70</v>
      </c>
      <c r="BG130" s="17">
        <f>+'[1]Sell in ko tính KDT'!AW130</f>
        <v>60</v>
      </c>
      <c r="BH130" s="17">
        <f>+'[1]Sell in ko tính KDT'!AX130</f>
        <v>20</v>
      </c>
      <c r="BI130" s="17">
        <f>+'[1]Sell in ko tính KDT'!AY130</f>
        <v>0</v>
      </c>
      <c r="BJ130" s="17">
        <v>0</v>
      </c>
      <c r="BK130" s="17">
        <f t="shared" si="89"/>
        <v>80</v>
      </c>
      <c r="BL130" s="17">
        <f>+'[1]Sell in ko tính KDT'!BA130</f>
        <v>60</v>
      </c>
      <c r="BM130" s="17">
        <f>+'[1]Sell in ko tính KDT'!BB130</f>
        <v>20</v>
      </c>
      <c r="BN130" s="17">
        <f>+'[1]Sell in ko tính KDT'!BC130</f>
        <v>0</v>
      </c>
      <c r="BO130" s="17">
        <v>0</v>
      </c>
      <c r="BP130" s="17">
        <f t="shared" si="90"/>
        <v>80</v>
      </c>
      <c r="BQ130" s="17">
        <f t="shared" si="91"/>
        <v>357</v>
      </c>
      <c r="BR130" s="17">
        <f t="shared" si="91"/>
        <v>152.5</v>
      </c>
      <c r="BS130" s="17">
        <f t="shared" si="91"/>
        <v>0</v>
      </c>
      <c r="BT130" s="17">
        <f t="shared" si="91"/>
        <v>0</v>
      </c>
      <c r="BU130" s="17">
        <f t="shared" si="46"/>
        <v>509.5</v>
      </c>
    </row>
    <row r="131" spans="1:73" s="46" customFormat="1" hidden="1" outlineLevel="1">
      <c r="A131" s="17" t="s">
        <v>352</v>
      </c>
      <c r="B131" s="17" t="s">
        <v>353</v>
      </c>
      <c r="C131" s="45" t="s">
        <v>367</v>
      </c>
      <c r="D131" s="31" t="s">
        <v>355</v>
      </c>
      <c r="E131" s="45" t="s">
        <v>363</v>
      </c>
      <c r="F131" s="47" t="s">
        <v>368</v>
      </c>
      <c r="G131" s="48" t="s">
        <v>369</v>
      </c>
      <c r="H131" s="45" t="s">
        <v>357</v>
      </c>
      <c r="I131" s="17">
        <f>+'[1]Sell in ko tính KDT'!I131</f>
        <v>0</v>
      </c>
      <c r="J131" s="17">
        <f>+'[1]Sell in ko tính KDT'!J131</f>
        <v>0</v>
      </c>
      <c r="K131" s="17">
        <f>+'[1]Sell in ko tính KDT'!K131</f>
        <v>0</v>
      </c>
      <c r="L131" s="17">
        <v>0</v>
      </c>
      <c r="M131" s="17">
        <f t="shared" si="79"/>
        <v>0</v>
      </c>
      <c r="N131" s="17">
        <f>+'[1]Sell in ko tính KDT'!M131</f>
        <v>0</v>
      </c>
      <c r="O131" s="17">
        <f>+'[1]Sell in ko tính KDT'!N131</f>
        <v>0</v>
      </c>
      <c r="P131" s="17">
        <f>+'[1]Sell in ko tính KDT'!O131</f>
        <v>0</v>
      </c>
      <c r="Q131" s="17">
        <v>0</v>
      </c>
      <c r="R131" s="17">
        <f t="shared" si="80"/>
        <v>0</v>
      </c>
      <c r="S131" s="17">
        <f>+'[1]Sell in ko tính KDT'!Q131</f>
        <v>28.5</v>
      </c>
      <c r="T131" s="17">
        <f>+'[1]Sell in ko tính KDT'!R131</f>
        <v>18</v>
      </c>
      <c r="U131" s="17">
        <f>+'[1]Sell in ko tính KDT'!S131</f>
        <v>0</v>
      </c>
      <c r="V131" s="17">
        <v>0</v>
      </c>
      <c r="W131" s="17">
        <f t="shared" si="81"/>
        <v>46.5</v>
      </c>
      <c r="X131" s="17">
        <f>+'[1]Sell in ko tính KDT'!U131</f>
        <v>30</v>
      </c>
      <c r="Y131" s="17">
        <f>+'[1]Sell in ko tính KDT'!V131</f>
        <v>16.5</v>
      </c>
      <c r="Z131" s="17">
        <f>+'[1]Sell in ko tính KDT'!W131</f>
        <v>0</v>
      </c>
      <c r="AA131" s="17">
        <v>0</v>
      </c>
      <c r="AB131" s="17">
        <f t="shared" si="82"/>
        <v>46.5</v>
      </c>
      <c r="AC131" s="17">
        <f>+'[1]Sell in ko tính KDT'!Y131</f>
        <v>28.5</v>
      </c>
      <c r="AD131" s="17">
        <f>+'[1]Sell in ko tính KDT'!Z131</f>
        <v>18</v>
      </c>
      <c r="AE131" s="17">
        <f>+'[1]Sell in ko tính KDT'!AA131</f>
        <v>0</v>
      </c>
      <c r="AF131" s="17">
        <v>0</v>
      </c>
      <c r="AG131" s="17">
        <f t="shared" si="83"/>
        <v>46.5</v>
      </c>
      <c r="AH131" s="17">
        <f>+'[1]Sell in ko tính KDT'!AC131</f>
        <v>0</v>
      </c>
      <c r="AI131" s="17">
        <f>+'[1]Sell in ko tính KDT'!AD131</f>
        <v>0</v>
      </c>
      <c r="AJ131" s="17">
        <f>+'[1]Sell in ko tính KDT'!AE131</f>
        <v>0</v>
      </c>
      <c r="AK131" s="17">
        <v>0</v>
      </c>
      <c r="AL131" s="17">
        <f t="shared" si="84"/>
        <v>0</v>
      </c>
      <c r="AM131" s="17">
        <f>+'[1]Sell in ko tính KDT'!AG131</f>
        <v>0</v>
      </c>
      <c r="AN131" s="17">
        <f>+'[1]Sell in ko tính KDT'!AH131</f>
        <v>0</v>
      </c>
      <c r="AO131" s="17">
        <f>+'[1]Sell in ko tính KDT'!AI131</f>
        <v>0</v>
      </c>
      <c r="AP131" s="17">
        <v>0</v>
      </c>
      <c r="AQ131" s="17">
        <f t="shared" si="85"/>
        <v>0</v>
      </c>
      <c r="AR131" s="17">
        <f>+'[1]Sell in ko tính KDT'!AK131</f>
        <v>50</v>
      </c>
      <c r="AS131" s="17">
        <f>+'[1]Sell in ko tính KDT'!AL131</f>
        <v>20</v>
      </c>
      <c r="AT131" s="17">
        <f>+'[1]Sell in ko tính KDT'!AM131</f>
        <v>0</v>
      </c>
      <c r="AU131" s="17">
        <v>0</v>
      </c>
      <c r="AV131" s="17">
        <f t="shared" si="86"/>
        <v>70</v>
      </c>
      <c r="AW131" s="17">
        <f>+'[1]Sell in ko tính KDT'!AO131</f>
        <v>50</v>
      </c>
      <c r="AX131" s="17">
        <f>+'[1]Sell in ko tính KDT'!AP131</f>
        <v>20</v>
      </c>
      <c r="AY131" s="17">
        <f>+'[1]Sell in ko tính KDT'!AQ131</f>
        <v>0</v>
      </c>
      <c r="AZ131" s="17">
        <v>0</v>
      </c>
      <c r="BA131" s="17">
        <f t="shared" si="87"/>
        <v>70</v>
      </c>
      <c r="BB131" s="17">
        <f>+'[1]Sell in ko tính KDT'!AS131</f>
        <v>50</v>
      </c>
      <c r="BC131" s="17">
        <f>+'[1]Sell in ko tính KDT'!AT131</f>
        <v>20</v>
      </c>
      <c r="BD131" s="17">
        <f>+'[1]Sell in ko tính KDT'!AU131</f>
        <v>0</v>
      </c>
      <c r="BE131" s="17">
        <v>0</v>
      </c>
      <c r="BF131" s="17">
        <f t="shared" si="88"/>
        <v>70</v>
      </c>
      <c r="BG131" s="17">
        <f>+'[1]Sell in ko tính KDT'!AW131</f>
        <v>60</v>
      </c>
      <c r="BH131" s="17">
        <f>+'[1]Sell in ko tính KDT'!AX131</f>
        <v>20</v>
      </c>
      <c r="BI131" s="17">
        <f>+'[1]Sell in ko tính KDT'!AY131</f>
        <v>0</v>
      </c>
      <c r="BJ131" s="17">
        <v>0</v>
      </c>
      <c r="BK131" s="17">
        <f t="shared" si="89"/>
        <v>80</v>
      </c>
      <c r="BL131" s="17">
        <f>+'[1]Sell in ko tính KDT'!BA131</f>
        <v>60</v>
      </c>
      <c r="BM131" s="17">
        <f>+'[1]Sell in ko tính KDT'!BB131</f>
        <v>20</v>
      </c>
      <c r="BN131" s="17">
        <f>+'[1]Sell in ko tính KDT'!BC131</f>
        <v>0</v>
      </c>
      <c r="BO131" s="17">
        <v>0</v>
      </c>
      <c r="BP131" s="17">
        <f t="shared" si="90"/>
        <v>80</v>
      </c>
      <c r="BQ131" s="17">
        <f t="shared" si="91"/>
        <v>357</v>
      </c>
      <c r="BR131" s="17">
        <f t="shared" si="91"/>
        <v>152.5</v>
      </c>
      <c r="BS131" s="17">
        <f t="shared" si="91"/>
        <v>0</v>
      </c>
      <c r="BT131" s="17">
        <f t="shared" si="91"/>
        <v>0</v>
      </c>
      <c r="BU131" s="17">
        <f t="shared" si="46"/>
        <v>509.5</v>
      </c>
    </row>
    <row r="132" spans="1:73" s="46" customFormat="1" hidden="1" outlineLevel="1">
      <c r="A132" s="17" t="s">
        <v>352</v>
      </c>
      <c r="B132" s="17" t="s">
        <v>353</v>
      </c>
      <c r="C132" s="45" t="s">
        <v>370</v>
      </c>
      <c r="D132" s="31" t="s">
        <v>355</v>
      </c>
      <c r="E132" s="45" t="s">
        <v>371</v>
      </c>
      <c r="F132" s="39" t="s">
        <v>372</v>
      </c>
      <c r="G132" s="45" t="s">
        <v>373</v>
      </c>
      <c r="H132" s="16" t="s">
        <v>39</v>
      </c>
      <c r="I132" s="17">
        <f>+'[1]Sell in ko tính KDT'!I132</f>
        <v>23.5</v>
      </c>
      <c r="J132" s="17">
        <f>+'[1]Sell in ko tính KDT'!J132</f>
        <v>70</v>
      </c>
      <c r="K132" s="17">
        <f>+'[1]Sell in ko tính KDT'!K132</f>
        <v>0</v>
      </c>
      <c r="L132" s="17">
        <v>0</v>
      </c>
      <c r="M132" s="17">
        <f t="shared" si="79"/>
        <v>93.5</v>
      </c>
      <c r="N132" s="17">
        <f>+'[1]Sell in ko tính KDT'!M132</f>
        <v>23.5</v>
      </c>
      <c r="O132" s="17">
        <f>+'[1]Sell in ko tính KDT'!N132</f>
        <v>70</v>
      </c>
      <c r="P132" s="17">
        <f>+'[1]Sell in ko tính KDT'!O132</f>
        <v>0</v>
      </c>
      <c r="Q132" s="17">
        <v>0</v>
      </c>
      <c r="R132" s="17">
        <f t="shared" si="80"/>
        <v>93.5</v>
      </c>
      <c r="S132" s="17">
        <f>+'[1]Sell in ko tính KDT'!Q132</f>
        <v>0</v>
      </c>
      <c r="T132" s="17">
        <f>+'[1]Sell in ko tính KDT'!R132</f>
        <v>0</v>
      </c>
      <c r="U132" s="17">
        <f>+'[1]Sell in ko tính KDT'!S132</f>
        <v>0</v>
      </c>
      <c r="V132" s="17">
        <v>0</v>
      </c>
      <c r="W132" s="17">
        <f t="shared" si="81"/>
        <v>0</v>
      </c>
      <c r="X132" s="17">
        <f>+'[1]Sell in ko tính KDT'!U132</f>
        <v>0</v>
      </c>
      <c r="Y132" s="17">
        <f>+'[1]Sell in ko tính KDT'!V132</f>
        <v>0</v>
      </c>
      <c r="Z132" s="17">
        <f>+'[1]Sell in ko tính KDT'!W132</f>
        <v>0</v>
      </c>
      <c r="AA132" s="17">
        <v>0</v>
      </c>
      <c r="AB132" s="17">
        <f t="shared" si="82"/>
        <v>0</v>
      </c>
      <c r="AC132" s="17">
        <f>+'[1]Sell in ko tính KDT'!Y132</f>
        <v>0</v>
      </c>
      <c r="AD132" s="17">
        <f>+'[1]Sell in ko tính KDT'!Z132</f>
        <v>0</v>
      </c>
      <c r="AE132" s="17">
        <f>+'[1]Sell in ko tính KDT'!AA132</f>
        <v>0</v>
      </c>
      <c r="AF132" s="17">
        <v>0</v>
      </c>
      <c r="AG132" s="17">
        <f t="shared" si="83"/>
        <v>0</v>
      </c>
      <c r="AH132" s="17">
        <f>+'[1]Sell in ko tính KDT'!AC132</f>
        <v>0</v>
      </c>
      <c r="AI132" s="17">
        <f>+'[1]Sell in ko tính KDT'!AD132</f>
        <v>0</v>
      </c>
      <c r="AJ132" s="17">
        <f>+'[1]Sell in ko tính KDT'!AE132</f>
        <v>0</v>
      </c>
      <c r="AK132" s="17">
        <v>0</v>
      </c>
      <c r="AL132" s="17">
        <f t="shared" si="84"/>
        <v>0</v>
      </c>
      <c r="AM132" s="17">
        <f>+'[1]Sell in ko tính KDT'!AG132</f>
        <v>0</v>
      </c>
      <c r="AN132" s="17">
        <f>+'[1]Sell in ko tính KDT'!AH132</f>
        <v>0</v>
      </c>
      <c r="AO132" s="17">
        <f>+'[1]Sell in ko tính KDT'!AI132</f>
        <v>0</v>
      </c>
      <c r="AP132" s="17">
        <v>0</v>
      </c>
      <c r="AQ132" s="17">
        <f t="shared" si="85"/>
        <v>0</v>
      </c>
      <c r="AR132" s="17">
        <f>+'[1]Sell in ko tính KDT'!AK132</f>
        <v>50</v>
      </c>
      <c r="AS132" s="17">
        <f>+'[1]Sell in ko tính KDT'!AL132</f>
        <v>20</v>
      </c>
      <c r="AT132" s="17">
        <f>+'[1]Sell in ko tính KDT'!AM132</f>
        <v>0</v>
      </c>
      <c r="AU132" s="17">
        <v>0</v>
      </c>
      <c r="AV132" s="17">
        <f t="shared" si="86"/>
        <v>70</v>
      </c>
      <c r="AW132" s="17">
        <f>+'[1]Sell in ko tính KDT'!AO132</f>
        <v>50</v>
      </c>
      <c r="AX132" s="17">
        <f>+'[1]Sell in ko tính KDT'!AP132</f>
        <v>20</v>
      </c>
      <c r="AY132" s="17">
        <f>+'[1]Sell in ko tính KDT'!AQ132</f>
        <v>0</v>
      </c>
      <c r="AZ132" s="17">
        <v>0</v>
      </c>
      <c r="BA132" s="17">
        <f t="shared" si="87"/>
        <v>70</v>
      </c>
      <c r="BB132" s="17">
        <f>+'[1]Sell in ko tính KDT'!AS132</f>
        <v>50</v>
      </c>
      <c r="BC132" s="17">
        <f>+'[1]Sell in ko tính KDT'!AT132</f>
        <v>20</v>
      </c>
      <c r="BD132" s="17">
        <f>+'[1]Sell in ko tính KDT'!AU132</f>
        <v>0</v>
      </c>
      <c r="BE132" s="17">
        <v>0</v>
      </c>
      <c r="BF132" s="17">
        <f t="shared" si="88"/>
        <v>70</v>
      </c>
      <c r="BG132" s="17">
        <f>+'[1]Sell in ko tính KDT'!AW132</f>
        <v>60</v>
      </c>
      <c r="BH132" s="17">
        <f>+'[1]Sell in ko tính KDT'!AX132</f>
        <v>20</v>
      </c>
      <c r="BI132" s="17">
        <f>+'[1]Sell in ko tính KDT'!AY132</f>
        <v>0</v>
      </c>
      <c r="BJ132" s="17">
        <v>0</v>
      </c>
      <c r="BK132" s="17">
        <f t="shared" si="89"/>
        <v>80</v>
      </c>
      <c r="BL132" s="17">
        <f>+'[1]Sell in ko tính KDT'!BA132</f>
        <v>60</v>
      </c>
      <c r="BM132" s="17">
        <f>+'[1]Sell in ko tính KDT'!BB132</f>
        <v>20</v>
      </c>
      <c r="BN132" s="17">
        <f>+'[1]Sell in ko tính KDT'!BC132</f>
        <v>0</v>
      </c>
      <c r="BO132" s="17">
        <v>0</v>
      </c>
      <c r="BP132" s="17">
        <f t="shared" si="90"/>
        <v>80</v>
      </c>
      <c r="BQ132" s="17">
        <f t="shared" si="91"/>
        <v>317</v>
      </c>
      <c r="BR132" s="17">
        <f t="shared" si="91"/>
        <v>240</v>
      </c>
      <c r="BS132" s="17">
        <f t="shared" si="91"/>
        <v>0</v>
      </c>
      <c r="BT132" s="17">
        <f t="shared" si="91"/>
        <v>0</v>
      </c>
      <c r="BU132" s="17">
        <f t="shared" si="46"/>
        <v>557</v>
      </c>
    </row>
    <row r="133" spans="1:73" s="46" customFormat="1" hidden="1" outlineLevel="1">
      <c r="A133" s="17" t="s">
        <v>352</v>
      </c>
      <c r="B133" s="17" t="s">
        <v>353</v>
      </c>
      <c r="C133" s="45"/>
      <c r="D133" s="45"/>
      <c r="E133" s="45" t="s">
        <v>371</v>
      </c>
      <c r="F133" s="39" t="s">
        <v>374</v>
      </c>
      <c r="G133" s="45" t="s">
        <v>375</v>
      </c>
      <c r="H133" s="16" t="s">
        <v>357</v>
      </c>
      <c r="I133" s="17">
        <f>+'[1]Sell in ko tính KDT'!I133</f>
        <v>83</v>
      </c>
      <c r="J133" s="17">
        <f>+'[1]Sell in ko tính KDT'!J133</f>
        <v>10</v>
      </c>
      <c r="K133" s="17">
        <f>+'[1]Sell in ko tính KDT'!K133</f>
        <v>0</v>
      </c>
      <c r="L133" s="17">
        <v>0</v>
      </c>
      <c r="M133" s="17">
        <f t="shared" si="79"/>
        <v>93</v>
      </c>
      <c r="N133" s="17">
        <f>+'[1]Sell in ko tính KDT'!M133</f>
        <v>82.5</v>
      </c>
      <c r="O133" s="17">
        <f>+'[1]Sell in ko tính KDT'!N133</f>
        <v>10.5</v>
      </c>
      <c r="P133" s="17">
        <f>+'[1]Sell in ko tính KDT'!O133</f>
        <v>0</v>
      </c>
      <c r="Q133" s="17">
        <v>0</v>
      </c>
      <c r="R133" s="17">
        <f t="shared" si="80"/>
        <v>93</v>
      </c>
      <c r="S133" s="17">
        <f>+'[1]Sell in ko tính KDT'!Q133</f>
        <v>0</v>
      </c>
      <c r="T133" s="17">
        <f>+'[1]Sell in ko tính KDT'!R133</f>
        <v>0</v>
      </c>
      <c r="U133" s="17">
        <f>+'[1]Sell in ko tính KDT'!S133</f>
        <v>0</v>
      </c>
      <c r="V133" s="17">
        <v>0</v>
      </c>
      <c r="W133" s="17">
        <f t="shared" si="81"/>
        <v>0</v>
      </c>
      <c r="X133" s="17">
        <f>+'[1]Sell in ko tính KDT'!U133</f>
        <v>0</v>
      </c>
      <c r="Y133" s="17">
        <f>+'[1]Sell in ko tính KDT'!V133</f>
        <v>0</v>
      </c>
      <c r="Z133" s="17">
        <f>+'[1]Sell in ko tính KDT'!W133</f>
        <v>0</v>
      </c>
      <c r="AA133" s="17">
        <v>0</v>
      </c>
      <c r="AB133" s="17">
        <f t="shared" si="82"/>
        <v>0</v>
      </c>
      <c r="AC133" s="17">
        <f>+'[1]Sell in ko tính KDT'!Y133</f>
        <v>0</v>
      </c>
      <c r="AD133" s="17">
        <f>+'[1]Sell in ko tính KDT'!Z133</f>
        <v>0</v>
      </c>
      <c r="AE133" s="17">
        <f>+'[1]Sell in ko tính KDT'!AA133</f>
        <v>0</v>
      </c>
      <c r="AF133" s="17">
        <v>0</v>
      </c>
      <c r="AG133" s="17">
        <f t="shared" si="83"/>
        <v>0</v>
      </c>
      <c r="AH133" s="17">
        <f>+'[1]Sell in ko tính KDT'!AC133</f>
        <v>0</v>
      </c>
      <c r="AI133" s="17">
        <f>+'[1]Sell in ko tính KDT'!AD133</f>
        <v>0</v>
      </c>
      <c r="AJ133" s="17">
        <f>+'[1]Sell in ko tính KDT'!AE133</f>
        <v>0</v>
      </c>
      <c r="AK133" s="17">
        <v>0</v>
      </c>
      <c r="AL133" s="17">
        <f t="shared" si="84"/>
        <v>0</v>
      </c>
      <c r="AM133" s="17">
        <f>+'[1]Sell in ko tính KDT'!AG133</f>
        <v>0</v>
      </c>
      <c r="AN133" s="17">
        <f>+'[1]Sell in ko tính KDT'!AH133</f>
        <v>0</v>
      </c>
      <c r="AO133" s="17">
        <f>+'[1]Sell in ko tính KDT'!AI133</f>
        <v>0</v>
      </c>
      <c r="AP133" s="17">
        <v>0</v>
      </c>
      <c r="AQ133" s="17">
        <f t="shared" si="85"/>
        <v>0</v>
      </c>
      <c r="AR133" s="17">
        <f>+'[1]Sell in ko tính KDT'!AK133</f>
        <v>0</v>
      </c>
      <c r="AS133" s="17">
        <f>+'[1]Sell in ko tính KDT'!AL133</f>
        <v>0</v>
      </c>
      <c r="AT133" s="17">
        <f>+'[1]Sell in ko tính KDT'!AM133</f>
        <v>0</v>
      </c>
      <c r="AU133" s="17">
        <v>0</v>
      </c>
      <c r="AV133" s="17">
        <f t="shared" si="86"/>
        <v>0</v>
      </c>
      <c r="AW133" s="17">
        <f>+'[1]Sell in ko tính KDT'!AO133</f>
        <v>0</v>
      </c>
      <c r="AX133" s="17">
        <f>+'[1]Sell in ko tính KDT'!AP133</f>
        <v>0</v>
      </c>
      <c r="AY133" s="17">
        <f>+'[1]Sell in ko tính KDT'!AQ133</f>
        <v>0</v>
      </c>
      <c r="AZ133" s="17">
        <v>0</v>
      </c>
      <c r="BA133" s="17">
        <f t="shared" si="87"/>
        <v>0</v>
      </c>
      <c r="BB133" s="17">
        <f>+'[1]Sell in ko tính KDT'!AS133</f>
        <v>0</v>
      </c>
      <c r="BC133" s="17">
        <f>+'[1]Sell in ko tính KDT'!AT133</f>
        <v>0</v>
      </c>
      <c r="BD133" s="17">
        <f>+'[1]Sell in ko tính KDT'!AU133</f>
        <v>0</v>
      </c>
      <c r="BE133" s="17">
        <v>0</v>
      </c>
      <c r="BF133" s="17">
        <f t="shared" si="88"/>
        <v>0</v>
      </c>
      <c r="BG133" s="17">
        <f>+'[1]Sell in ko tính KDT'!AW133</f>
        <v>0</v>
      </c>
      <c r="BH133" s="17">
        <f>+'[1]Sell in ko tính KDT'!AX133</f>
        <v>0</v>
      </c>
      <c r="BI133" s="17">
        <f>+'[1]Sell in ko tính KDT'!AY133</f>
        <v>0</v>
      </c>
      <c r="BJ133" s="17">
        <v>0</v>
      </c>
      <c r="BK133" s="17">
        <f t="shared" si="89"/>
        <v>0</v>
      </c>
      <c r="BL133" s="17">
        <f>+'[1]Sell in ko tính KDT'!BA133</f>
        <v>0</v>
      </c>
      <c r="BM133" s="17">
        <f>+'[1]Sell in ko tính KDT'!BB133</f>
        <v>0</v>
      </c>
      <c r="BN133" s="17">
        <f>+'[1]Sell in ko tính KDT'!BC133</f>
        <v>0</v>
      </c>
      <c r="BO133" s="17">
        <v>0</v>
      </c>
      <c r="BP133" s="17">
        <f t="shared" si="90"/>
        <v>0</v>
      </c>
      <c r="BQ133" s="17">
        <f t="shared" si="91"/>
        <v>165.5</v>
      </c>
      <c r="BR133" s="17">
        <f t="shared" si="91"/>
        <v>20.5</v>
      </c>
      <c r="BS133" s="17">
        <f t="shared" si="91"/>
        <v>0</v>
      </c>
      <c r="BT133" s="17">
        <f t="shared" si="91"/>
        <v>0</v>
      </c>
      <c r="BU133" s="17">
        <f t="shared" si="46"/>
        <v>186</v>
      </c>
    </row>
    <row r="134" spans="1:73" s="46" customFormat="1" hidden="1" outlineLevel="1">
      <c r="A134" s="17" t="s">
        <v>352</v>
      </c>
      <c r="B134" s="17" t="s">
        <v>353</v>
      </c>
      <c r="C134" s="45"/>
      <c r="D134" s="45"/>
      <c r="E134" s="45" t="s">
        <v>371</v>
      </c>
      <c r="F134" s="39" t="s">
        <v>376</v>
      </c>
      <c r="G134" s="45" t="s">
        <v>377</v>
      </c>
      <c r="H134" s="16" t="s">
        <v>357</v>
      </c>
      <c r="I134" s="17">
        <f>+'[1]Sell in ko tính KDT'!I134</f>
        <v>38.5</v>
      </c>
      <c r="J134" s="17">
        <f>+'[1]Sell in ko tính KDT'!J134</f>
        <v>55</v>
      </c>
      <c r="K134" s="17">
        <f>+'[1]Sell in ko tính KDT'!K134</f>
        <v>0</v>
      </c>
      <c r="L134" s="17">
        <v>0</v>
      </c>
      <c r="M134" s="17">
        <f t="shared" si="79"/>
        <v>93.5</v>
      </c>
      <c r="N134" s="17">
        <f>+'[1]Sell in ko tính KDT'!M134</f>
        <v>38.5</v>
      </c>
      <c r="O134" s="17">
        <f>+'[1]Sell in ko tính KDT'!N134</f>
        <v>55</v>
      </c>
      <c r="P134" s="17">
        <f>+'[1]Sell in ko tính KDT'!O134</f>
        <v>0</v>
      </c>
      <c r="Q134" s="17">
        <v>0</v>
      </c>
      <c r="R134" s="17">
        <f t="shared" si="80"/>
        <v>93.5</v>
      </c>
      <c r="S134" s="17">
        <f>+'[1]Sell in ko tính KDT'!Q134</f>
        <v>0</v>
      </c>
      <c r="T134" s="17">
        <f>+'[1]Sell in ko tính KDT'!R134</f>
        <v>0</v>
      </c>
      <c r="U134" s="17">
        <f>+'[1]Sell in ko tính KDT'!S134</f>
        <v>0</v>
      </c>
      <c r="V134" s="17">
        <v>0</v>
      </c>
      <c r="W134" s="17">
        <f t="shared" si="81"/>
        <v>0</v>
      </c>
      <c r="X134" s="17">
        <f>+'[1]Sell in ko tính KDT'!U134</f>
        <v>0</v>
      </c>
      <c r="Y134" s="17">
        <f>+'[1]Sell in ko tính KDT'!V134</f>
        <v>0</v>
      </c>
      <c r="Z134" s="17">
        <f>+'[1]Sell in ko tính KDT'!W134</f>
        <v>0</v>
      </c>
      <c r="AA134" s="17">
        <v>0</v>
      </c>
      <c r="AB134" s="17">
        <f t="shared" si="82"/>
        <v>0</v>
      </c>
      <c r="AC134" s="17">
        <f>+'[1]Sell in ko tính KDT'!Y134</f>
        <v>0</v>
      </c>
      <c r="AD134" s="17">
        <f>+'[1]Sell in ko tính KDT'!Z134</f>
        <v>0</v>
      </c>
      <c r="AE134" s="17">
        <f>+'[1]Sell in ko tính KDT'!AA134</f>
        <v>0</v>
      </c>
      <c r="AF134" s="17">
        <v>0</v>
      </c>
      <c r="AG134" s="17">
        <f t="shared" si="83"/>
        <v>0</v>
      </c>
      <c r="AH134" s="17">
        <f>+'[1]Sell in ko tính KDT'!AC134</f>
        <v>0</v>
      </c>
      <c r="AI134" s="17">
        <f>+'[1]Sell in ko tính KDT'!AD134</f>
        <v>0</v>
      </c>
      <c r="AJ134" s="17">
        <f>+'[1]Sell in ko tính KDT'!AE134</f>
        <v>0</v>
      </c>
      <c r="AK134" s="17">
        <v>0</v>
      </c>
      <c r="AL134" s="17">
        <f t="shared" si="84"/>
        <v>0</v>
      </c>
      <c r="AM134" s="17">
        <f>+'[1]Sell in ko tính KDT'!AG134</f>
        <v>0</v>
      </c>
      <c r="AN134" s="17">
        <f>+'[1]Sell in ko tính KDT'!AH134</f>
        <v>0</v>
      </c>
      <c r="AO134" s="17">
        <f>+'[1]Sell in ko tính KDT'!AI134</f>
        <v>0</v>
      </c>
      <c r="AP134" s="17">
        <v>0</v>
      </c>
      <c r="AQ134" s="17">
        <f t="shared" si="85"/>
        <v>0</v>
      </c>
      <c r="AR134" s="17">
        <f>+'[1]Sell in ko tính KDT'!AK134</f>
        <v>0</v>
      </c>
      <c r="AS134" s="17">
        <f>+'[1]Sell in ko tính KDT'!AL134</f>
        <v>0</v>
      </c>
      <c r="AT134" s="17">
        <f>+'[1]Sell in ko tính KDT'!AM134</f>
        <v>0</v>
      </c>
      <c r="AU134" s="17">
        <v>0</v>
      </c>
      <c r="AV134" s="17">
        <f t="shared" si="86"/>
        <v>0</v>
      </c>
      <c r="AW134" s="17">
        <f>+'[1]Sell in ko tính KDT'!AO134</f>
        <v>0</v>
      </c>
      <c r="AX134" s="17">
        <f>+'[1]Sell in ko tính KDT'!AP134</f>
        <v>0</v>
      </c>
      <c r="AY134" s="17">
        <f>+'[1]Sell in ko tính KDT'!AQ134</f>
        <v>0</v>
      </c>
      <c r="AZ134" s="17">
        <v>0</v>
      </c>
      <c r="BA134" s="17">
        <f t="shared" si="87"/>
        <v>0</v>
      </c>
      <c r="BB134" s="17">
        <f>+'[1]Sell in ko tính KDT'!AS134</f>
        <v>0</v>
      </c>
      <c r="BC134" s="17">
        <f>+'[1]Sell in ko tính KDT'!AT134</f>
        <v>0</v>
      </c>
      <c r="BD134" s="17">
        <f>+'[1]Sell in ko tính KDT'!AU134</f>
        <v>0</v>
      </c>
      <c r="BE134" s="17">
        <v>0</v>
      </c>
      <c r="BF134" s="17">
        <f t="shared" si="88"/>
        <v>0</v>
      </c>
      <c r="BG134" s="17">
        <f>+'[1]Sell in ko tính KDT'!AW134</f>
        <v>0</v>
      </c>
      <c r="BH134" s="17">
        <f>+'[1]Sell in ko tính KDT'!AX134</f>
        <v>0</v>
      </c>
      <c r="BI134" s="17">
        <f>+'[1]Sell in ko tính KDT'!AY134</f>
        <v>0</v>
      </c>
      <c r="BJ134" s="17">
        <v>0</v>
      </c>
      <c r="BK134" s="17">
        <f t="shared" si="89"/>
        <v>0</v>
      </c>
      <c r="BL134" s="17">
        <f>+'[1]Sell in ko tính KDT'!BA134</f>
        <v>0</v>
      </c>
      <c r="BM134" s="17">
        <f>+'[1]Sell in ko tính KDT'!BB134</f>
        <v>0</v>
      </c>
      <c r="BN134" s="17">
        <f>+'[1]Sell in ko tính KDT'!BC134</f>
        <v>0</v>
      </c>
      <c r="BO134" s="17">
        <v>0</v>
      </c>
      <c r="BP134" s="17">
        <f t="shared" si="90"/>
        <v>0</v>
      </c>
      <c r="BQ134" s="17">
        <f t="shared" si="91"/>
        <v>77</v>
      </c>
      <c r="BR134" s="17">
        <f t="shared" si="91"/>
        <v>110</v>
      </c>
      <c r="BS134" s="17">
        <f t="shared" si="91"/>
        <v>0</v>
      </c>
      <c r="BT134" s="17">
        <f t="shared" si="91"/>
        <v>0</v>
      </c>
      <c r="BU134" s="17">
        <f t="shared" si="46"/>
        <v>187</v>
      </c>
    </row>
    <row r="135" spans="1:73" s="46" customFormat="1" hidden="1" outlineLevel="1">
      <c r="A135" s="17" t="s">
        <v>352</v>
      </c>
      <c r="B135" s="17" t="s">
        <v>353</v>
      </c>
      <c r="C135" s="16"/>
      <c r="D135" s="16"/>
      <c r="E135" s="16"/>
      <c r="F135" s="18"/>
      <c r="G135" s="16"/>
      <c r="H135" s="16"/>
      <c r="I135" s="17"/>
      <c r="J135" s="17"/>
      <c r="K135" s="17">
        <v>0</v>
      </c>
      <c r="L135" s="17">
        <v>0</v>
      </c>
      <c r="M135" s="17">
        <f t="shared" si="79"/>
        <v>0</v>
      </c>
      <c r="N135" s="17"/>
      <c r="O135" s="17"/>
      <c r="P135" s="17">
        <v>0</v>
      </c>
      <c r="Q135" s="17">
        <v>0</v>
      </c>
      <c r="R135" s="17">
        <f t="shared" si="80"/>
        <v>0</v>
      </c>
      <c r="S135" s="17"/>
      <c r="T135" s="17"/>
      <c r="U135" s="17"/>
      <c r="V135" s="17">
        <v>0</v>
      </c>
      <c r="W135" s="17">
        <f t="shared" si="81"/>
        <v>0</v>
      </c>
      <c r="X135" s="17"/>
      <c r="Y135" s="17"/>
      <c r="Z135" s="17">
        <v>0</v>
      </c>
      <c r="AA135" s="17">
        <v>0</v>
      </c>
      <c r="AB135" s="17">
        <f t="shared" si="82"/>
        <v>0</v>
      </c>
      <c r="AC135" s="17"/>
      <c r="AD135" s="17"/>
      <c r="AE135" s="17"/>
      <c r="AF135" s="17">
        <v>0</v>
      </c>
      <c r="AG135" s="17">
        <f t="shared" si="83"/>
        <v>0</v>
      </c>
      <c r="AH135" s="17"/>
      <c r="AI135" s="17"/>
      <c r="AJ135" s="17"/>
      <c r="AK135" s="17">
        <v>0</v>
      </c>
      <c r="AL135" s="17">
        <f t="shared" si="84"/>
        <v>0</v>
      </c>
      <c r="AM135" s="17"/>
      <c r="AN135" s="17"/>
      <c r="AO135" s="17"/>
      <c r="AP135" s="17">
        <v>0</v>
      </c>
      <c r="AQ135" s="17">
        <f t="shared" si="85"/>
        <v>0</v>
      </c>
      <c r="AR135" s="17"/>
      <c r="AS135" s="17"/>
      <c r="AT135" s="17"/>
      <c r="AU135" s="17">
        <v>0</v>
      </c>
      <c r="AV135" s="17">
        <f t="shared" si="86"/>
        <v>0</v>
      </c>
      <c r="AW135" s="17"/>
      <c r="AX135" s="17"/>
      <c r="AY135" s="17"/>
      <c r="AZ135" s="17">
        <v>0</v>
      </c>
      <c r="BA135" s="17">
        <f t="shared" si="87"/>
        <v>0</v>
      </c>
      <c r="BB135" s="17"/>
      <c r="BC135" s="17"/>
      <c r="BD135" s="17"/>
      <c r="BE135" s="17">
        <v>0</v>
      </c>
      <c r="BF135" s="17">
        <f t="shared" si="88"/>
        <v>0</v>
      </c>
      <c r="BG135" s="17"/>
      <c r="BH135" s="17"/>
      <c r="BI135" s="17"/>
      <c r="BJ135" s="17">
        <v>0</v>
      </c>
      <c r="BK135" s="17">
        <f t="shared" si="89"/>
        <v>0</v>
      </c>
      <c r="BL135" s="17"/>
      <c r="BM135" s="17"/>
      <c r="BN135" s="17"/>
      <c r="BO135" s="17">
        <v>0</v>
      </c>
      <c r="BP135" s="17">
        <f t="shared" si="90"/>
        <v>0</v>
      </c>
      <c r="BQ135" s="17">
        <f t="shared" si="91"/>
        <v>0</v>
      </c>
      <c r="BR135" s="17">
        <f t="shared" si="91"/>
        <v>0</v>
      </c>
      <c r="BS135" s="17">
        <f t="shared" si="91"/>
        <v>0</v>
      </c>
      <c r="BT135" s="17">
        <f t="shared" si="91"/>
        <v>0</v>
      </c>
      <c r="BU135" s="17">
        <f t="shared" si="46"/>
        <v>0</v>
      </c>
    </row>
    <row r="136" spans="1:73" s="46" customFormat="1" hidden="1" outlineLevel="1">
      <c r="A136" s="17" t="s">
        <v>352</v>
      </c>
      <c r="B136" s="17" t="s">
        <v>353</v>
      </c>
      <c r="C136" s="16"/>
      <c r="D136" s="17"/>
      <c r="E136" s="16"/>
      <c r="F136" s="18"/>
      <c r="G136" s="16"/>
      <c r="H136" s="16"/>
      <c r="I136" s="17"/>
      <c r="J136" s="17"/>
      <c r="K136" s="17">
        <v>0</v>
      </c>
      <c r="L136" s="17">
        <v>0</v>
      </c>
      <c r="M136" s="17">
        <f t="shared" si="79"/>
        <v>0</v>
      </c>
      <c r="N136" s="17"/>
      <c r="O136" s="17"/>
      <c r="P136" s="17">
        <v>0</v>
      </c>
      <c r="Q136" s="17">
        <v>0</v>
      </c>
      <c r="R136" s="17">
        <f t="shared" si="80"/>
        <v>0</v>
      </c>
      <c r="S136" s="17"/>
      <c r="T136" s="17"/>
      <c r="U136" s="17"/>
      <c r="V136" s="17">
        <v>0</v>
      </c>
      <c r="W136" s="17">
        <f t="shared" si="81"/>
        <v>0</v>
      </c>
      <c r="X136" s="17"/>
      <c r="Y136" s="17"/>
      <c r="Z136" s="17">
        <v>0</v>
      </c>
      <c r="AA136" s="17">
        <v>0</v>
      </c>
      <c r="AB136" s="17">
        <f t="shared" si="82"/>
        <v>0</v>
      </c>
      <c r="AC136" s="17"/>
      <c r="AD136" s="17"/>
      <c r="AE136" s="17"/>
      <c r="AF136" s="17">
        <v>0</v>
      </c>
      <c r="AG136" s="17">
        <f t="shared" si="83"/>
        <v>0</v>
      </c>
      <c r="AH136" s="17"/>
      <c r="AI136" s="17"/>
      <c r="AJ136" s="17"/>
      <c r="AK136" s="17">
        <v>0</v>
      </c>
      <c r="AL136" s="17">
        <f t="shared" si="84"/>
        <v>0</v>
      </c>
      <c r="AM136" s="17"/>
      <c r="AN136" s="17"/>
      <c r="AO136" s="17"/>
      <c r="AP136" s="17">
        <v>0</v>
      </c>
      <c r="AQ136" s="17">
        <f t="shared" si="85"/>
        <v>0</v>
      </c>
      <c r="AR136" s="17"/>
      <c r="AS136" s="17"/>
      <c r="AT136" s="17"/>
      <c r="AU136" s="17">
        <v>0</v>
      </c>
      <c r="AV136" s="17">
        <f t="shared" si="86"/>
        <v>0</v>
      </c>
      <c r="AW136" s="17"/>
      <c r="AX136" s="17"/>
      <c r="AY136" s="17"/>
      <c r="AZ136" s="17">
        <v>0</v>
      </c>
      <c r="BA136" s="17">
        <f t="shared" si="87"/>
        <v>0</v>
      </c>
      <c r="BB136" s="17"/>
      <c r="BC136" s="17"/>
      <c r="BD136" s="17"/>
      <c r="BE136" s="17">
        <v>0</v>
      </c>
      <c r="BF136" s="17">
        <f t="shared" si="88"/>
        <v>0</v>
      </c>
      <c r="BG136" s="17"/>
      <c r="BH136" s="17"/>
      <c r="BI136" s="17"/>
      <c r="BJ136" s="17">
        <v>0</v>
      </c>
      <c r="BK136" s="17">
        <f t="shared" si="89"/>
        <v>0</v>
      </c>
      <c r="BL136" s="17"/>
      <c r="BM136" s="17"/>
      <c r="BN136" s="17"/>
      <c r="BO136" s="17">
        <v>0</v>
      </c>
      <c r="BP136" s="17">
        <f t="shared" si="90"/>
        <v>0</v>
      </c>
      <c r="BQ136" s="17">
        <f t="shared" si="91"/>
        <v>0</v>
      </c>
      <c r="BR136" s="17">
        <f t="shared" si="91"/>
        <v>0</v>
      </c>
      <c r="BS136" s="17">
        <f t="shared" si="91"/>
        <v>0</v>
      </c>
      <c r="BT136" s="17">
        <f t="shared" si="91"/>
        <v>0</v>
      </c>
      <c r="BU136" s="17">
        <f t="shared" si="46"/>
        <v>0</v>
      </c>
    </row>
    <row r="137" spans="1:73" s="46" customFormat="1" hidden="1" outlineLevel="1">
      <c r="A137" s="17" t="s">
        <v>352</v>
      </c>
      <c r="B137" s="17" t="s">
        <v>353</v>
      </c>
      <c r="C137" s="16"/>
      <c r="D137" s="17"/>
      <c r="E137" s="16"/>
      <c r="F137" s="18"/>
      <c r="G137" s="16"/>
      <c r="H137" s="16"/>
      <c r="I137" s="17"/>
      <c r="J137" s="17"/>
      <c r="K137" s="17">
        <v>0</v>
      </c>
      <c r="L137" s="17">
        <v>0</v>
      </c>
      <c r="M137" s="17">
        <f t="shared" si="79"/>
        <v>0</v>
      </c>
      <c r="N137" s="17"/>
      <c r="O137" s="17"/>
      <c r="P137" s="17">
        <v>0</v>
      </c>
      <c r="Q137" s="17">
        <v>0</v>
      </c>
      <c r="R137" s="17">
        <f t="shared" si="80"/>
        <v>0</v>
      </c>
      <c r="S137" s="17"/>
      <c r="T137" s="17"/>
      <c r="U137" s="17"/>
      <c r="V137" s="17">
        <v>0</v>
      </c>
      <c r="W137" s="17">
        <f t="shared" si="81"/>
        <v>0</v>
      </c>
      <c r="X137" s="17"/>
      <c r="Y137" s="17"/>
      <c r="Z137" s="17">
        <v>0</v>
      </c>
      <c r="AA137" s="17">
        <v>0</v>
      </c>
      <c r="AB137" s="17">
        <f t="shared" si="82"/>
        <v>0</v>
      </c>
      <c r="AC137" s="17"/>
      <c r="AD137" s="17"/>
      <c r="AE137" s="17"/>
      <c r="AF137" s="17">
        <v>0</v>
      </c>
      <c r="AG137" s="17">
        <f t="shared" si="83"/>
        <v>0</v>
      </c>
      <c r="AH137" s="17"/>
      <c r="AI137" s="17"/>
      <c r="AJ137" s="17"/>
      <c r="AK137" s="17">
        <v>0</v>
      </c>
      <c r="AL137" s="17">
        <f t="shared" si="84"/>
        <v>0</v>
      </c>
      <c r="AM137" s="17"/>
      <c r="AN137" s="17"/>
      <c r="AO137" s="17"/>
      <c r="AP137" s="17">
        <v>0</v>
      </c>
      <c r="AQ137" s="17">
        <f t="shared" si="85"/>
        <v>0</v>
      </c>
      <c r="AR137" s="17"/>
      <c r="AS137" s="17"/>
      <c r="AT137" s="17"/>
      <c r="AU137" s="17">
        <v>0</v>
      </c>
      <c r="AV137" s="17">
        <f t="shared" si="86"/>
        <v>0</v>
      </c>
      <c r="AW137" s="17"/>
      <c r="AX137" s="17"/>
      <c r="AY137" s="17"/>
      <c r="AZ137" s="17">
        <v>0</v>
      </c>
      <c r="BA137" s="17">
        <f t="shared" si="87"/>
        <v>0</v>
      </c>
      <c r="BB137" s="17"/>
      <c r="BC137" s="17"/>
      <c r="BD137" s="17"/>
      <c r="BE137" s="17">
        <v>0</v>
      </c>
      <c r="BF137" s="17">
        <f t="shared" si="88"/>
        <v>0</v>
      </c>
      <c r="BG137" s="17"/>
      <c r="BH137" s="17"/>
      <c r="BI137" s="17"/>
      <c r="BJ137" s="17">
        <v>0</v>
      </c>
      <c r="BK137" s="17">
        <f t="shared" si="89"/>
        <v>0</v>
      </c>
      <c r="BL137" s="17"/>
      <c r="BM137" s="17"/>
      <c r="BN137" s="17"/>
      <c r="BO137" s="17">
        <v>0</v>
      </c>
      <c r="BP137" s="17">
        <f t="shared" si="90"/>
        <v>0</v>
      </c>
      <c r="BQ137" s="17">
        <f t="shared" si="91"/>
        <v>0</v>
      </c>
      <c r="BR137" s="17">
        <f t="shared" si="91"/>
        <v>0</v>
      </c>
      <c r="BS137" s="17">
        <f t="shared" si="91"/>
        <v>0</v>
      </c>
      <c r="BT137" s="17">
        <f t="shared" si="91"/>
        <v>0</v>
      </c>
      <c r="BU137" s="17">
        <f t="shared" si="46"/>
        <v>0</v>
      </c>
    </row>
    <row r="138" spans="1:73" s="46" customFormat="1" hidden="1" outlineLevel="1">
      <c r="A138" s="17" t="s">
        <v>352</v>
      </c>
      <c r="B138" s="17" t="s">
        <v>353</v>
      </c>
      <c r="C138" s="16"/>
      <c r="D138" s="17"/>
      <c r="E138" s="16"/>
      <c r="F138" s="18"/>
      <c r="G138" s="16"/>
      <c r="H138" s="16"/>
      <c r="I138" s="17"/>
      <c r="J138" s="17"/>
      <c r="K138" s="17">
        <v>0</v>
      </c>
      <c r="L138" s="17">
        <v>0</v>
      </c>
      <c r="M138" s="17">
        <f t="shared" si="79"/>
        <v>0</v>
      </c>
      <c r="N138" s="17"/>
      <c r="O138" s="17"/>
      <c r="P138" s="17">
        <v>0</v>
      </c>
      <c r="Q138" s="17">
        <v>0</v>
      </c>
      <c r="R138" s="17">
        <f t="shared" si="80"/>
        <v>0</v>
      </c>
      <c r="S138" s="17"/>
      <c r="T138" s="17"/>
      <c r="U138" s="17"/>
      <c r="V138" s="17">
        <v>0</v>
      </c>
      <c r="W138" s="17">
        <f t="shared" si="81"/>
        <v>0</v>
      </c>
      <c r="X138" s="17"/>
      <c r="Y138" s="17"/>
      <c r="Z138" s="17">
        <v>0</v>
      </c>
      <c r="AA138" s="17">
        <v>0</v>
      </c>
      <c r="AB138" s="17">
        <f t="shared" si="82"/>
        <v>0</v>
      </c>
      <c r="AC138" s="17"/>
      <c r="AD138" s="17"/>
      <c r="AE138" s="17"/>
      <c r="AF138" s="17">
        <v>0</v>
      </c>
      <c r="AG138" s="17">
        <f t="shared" si="83"/>
        <v>0</v>
      </c>
      <c r="AH138" s="17"/>
      <c r="AI138" s="17"/>
      <c r="AJ138" s="17"/>
      <c r="AK138" s="17">
        <v>0</v>
      </c>
      <c r="AL138" s="17">
        <f t="shared" si="84"/>
        <v>0</v>
      </c>
      <c r="AM138" s="17"/>
      <c r="AN138" s="17"/>
      <c r="AO138" s="17"/>
      <c r="AP138" s="17">
        <v>0</v>
      </c>
      <c r="AQ138" s="17">
        <f t="shared" si="85"/>
        <v>0</v>
      </c>
      <c r="AR138" s="17"/>
      <c r="AS138" s="17"/>
      <c r="AT138" s="17"/>
      <c r="AU138" s="17">
        <v>0</v>
      </c>
      <c r="AV138" s="17">
        <f t="shared" si="86"/>
        <v>0</v>
      </c>
      <c r="AW138" s="17"/>
      <c r="AX138" s="17"/>
      <c r="AY138" s="17"/>
      <c r="AZ138" s="17">
        <v>0</v>
      </c>
      <c r="BA138" s="17">
        <f t="shared" si="87"/>
        <v>0</v>
      </c>
      <c r="BB138" s="17"/>
      <c r="BC138" s="17"/>
      <c r="BD138" s="17"/>
      <c r="BE138" s="17">
        <v>0</v>
      </c>
      <c r="BF138" s="17">
        <f t="shared" si="88"/>
        <v>0</v>
      </c>
      <c r="BG138" s="17"/>
      <c r="BH138" s="17"/>
      <c r="BI138" s="17"/>
      <c r="BJ138" s="17">
        <v>0</v>
      </c>
      <c r="BK138" s="17">
        <f t="shared" si="89"/>
        <v>0</v>
      </c>
      <c r="BL138" s="17"/>
      <c r="BM138" s="17"/>
      <c r="BN138" s="17"/>
      <c r="BO138" s="17">
        <v>0</v>
      </c>
      <c r="BP138" s="17">
        <f t="shared" si="90"/>
        <v>0</v>
      </c>
      <c r="BQ138" s="17">
        <f t="shared" si="91"/>
        <v>0</v>
      </c>
      <c r="BR138" s="17">
        <f t="shared" si="91"/>
        <v>0</v>
      </c>
      <c r="BS138" s="17">
        <f t="shared" si="91"/>
        <v>0</v>
      </c>
      <c r="BT138" s="17">
        <f t="shared" si="91"/>
        <v>0</v>
      </c>
      <c r="BU138" s="17">
        <f t="shared" si="46"/>
        <v>0</v>
      </c>
    </row>
    <row r="139" spans="1:73" s="46" customFormat="1" hidden="1" outlineLevel="1">
      <c r="A139" s="17" t="s">
        <v>352</v>
      </c>
      <c r="B139" s="17" t="s">
        <v>353</v>
      </c>
      <c r="C139" s="16"/>
      <c r="D139" s="16"/>
      <c r="E139" s="16"/>
      <c r="F139" s="18"/>
      <c r="G139" s="16"/>
      <c r="H139" s="16"/>
      <c r="I139" s="17"/>
      <c r="J139" s="17"/>
      <c r="K139" s="17">
        <v>0</v>
      </c>
      <c r="L139" s="17">
        <v>0</v>
      </c>
      <c r="M139" s="17">
        <f t="shared" si="79"/>
        <v>0</v>
      </c>
      <c r="N139" s="17"/>
      <c r="O139" s="17"/>
      <c r="P139" s="17">
        <v>0</v>
      </c>
      <c r="Q139" s="17">
        <v>0</v>
      </c>
      <c r="R139" s="17">
        <f t="shared" si="80"/>
        <v>0</v>
      </c>
      <c r="S139" s="17"/>
      <c r="T139" s="17"/>
      <c r="U139" s="17"/>
      <c r="V139" s="17">
        <v>0</v>
      </c>
      <c r="W139" s="17">
        <f t="shared" si="81"/>
        <v>0</v>
      </c>
      <c r="X139" s="17"/>
      <c r="Y139" s="17"/>
      <c r="Z139" s="17">
        <v>0</v>
      </c>
      <c r="AA139" s="17">
        <v>0</v>
      </c>
      <c r="AB139" s="17">
        <f t="shared" si="82"/>
        <v>0</v>
      </c>
      <c r="AC139" s="17"/>
      <c r="AD139" s="17"/>
      <c r="AE139" s="17"/>
      <c r="AF139" s="17">
        <v>0</v>
      </c>
      <c r="AG139" s="17">
        <f t="shared" si="83"/>
        <v>0</v>
      </c>
      <c r="AH139" s="17"/>
      <c r="AI139" s="17"/>
      <c r="AJ139" s="17"/>
      <c r="AK139" s="17">
        <v>0</v>
      </c>
      <c r="AL139" s="17">
        <f t="shared" si="84"/>
        <v>0</v>
      </c>
      <c r="AM139" s="17"/>
      <c r="AN139" s="17"/>
      <c r="AO139" s="17"/>
      <c r="AP139" s="17">
        <v>0</v>
      </c>
      <c r="AQ139" s="17">
        <f t="shared" si="85"/>
        <v>0</v>
      </c>
      <c r="AR139" s="17"/>
      <c r="AS139" s="17"/>
      <c r="AT139" s="17"/>
      <c r="AU139" s="17">
        <v>0</v>
      </c>
      <c r="AV139" s="17">
        <f t="shared" si="86"/>
        <v>0</v>
      </c>
      <c r="AW139" s="17"/>
      <c r="AX139" s="17"/>
      <c r="AY139" s="17"/>
      <c r="AZ139" s="17">
        <v>0</v>
      </c>
      <c r="BA139" s="17">
        <f t="shared" si="87"/>
        <v>0</v>
      </c>
      <c r="BB139" s="17"/>
      <c r="BC139" s="17"/>
      <c r="BD139" s="17"/>
      <c r="BE139" s="17">
        <v>0</v>
      </c>
      <c r="BF139" s="17">
        <f t="shared" si="88"/>
        <v>0</v>
      </c>
      <c r="BG139" s="17"/>
      <c r="BH139" s="17"/>
      <c r="BI139" s="17"/>
      <c r="BJ139" s="17">
        <v>0</v>
      </c>
      <c r="BK139" s="17">
        <f t="shared" si="89"/>
        <v>0</v>
      </c>
      <c r="BL139" s="17"/>
      <c r="BM139" s="17"/>
      <c r="BN139" s="17"/>
      <c r="BO139" s="17">
        <v>0</v>
      </c>
      <c r="BP139" s="17">
        <f t="shared" si="90"/>
        <v>0</v>
      </c>
      <c r="BQ139" s="17">
        <f t="shared" si="91"/>
        <v>0</v>
      </c>
      <c r="BR139" s="17">
        <f t="shared" si="91"/>
        <v>0</v>
      </c>
      <c r="BS139" s="17">
        <f t="shared" si="91"/>
        <v>0</v>
      </c>
      <c r="BT139" s="17">
        <f t="shared" si="91"/>
        <v>0</v>
      </c>
      <c r="BU139" s="17">
        <f t="shared" si="46"/>
        <v>0</v>
      </c>
    </row>
    <row r="140" spans="1:73" s="38" customFormat="1" collapsed="1">
      <c r="A140" s="25" t="s">
        <v>352</v>
      </c>
      <c r="B140" s="25" t="s">
        <v>378</v>
      </c>
      <c r="C140" s="24"/>
      <c r="D140" s="24">
        <v>0</v>
      </c>
      <c r="E140" s="24" t="s">
        <v>182</v>
      </c>
      <c r="F140" s="24"/>
      <c r="G140" s="24" t="s">
        <v>378</v>
      </c>
      <c r="H140" s="24"/>
      <c r="I140" s="25">
        <f>SUM(I126:I139)</f>
        <v>145</v>
      </c>
      <c r="J140" s="25">
        <f t="shared" ref="J140:BU140" si="92">SUM(J126:J139)</f>
        <v>135</v>
      </c>
      <c r="K140" s="25">
        <f t="shared" si="92"/>
        <v>0</v>
      </c>
      <c r="L140" s="25">
        <f t="shared" si="92"/>
        <v>0</v>
      </c>
      <c r="M140" s="25">
        <f t="shared" si="92"/>
        <v>280</v>
      </c>
      <c r="N140" s="25">
        <f t="shared" si="92"/>
        <v>144.5</v>
      </c>
      <c r="O140" s="25">
        <f t="shared" si="92"/>
        <v>135.5</v>
      </c>
      <c r="P140" s="25">
        <f t="shared" si="92"/>
        <v>0</v>
      </c>
      <c r="Q140" s="25">
        <f t="shared" si="92"/>
        <v>0</v>
      </c>
      <c r="R140" s="25">
        <f t="shared" si="92"/>
        <v>280</v>
      </c>
      <c r="S140" s="25">
        <f t="shared" si="92"/>
        <v>119</v>
      </c>
      <c r="T140" s="25">
        <f t="shared" si="92"/>
        <v>161</v>
      </c>
      <c r="U140" s="25">
        <f t="shared" si="92"/>
        <v>0</v>
      </c>
      <c r="V140" s="25">
        <f t="shared" si="92"/>
        <v>0</v>
      </c>
      <c r="W140" s="25">
        <f t="shared" si="92"/>
        <v>280</v>
      </c>
      <c r="X140" s="25">
        <f t="shared" si="92"/>
        <v>134.85</v>
      </c>
      <c r="Y140" s="25">
        <f t="shared" si="92"/>
        <v>145.15</v>
      </c>
      <c r="Z140" s="25">
        <f t="shared" si="92"/>
        <v>0</v>
      </c>
      <c r="AA140" s="25">
        <f t="shared" si="92"/>
        <v>0</v>
      </c>
      <c r="AB140" s="25">
        <f t="shared" si="92"/>
        <v>280</v>
      </c>
      <c r="AC140" s="25">
        <f t="shared" si="92"/>
        <v>124</v>
      </c>
      <c r="AD140" s="25">
        <f t="shared" si="92"/>
        <v>156</v>
      </c>
      <c r="AE140" s="25">
        <f t="shared" si="92"/>
        <v>0</v>
      </c>
      <c r="AF140" s="25">
        <f t="shared" si="92"/>
        <v>0</v>
      </c>
      <c r="AG140" s="25">
        <f t="shared" si="92"/>
        <v>280</v>
      </c>
      <c r="AH140" s="25">
        <f t="shared" si="92"/>
        <v>0</v>
      </c>
      <c r="AI140" s="25">
        <f t="shared" si="92"/>
        <v>0</v>
      </c>
      <c r="AJ140" s="25">
        <f t="shared" si="92"/>
        <v>0</v>
      </c>
      <c r="AK140" s="25">
        <f t="shared" si="92"/>
        <v>0</v>
      </c>
      <c r="AL140" s="25">
        <f t="shared" si="92"/>
        <v>0</v>
      </c>
      <c r="AM140" s="25">
        <f t="shared" si="92"/>
        <v>0</v>
      </c>
      <c r="AN140" s="25">
        <f t="shared" si="92"/>
        <v>0</v>
      </c>
      <c r="AO140" s="25">
        <f t="shared" si="92"/>
        <v>0</v>
      </c>
      <c r="AP140" s="25">
        <f t="shared" si="92"/>
        <v>0</v>
      </c>
      <c r="AQ140" s="25">
        <f t="shared" si="92"/>
        <v>0</v>
      </c>
      <c r="AR140" s="25">
        <f t="shared" si="92"/>
        <v>200</v>
      </c>
      <c r="AS140" s="25">
        <f t="shared" si="92"/>
        <v>80</v>
      </c>
      <c r="AT140" s="25">
        <f t="shared" si="92"/>
        <v>0</v>
      </c>
      <c r="AU140" s="25">
        <f t="shared" si="92"/>
        <v>0</v>
      </c>
      <c r="AV140" s="25">
        <f t="shared" si="92"/>
        <v>280</v>
      </c>
      <c r="AW140" s="25">
        <f>SUM(AW126:AW139)</f>
        <v>200</v>
      </c>
      <c r="AX140" s="25">
        <f t="shared" si="92"/>
        <v>80</v>
      </c>
      <c r="AY140" s="25">
        <f t="shared" si="92"/>
        <v>0</v>
      </c>
      <c r="AZ140" s="25">
        <f t="shared" si="92"/>
        <v>0</v>
      </c>
      <c r="BA140" s="25">
        <f t="shared" si="92"/>
        <v>280</v>
      </c>
      <c r="BB140" s="25">
        <f t="shared" si="92"/>
        <v>200</v>
      </c>
      <c r="BC140" s="25">
        <f t="shared" si="92"/>
        <v>80</v>
      </c>
      <c r="BD140" s="25">
        <f t="shared" si="92"/>
        <v>0</v>
      </c>
      <c r="BE140" s="25">
        <f t="shared" si="92"/>
        <v>0</v>
      </c>
      <c r="BF140" s="25">
        <f t="shared" si="92"/>
        <v>280</v>
      </c>
      <c r="BG140" s="25">
        <f t="shared" si="92"/>
        <v>240</v>
      </c>
      <c r="BH140" s="25">
        <f t="shared" si="92"/>
        <v>80</v>
      </c>
      <c r="BI140" s="25">
        <f t="shared" si="92"/>
        <v>0</v>
      </c>
      <c r="BJ140" s="25">
        <f t="shared" si="92"/>
        <v>0</v>
      </c>
      <c r="BK140" s="25">
        <f t="shared" si="92"/>
        <v>320</v>
      </c>
      <c r="BL140" s="25">
        <f t="shared" si="92"/>
        <v>240</v>
      </c>
      <c r="BM140" s="25">
        <f t="shared" si="92"/>
        <v>80</v>
      </c>
      <c r="BN140" s="25">
        <f t="shared" si="92"/>
        <v>0</v>
      </c>
      <c r="BO140" s="25">
        <f t="shared" si="92"/>
        <v>0</v>
      </c>
      <c r="BP140" s="25">
        <f t="shared" si="92"/>
        <v>320</v>
      </c>
      <c r="BQ140" s="25">
        <f t="shared" si="92"/>
        <v>1747.35</v>
      </c>
      <c r="BR140" s="25">
        <f t="shared" si="92"/>
        <v>1132.6500000000001</v>
      </c>
      <c r="BS140" s="25">
        <f t="shared" si="92"/>
        <v>0</v>
      </c>
      <c r="BT140" s="25">
        <f t="shared" si="92"/>
        <v>0</v>
      </c>
      <c r="BU140" s="25">
        <f t="shared" si="92"/>
        <v>2880</v>
      </c>
    </row>
    <row r="141" spans="1:73" s="46" customFormat="1" ht="21" hidden="1" customHeight="1" outlineLevel="1">
      <c r="A141" s="17" t="s">
        <v>352</v>
      </c>
      <c r="B141" s="17" t="s">
        <v>379</v>
      </c>
      <c r="C141" s="45" t="s">
        <v>380</v>
      </c>
      <c r="D141" s="45">
        <v>0</v>
      </c>
      <c r="E141" s="49" t="s">
        <v>381</v>
      </c>
      <c r="F141" s="39" t="s">
        <v>382</v>
      </c>
      <c r="G141" s="45" t="s">
        <v>383</v>
      </c>
      <c r="H141" s="45" t="s">
        <v>357</v>
      </c>
      <c r="I141" s="17">
        <f>+'[1]Sell in ko tính KDT'!I140</f>
        <v>48</v>
      </c>
      <c r="J141" s="17">
        <f>+'[1]Sell in ko tính KDT'!J140</f>
        <v>12</v>
      </c>
      <c r="K141" s="17">
        <f>+'[1]Sell in ko tính KDT'!K140</f>
        <v>0</v>
      </c>
      <c r="L141" s="17">
        <v>0</v>
      </c>
      <c r="M141" s="17">
        <f t="shared" ref="M141:M159" si="93">I141+J141+L141+K141</f>
        <v>60</v>
      </c>
      <c r="N141" s="17">
        <f>+'[1]Sell in ko tính KDT'!M140</f>
        <v>0</v>
      </c>
      <c r="O141" s="17">
        <f>+'[1]Sell in ko tính KDT'!N140</f>
        <v>63</v>
      </c>
      <c r="P141" s="17">
        <f>+'[1]Sell in ko tính KDT'!O140</f>
        <v>0</v>
      </c>
      <c r="Q141" s="17">
        <v>0</v>
      </c>
      <c r="R141" s="17">
        <f t="shared" ref="R141:R159" si="94">N141+O141+Q141+P141</f>
        <v>63</v>
      </c>
      <c r="S141" s="17">
        <f>+'[1]Sell in ko tính KDT'!Q140</f>
        <v>60</v>
      </c>
      <c r="T141" s="17">
        <f>+'[1]Sell in ko tính KDT'!R140</f>
        <v>10</v>
      </c>
      <c r="U141" s="17">
        <f>+'[1]Sell in ko tính KDT'!S140</f>
        <v>0</v>
      </c>
      <c r="V141" s="17">
        <v>0</v>
      </c>
      <c r="W141" s="17">
        <f t="shared" ref="W141:W159" si="95">S141+T141+V141+U141</f>
        <v>70</v>
      </c>
      <c r="X141" s="17">
        <f>+'[1]Sell in ko tính KDT'!U140</f>
        <v>58</v>
      </c>
      <c r="Y141" s="17">
        <f>+'[1]Sell in ko tính KDT'!V140</f>
        <v>19</v>
      </c>
      <c r="Z141" s="17">
        <f>+'[1]Sell in ko tính KDT'!W140</f>
        <v>0</v>
      </c>
      <c r="AA141" s="17">
        <v>0</v>
      </c>
      <c r="AB141" s="17">
        <f t="shared" ref="AB141:AB159" si="96">X141+Y141+AA141+Z141</f>
        <v>77</v>
      </c>
      <c r="AC141" s="17">
        <f>+'[1]Sell in ko tính KDT'!Y140</f>
        <v>55.5</v>
      </c>
      <c r="AD141" s="17">
        <f>+'[1]Sell in ko tính KDT'!Z140</f>
        <v>14.5</v>
      </c>
      <c r="AE141" s="17">
        <f>+'[1]Sell in ko tính KDT'!AA140</f>
        <v>0</v>
      </c>
      <c r="AF141" s="17">
        <v>0</v>
      </c>
      <c r="AG141" s="17">
        <f t="shared" ref="AG141:AG159" si="97">AC141+AD141+AF141+AE141</f>
        <v>70</v>
      </c>
      <c r="AH141" s="17">
        <f>+'[1]Sell in ko tính KDT'!AC140</f>
        <v>30</v>
      </c>
      <c r="AI141" s="17">
        <f>+'[1]Sell in ko tính KDT'!AD140</f>
        <v>10</v>
      </c>
      <c r="AJ141" s="17">
        <f>+'[1]Sell in ko tính KDT'!AE140</f>
        <v>0</v>
      </c>
      <c r="AK141" s="17">
        <v>0</v>
      </c>
      <c r="AL141" s="17">
        <f t="shared" ref="AL141:AL159" si="98">AH141+AI141+AK141+AJ141</f>
        <v>40</v>
      </c>
      <c r="AM141" s="17">
        <f>+'[1]Sell in ko tính KDT'!AG140</f>
        <v>30</v>
      </c>
      <c r="AN141" s="17">
        <f>+'[1]Sell in ko tính KDT'!AH140</f>
        <v>10</v>
      </c>
      <c r="AO141" s="17">
        <f>+'[1]Sell in ko tính KDT'!AI140</f>
        <v>0</v>
      </c>
      <c r="AP141" s="17">
        <v>0</v>
      </c>
      <c r="AQ141" s="17">
        <f t="shared" ref="AQ141:AQ159" si="99">AM141+AN141+AP141+AO141</f>
        <v>40</v>
      </c>
      <c r="AR141" s="17">
        <f>+'[1]Sell in ko tính KDT'!AK140</f>
        <v>30</v>
      </c>
      <c r="AS141" s="17">
        <f>+'[1]Sell in ko tính KDT'!AL140</f>
        <v>10</v>
      </c>
      <c r="AT141" s="17">
        <f>+'[1]Sell in ko tính KDT'!AM140</f>
        <v>0</v>
      </c>
      <c r="AU141" s="17">
        <v>0</v>
      </c>
      <c r="AV141" s="17">
        <f t="shared" ref="AV141:AV159" si="100">AR141+AS141+AU141+AT141</f>
        <v>40</v>
      </c>
      <c r="AW141" s="17">
        <f>+'[1]Sell in ko tính KDT'!AO140</f>
        <v>30</v>
      </c>
      <c r="AX141" s="17">
        <f>+'[1]Sell in ko tính KDT'!AP140</f>
        <v>10</v>
      </c>
      <c r="AY141" s="17">
        <f>+'[1]Sell in ko tính KDT'!AQ140</f>
        <v>0</v>
      </c>
      <c r="AZ141" s="17">
        <v>0</v>
      </c>
      <c r="BA141" s="17">
        <f t="shared" ref="BA141:BA159" si="101">AW141+AX141+AZ141+AY141</f>
        <v>40</v>
      </c>
      <c r="BB141" s="17">
        <f>+'[1]Sell in ko tính KDT'!AS140</f>
        <v>30</v>
      </c>
      <c r="BC141" s="17">
        <f>+'[1]Sell in ko tính KDT'!AT140</f>
        <v>10</v>
      </c>
      <c r="BD141" s="17">
        <f>+'[1]Sell in ko tính KDT'!AU140</f>
        <v>0</v>
      </c>
      <c r="BE141" s="17">
        <v>0</v>
      </c>
      <c r="BF141" s="17">
        <f t="shared" ref="BF141:BF159" si="102">BB141+BC141+BE141+BD141</f>
        <v>40</v>
      </c>
      <c r="BG141" s="17">
        <f>+'[1]Sell in ko tính KDT'!AW140</f>
        <v>30</v>
      </c>
      <c r="BH141" s="17">
        <f>+'[1]Sell in ko tính KDT'!AX140</f>
        <v>10</v>
      </c>
      <c r="BI141" s="17">
        <f>+'[1]Sell in ko tính KDT'!AY140</f>
        <v>0</v>
      </c>
      <c r="BJ141" s="17">
        <v>0</v>
      </c>
      <c r="BK141" s="17">
        <f t="shared" ref="BK141:BK159" si="103">BG141+BH141+BJ141+BI141</f>
        <v>40</v>
      </c>
      <c r="BL141" s="17">
        <f>+'[1]Sell in ko tính KDT'!BA140</f>
        <v>30</v>
      </c>
      <c r="BM141" s="17">
        <f>+'[1]Sell in ko tính KDT'!BB140</f>
        <v>10</v>
      </c>
      <c r="BN141" s="17">
        <f>+'[1]Sell in ko tính KDT'!BC140</f>
        <v>0</v>
      </c>
      <c r="BO141" s="17">
        <v>0</v>
      </c>
      <c r="BP141" s="17">
        <f t="shared" si="90"/>
        <v>40</v>
      </c>
      <c r="BQ141" s="17">
        <f t="shared" ref="BQ141:BT156" si="104">BL141+BG141+BB141+AW141+AR141+AM141+AH141+AC141+X141+S141+N141+I141</f>
        <v>431.5</v>
      </c>
      <c r="BR141" s="17">
        <f t="shared" si="104"/>
        <v>188.5</v>
      </c>
      <c r="BS141" s="17">
        <f t="shared" si="91"/>
        <v>0</v>
      </c>
      <c r="BT141" s="17">
        <f t="shared" si="91"/>
        <v>0</v>
      </c>
      <c r="BU141" s="17">
        <f t="shared" si="46"/>
        <v>620</v>
      </c>
    </row>
    <row r="142" spans="1:73" s="46" customFormat="1" ht="21" hidden="1" customHeight="1" outlineLevel="1">
      <c r="A142" s="17" t="s">
        <v>352</v>
      </c>
      <c r="B142" s="17" t="s">
        <v>379</v>
      </c>
      <c r="C142" s="45" t="s">
        <v>384</v>
      </c>
      <c r="D142" s="45"/>
      <c r="E142" s="50" t="s">
        <v>385</v>
      </c>
      <c r="F142" s="39" t="s">
        <v>386</v>
      </c>
      <c r="G142" s="45" t="s">
        <v>387</v>
      </c>
      <c r="H142" s="45" t="s">
        <v>357</v>
      </c>
      <c r="I142" s="17">
        <f>+'[1]Sell in ko tính KDT'!I141</f>
        <v>80</v>
      </c>
      <c r="J142" s="17">
        <f>+'[1]Sell in ko tính KDT'!J141</f>
        <v>0</v>
      </c>
      <c r="K142" s="17">
        <f>+'[1]Sell in ko tính KDT'!K141</f>
        <v>0</v>
      </c>
      <c r="L142" s="17">
        <v>0</v>
      </c>
      <c r="M142" s="17">
        <f t="shared" si="93"/>
        <v>80</v>
      </c>
      <c r="N142" s="17">
        <f>+'[1]Sell in ko tính KDT'!M141</f>
        <v>77</v>
      </c>
      <c r="O142" s="17">
        <f>+'[1]Sell in ko tính KDT'!N141</f>
        <v>0</v>
      </c>
      <c r="P142" s="17">
        <f>+'[1]Sell in ko tính KDT'!O141</f>
        <v>0</v>
      </c>
      <c r="Q142" s="17">
        <v>0</v>
      </c>
      <c r="R142" s="17">
        <f t="shared" si="94"/>
        <v>77</v>
      </c>
      <c r="S142" s="17">
        <f>+'[1]Sell in ko tính KDT'!Q141</f>
        <v>75</v>
      </c>
      <c r="T142" s="17">
        <f>+'[1]Sell in ko tính KDT'!R141</f>
        <v>0</v>
      </c>
      <c r="U142" s="17">
        <f>+'[1]Sell in ko tính KDT'!S141</f>
        <v>0</v>
      </c>
      <c r="V142" s="17">
        <v>0</v>
      </c>
      <c r="W142" s="17">
        <f t="shared" si="95"/>
        <v>75</v>
      </c>
      <c r="X142" s="17">
        <f>+'[1]Sell in ko tính KDT'!U141</f>
        <v>70</v>
      </c>
      <c r="Y142" s="17">
        <f>+'[1]Sell in ko tính KDT'!V141</f>
        <v>0</v>
      </c>
      <c r="Z142" s="17">
        <f>+'[1]Sell in ko tính KDT'!W141</f>
        <v>0</v>
      </c>
      <c r="AA142" s="17">
        <v>0</v>
      </c>
      <c r="AB142" s="17">
        <f t="shared" si="96"/>
        <v>70</v>
      </c>
      <c r="AC142" s="17">
        <f>+'[1]Sell in ko tính KDT'!Y141</f>
        <v>75</v>
      </c>
      <c r="AD142" s="17">
        <f>+'[1]Sell in ko tính KDT'!Z141</f>
        <v>0</v>
      </c>
      <c r="AE142" s="17">
        <f>+'[1]Sell in ko tính KDT'!AA141</f>
        <v>0</v>
      </c>
      <c r="AF142" s="17">
        <v>0</v>
      </c>
      <c r="AG142" s="17">
        <f t="shared" si="97"/>
        <v>75</v>
      </c>
      <c r="AH142" s="17">
        <f>+'[1]Sell in ko tính KDT'!AC141</f>
        <v>50</v>
      </c>
      <c r="AI142" s="17">
        <f>+'[1]Sell in ko tính KDT'!AD141</f>
        <v>10</v>
      </c>
      <c r="AJ142" s="17">
        <f>+'[1]Sell in ko tính KDT'!AE141</f>
        <v>0</v>
      </c>
      <c r="AK142" s="17">
        <v>0</v>
      </c>
      <c r="AL142" s="17">
        <f t="shared" si="98"/>
        <v>60</v>
      </c>
      <c r="AM142" s="17">
        <f>+'[1]Sell in ko tính KDT'!AG141</f>
        <v>50</v>
      </c>
      <c r="AN142" s="17">
        <f>+'[1]Sell in ko tính KDT'!AH141</f>
        <v>10</v>
      </c>
      <c r="AO142" s="17">
        <f>+'[1]Sell in ko tính KDT'!AI141</f>
        <v>0</v>
      </c>
      <c r="AP142" s="17">
        <v>0</v>
      </c>
      <c r="AQ142" s="17">
        <f t="shared" si="99"/>
        <v>60</v>
      </c>
      <c r="AR142" s="17">
        <f>+'[1]Sell in ko tính KDT'!AK141</f>
        <v>50</v>
      </c>
      <c r="AS142" s="17">
        <f>+'[1]Sell in ko tính KDT'!AL141</f>
        <v>10</v>
      </c>
      <c r="AT142" s="17">
        <f>+'[1]Sell in ko tính KDT'!AM141</f>
        <v>0</v>
      </c>
      <c r="AU142" s="17">
        <v>0</v>
      </c>
      <c r="AV142" s="17">
        <f t="shared" si="100"/>
        <v>60</v>
      </c>
      <c r="AW142" s="17">
        <f>+'[1]Sell in ko tính KDT'!AO141</f>
        <v>50</v>
      </c>
      <c r="AX142" s="17">
        <f>+'[1]Sell in ko tính KDT'!AP141</f>
        <v>10</v>
      </c>
      <c r="AY142" s="17">
        <f>+'[1]Sell in ko tính KDT'!AQ141</f>
        <v>0</v>
      </c>
      <c r="AZ142" s="17">
        <v>0</v>
      </c>
      <c r="BA142" s="17">
        <f t="shared" si="101"/>
        <v>60</v>
      </c>
      <c r="BB142" s="17">
        <f>+'[1]Sell in ko tính KDT'!AS141</f>
        <v>50</v>
      </c>
      <c r="BC142" s="17">
        <f>+'[1]Sell in ko tính KDT'!AT141</f>
        <v>10</v>
      </c>
      <c r="BD142" s="17">
        <f>+'[1]Sell in ko tính KDT'!AU141</f>
        <v>0</v>
      </c>
      <c r="BE142" s="17">
        <v>0</v>
      </c>
      <c r="BF142" s="17">
        <f t="shared" si="102"/>
        <v>60</v>
      </c>
      <c r="BG142" s="17">
        <f>+'[1]Sell in ko tính KDT'!AW141</f>
        <v>50</v>
      </c>
      <c r="BH142" s="17">
        <f>+'[1]Sell in ko tính KDT'!AX141</f>
        <v>10</v>
      </c>
      <c r="BI142" s="17">
        <f>+'[1]Sell in ko tính KDT'!AY141</f>
        <v>0</v>
      </c>
      <c r="BJ142" s="17">
        <v>0</v>
      </c>
      <c r="BK142" s="17">
        <f t="shared" si="103"/>
        <v>60</v>
      </c>
      <c r="BL142" s="17">
        <f>+'[1]Sell in ko tính KDT'!BA141</f>
        <v>50</v>
      </c>
      <c r="BM142" s="17">
        <f>+'[1]Sell in ko tính KDT'!BB141</f>
        <v>10</v>
      </c>
      <c r="BN142" s="17">
        <f>+'[1]Sell in ko tính KDT'!BC141</f>
        <v>0</v>
      </c>
      <c r="BO142" s="17">
        <v>0</v>
      </c>
      <c r="BP142" s="17">
        <f t="shared" si="90"/>
        <v>60</v>
      </c>
      <c r="BQ142" s="17">
        <f t="shared" si="104"/>
        <v>727</v>
      </c>
      <c r="BR142" s="17">
        <f t="shared" si="104"/>
        <v>70</v>
      </c>
      <c r="BS142" s="17">
        <f t="shared" si="104"/>
        <v>0</v>
      </c>
      <c r="BT142" s="17">
        <f t="shared" si="104"/>
        <v>0</v>
      </c>
      <c r="BU142" s="17">
        <f t="shared" si="46"/>
        <v>797</v>
      </c>
    </row>
    <row r="143" spans="1:73" s="46" customFormat="1" ht="21" hidden="1" customHeight="1" outlineLevel="1">
      <c r="A143" s="17" t="s">
        <v>352</v>
      </c>
      <c r="B143" s="17" t="s">
        <v>379</v>
      </c>
      <c r="C143" s="45" t="s">
        <v>380</v>
      </c>
      <c r="D143" s="31" t="s">
        <v>388</v>
      </c>
      <c r="E143" s="49" t="s">
        <v>381</v>
      </c>
      <c r="F143" s="39" t="s">
        <v>389</v>
      </c>
      <c r="G143" s="45" t="s">
        <v>390</v>
      </c>
      <c r="H143" s="45" t="s">
        <v>357</v>
      </c>
      <c r="I143" s="17">
        <f>+'[1]Sell in ko tính KDT'!I142</f>
        <v>119.5</v>
      </c>
      <c r="J143" s="17">
        <f>+'[1]Sell in ko tính KDT'!J142</f>
        <v>52.5</v>
      </c>
      <c r="K143" s="17">
        <f>+'[1]Sell in ko tính KDT'!K142</f>
        <v>0</v>
      </c>
      <c r="L143" s="17">
        <v>0</v>
      </c>
      <c r="M143" s="17">
        <f t="shared" si="93"/>
        <v>172</v>
      </c>
      <c r="N143" s="17">
        <f>+'[1]Sell in ko tính KDT'!M142</f>
        <v>162</v>
      </c>
      <c r="O143" s="17">
        <f>+'[1]Sell in ko tính KDT'!N142</f>
        <v>0</v>
      </c>
      <c r="P143" s="17">
        <f>+'[1]Sell in ko tính KDT'!O142</f>
        <v>0</v>
      </c>
      <c r="Q143" s="17">
        <v>0</v>
      </c>
      <c r="R143" s="17">
        <f t="shared" si="94"/>
        <v>162</v>
      </c>
      <c r="S143" s="17">
        <f>+'[1]Sell in ko tính KDT'!Q142</f>
        <v>185</v>
      </c>
      <c r="T143" s="17">
        <f>+'[1]Sell in ko tính KDT'!R142</f>
        <v>0</v>
      </c>
      <c r="U143" s="17">
        <f>+'[1]Sell in ko tính KDT'!S142</f>
        <v>0</v>
      </c>
      <c r="V143" s="17">
        <v>0</v>
      </c>
      <c r="W143" s="17">
        <f t="shared" si="95"/>
        <v>185</v>
      </c>
      <c r="X143" s="17">
        <f>+'[1]Sell in ko tính KDT'!U142</f>
        <v>137.5</v>
      </c>
      <c r="Y143" s="17">
        <f>+'[1]Sell in ko tính KDT'!V142</f>
        <v>48.5</v>
      </c>
      <c r="Z143" s="17">
        <f>+'[1]Sell in ko tính KDT'!W142</f>
        <v>0</v>
      </c>
      <c r="AA143" s="17">
        <v>0</v>
      </c>
      <c r="AB143" s="17">
        <f t="shared" si="96"/>
        <v>186</v>
      </c>
      <c r="AC143" s="17">
        <f>+'[1]Sell in ko tính KDT'!Y142</f>
        <v>134.9</v>
      </c>
      <c r="AD143" s="17">
        <f>+'[1]Sell in ko tính KDT'!Z142</f>
        <v>53.199999999999996</v>
      </c>
      <c r="AE143" s="17">
        <f>+'[1]Sell in ko tính KDT'!AA142</f>
        <v>0</v>
      </c>
      <c r="AF143" s="17">
        <v>0</v>
      </c>
      <c r="AG143" s="17">
        <f t="shared" si="97"/>
        <v>188.1</v>
      </c>
      <c r="AH143" s="17">
        <f>+'[1]Sell in ko tính KDT'!AC142</f>
        <v>50</v>
      </c>
      <c r="AI143" s="17">
        <f>+'[1]Sell in ko tính KDT'!AD142</f>
        <v>10</v>
      </c>
      <c r="AJ143" s="17">
        <f>+'[1]Sell in ko tính KDT'!AE142</f>
        <v>0</v>
      </c>
      <c r="AK143" s="17">
        <v>0</v>
      </c>
      <c r="AL143" s="17">
        <f t="shared" si="98"/>
        <v>60</v>
      </c>
      <c r="AM143" s="17">
        <f>+'[1]Sell in ko tính KDT'!AG142</f>
        <v>50</v>
      </c>
      <c r="AN143" s="17">
        <f>+'[1]Sell in ko tính KDT'!AH142</f>
        <v>10</v>
      </c>
      <c r="AO143" s="17">
        <f>+'[1]Sell in ko tính KDT'!AI142</f>
        <v>0</v>
      </c>
      <c r="AP143" s="17">
        <v>0</v>
      </c>
      <c r="AQ143" s="17">
        <f t="shared" si="99"/>
        <v>60</v>
      </c>
      <c r="AR143" s="17">
        <f>+'[1]Sell in ko tính KDT'!AK142</f>
        <v>50</v>
      </c>
      <c r="AS143" s="17">
        <f>+'[1]Sell in ko tính KDT'!AL142</f>
        <v>10</v>
      </c>
      <c r="AT143" s="17">
        <f>+'[1]Sell in ko tính KDT'!AM142</f>
        <v>0</v>
      </c>
      <c r="AU143" s="17">
        <v>0</v>
      </c>
      <c r="AV143" s="17">
        <f t="shared" si="100"/>
        <v>60</v>
      </c>
      <c r="AW143" s="17">
        <f>+'[1]Sell in ko tính KDT'!AO142</f>
        <v>50</v>
      </c>
      <c r="AX143" s="17">
        <f>+'[1]Sell in ko tính KDT'!AP142</f>
        <v>10</v>
      </c>
      <c r="AY143" s="17">
        <f>+'[1]Sell in ko tính KDT'!AQ142</f>
        <v>0</v>
      </c>
      <c r="AZ143" s="17">
        <v>0</v>
      </c>
      <c r="BA143" s="17">
        <f t="shared" si="101"/>
        <v>60</v>
      </c>
      <c r="BB143" s="17">
        <f>+'[1]Sell in ko tính KDT'!AS142</f>
        <v>50</v>
      </c>
      <c r="BC143" s="17">
        <f>+'[1]Sell in ko tính KDT'!AT142</f>
        <v>10</v>
      </c>
      <c r="BD143" s="17">
        <f>+'[1]Sell in ko tính KDT'!AU142</f>
        <v>0</v>
      </c>
      <c r="BE143" s="17">
        <v>0</v>
      </c>
      <c r="BF143" s="17">
        <f t="shared" si="102"/>
        <v>60</v>
      </c>
      <c r="BG143" s="17">
        <f>+'[1]Sell in ko tính KDT'!AW142</f>
        <v>50</v>
      </c>
      <c r="BH143" s="17">
        <f>+'[1]Sell in ko tính KDT'!AX142</f>
        <v>10</v>
      </c>
      <c r="BI143" s="17">
        <f>+'[1]Sell in ko tính KDT'!AY142</f>
        <v>0</v>
      </c>
      <c r="BJ143" s="17">
        <v>0</v>
      </c>
      <c r="BK143" s="17">
        <f t="shared" si="103"/>
        <v>60</v>
      </c>
      <c r="BL143" s="17">
        <f>+'[1]Sell in ko tính KDT'!BA142</f>
        <v>50</v>
      </c>
      <c r="BM143" s="17">
        <f>+'[1]Sell in ko tính KDT'!BB142</f>
        <v>10</v>
      </c>
      <c r="BN143" s="17">
        <f>+'[1]Sell in ko tính KDT'!BC142</f>
        <v>0</v>
      </c>
      <c r="BO143" s="17">
        <v>0</v>
      </c>
      <c r="BP143" s="17">
        <f t="shared" si="90"/>
        <v>60</v>
      </c>
      <c r="BQ143" s="17">
        <f t="shared" si="104"/>
        <v>1088.9000000000001</v>
      </c>
      <c r="BR143" s="17">
        <f t="shared" si="104"/>
        <v>224.2</v>
      </c>
      <c r="BS143" s="17">
        <f t="shared" si="104"/>
        <v>0</v>
      </c>
      <c r="BT143" s="17">
        <f t="shared" si="104"/>
        <v>0</v>
      </c>
      <c r="BU143" s="17">
        <f t="shared" si="46"/>
        <v>1313.1000000000001</v>
      </c>
    </row>
    <row r="144" spans="1:73" s="46" customFormat="1" ht="21" hidden="1" customHeight="1" outlineLevel="1">
      <c r="A144" s="17" t="s">
        <v>352</v>
      </c>
      <c r="B144" s="17" t="s">
        <v>379</v>
      </c>
      <c r="C144" s="45" t="s">
        <v>380</v>
      </c>
      <c r="D144" s="31" t="s">
        <v>388</v>
      </c>
      <c r="E144" s="49" t="s">
        <v>381</v>
      </c>
      <c r="F144" s="39" t="s">
        <v>391</v>
      </c>
      <c r="G144" s="19" t="s">
        <v>392</v>
      </c>
      <c r="H144" s="45" t="s">
        <v>357</v>
      </c>
      <c r="I144" s="17">
        <f>+'[1]Sell in ko tính KDT'!I143</f>
        <v>98</v>
      </c>
      <c r="J144" s="17">
        <f>+'[1]Sell in ko tính KDT'!J143</f>
        <v>2</v>
      </c>
      <c r="K144" s="17">
        <f>+'[1]Sell in ko tính KDT'!K143</f>
        <v>0</v>
      </c>
      <c r="L144" s="17">
        <v>0</v>
      </c>
      <c r="M144" s="17">
        <f t="shared" si="93"/>
        <v>100</v>
      </c>
      <c r="N144" s="17">
        <f>+'[1]Sell in ko tính KDT'!M143</f>
        <v>100</v>
      </c>
      <c r="O144" s="17">
        <f>+'[1]Sell in ko tính KDT'!N143</f>
        <v>2</v>
      </c>
      <c r="P144" s="17">
        <f>+'[1]Sell in ko tính KDT'!O143</f>
        <v>0</v>
      </c>
      <c r="Q144" s="17">
        <v>0</v>
      </c>
      <c r="R144" s="17">
        <f t="shared" si="94"/>
        <v>102</v>
      </c>
      <c r="S144" s="17">
        <f>+'[1]Sell in ko tính KDT'!Q143</f>
        <v>100</v>
      </c>
      <c r="T144" s="17">
        <f>+'[1]Sell in ko tính KDT'!R143</f>
        <v>0</v>
      </c>
      <c r="U144" s="17">
        <f>+'[1]Sell in ko tính KDT'!S143</f>
        <v>0</v>
      </c>
      <c r="V144" s="17">
        <v>0</v>
      </c>
      <c r="W144" s="17">
        <f t="shared" si="95"/>
        <v>100</v>
      </c>
      <c r="X144" s="17">
        <f>+'[1]Sell in ko tính KDT'!U143</f>
        <v>120</v>
      </c>
      <c r="Y144" s="17">
        <f>+'[1]Sell in ko tính KDT'!V143</f>
        <v>0</v>
      </c>
      <c r="Z144" s="17">
        <f>+'[1]Sell in ko tính KDT'!W143</f>
        <v>0</v>
      </c>
      <c r="AA144" s="17">
        <v>0</v>
      </c>
      <c r="AB144" s="17">
        <f t="shared" si="96"/>
        <v>120</v>
      </c>
      <c r="AC144" s="17">
        <f>+'[1]Sell in ko tính KDT'!Y143</f>
        <v>103</v>
      </c>
      <c r="AD144" s="17">
        <f>+'[1]Sell in ko tính KDT'!Z143</f>
        <v>10</v>
      </c>
      <c r="AE144" s="17">
        <f>+'[1]Sell in ko tính KDT'!AA143</f>
        <v>0</v>
      </c>
      <c r="AF144" s="17">
        <v>0</v>
      </c>
      <c r="AG144" s="17">
        <f t="shared" si="97"/>
        <v>113</v>
      </c>
      <c r="AH144" s="17">
        <f>+'[1]Sell in ko tính KDT'!AC143</f>
        <v>30</v>
      </c>
      <c r="AI144" s="17">
        <f>+'[1]Sell in ko tính KDT'!AD143</f>
        <v>10</v>
      </c>
      <c r="AJ144" s="17">
        <f>+'[1]Sell in ko tính KDT'!AE143</f>
        <v>0</v>
      </c>
      <c r="AK144" s="17">
        <v>0</v>
      </c>
      <c r="AL144" s="17">
        <f t="shared" si="98"/>
        <v>40</v>
      </c>
      <c r="AM144" s="17">
        <f>+'[1]Sell in ko tính KDT'!AG143</f>
        <v>50</v>
      </c>
      <c r="AN144" s="17">
        <f>+'[1]Sell in ko tính KDT'!AH143</f>
        <v>10</v>
      </c>
      <c r="AO144" s="17">
        <f>+'[1]Sell in ko tính KDT'!AI143</f>
        <v>0</v>
      </c>
      <c r="AP144" s="17">
        <v>0</v>
      </c>
      <c r="AQ144" s="17">
        <f t="shared" si="99"/>
        <v>60</v>
      </c>
      <c r="AR144" s="17">
        <f>+'[1]Sell in ko tính KDT'!AK143</f>
        <v>50</v>
      </c>
      <c r="AS144" s="17">
        <f>+'[1]Sell in ko tính KDT'!AL143</f>
        <v>10</v>
      </c>
      <c r="AT144" s="17">
        <f>+'[1]Sell in ko tính KDT'!AM143</f>
        <v>0</v>
      </c>
      <c r="AU144" s="17">
        <v>0</v>
      </c>
      <c r="AV144" s="17">
        <f t="shared" si="100"/>
        <v>60</v>
      </c>
      <c r="AW144" s="17">
        <f>+'[1]Sell in ko tính KDT'!AO143</f>
        <v>50</v>
      </c>
      <c r="AX144" s="17">
        <f>+'[1]Sell in ko tính KDT'!AP143</f>
        <v>10</v>
      </c>
      <c r="AY144" s="17">
        <f>+'[1]Sell in ko tính KDT'!AQ143</f>
        <v>0</v>
      </c>
      <c r="AZ144" s="17">
        <v>0</v>
      </c>
      <c r="BA144" s="17">
        <f t="shared" si="101"/>
        <v>60</v>
      </c>
      <c r="BB144" s="17">
        <f>+'[1]Sell in ko tính KDT'!AS143</f>
        <v>50</v>
      </c>
      <c r="BC144" s="17">
        <f>+'[1]Sell in ko tính KDT'!AT143</f>
        <v>10</v>
      </c>
      <c r="BD144" s="17">
        <f>+'[1]Sell in ko tính KDT'!AU143</f>
        <v>0</v>
      </c>
      <c r="BE144" s="17">
        <v>0</v>
      </c>
      <c r="BF144" s="17">
        <f t="shared" si="102"/>
        <v>60</v>
      </c>
      <c r="BG144" s="17">
        <f>+'[1]Sell in ko tính KDT'!AW143</f>
        <v>50</v>
      </c>
      <c r="BH144" s="17">
        <f>+'[1]Sell in ko tính KDT'!AX143</f>
        <v>10</v>
      </c>
      <c r="BI144" s="17">
        <f>+'[1]Sell in ko tính KDT'!AY143</f>
        <v>0</v>
      </c>
      <c r="BJ144" s="17">
        <v>0</v>
      </c>
      <c r="BK144" s="17">
        <f t="shared" si="103"/>
        <v>60</v>
      </c>
      <c r="BL144" s="17">
        <f>+'[1]Sell in ko tính KDT'!BA143</f>
        <v>50</v>
      </c>
      <c r="BM144" s="17">
        <f>+'[1]Sell in ko tính KDT'!BB143</f>
        <v>10</v>
      </c>
      <c r="BN144" s="17">
        <f>+'[1]Sell in ko tính KDT'!BC143</f>
        <v>0</v>
      </c>
      <c r="BO144" s="17">
        <v>0</v>
      </c>
      <c r="BP144" s="17">
        <f t="shared" si="90"/>
        <v>60</v>
      </c>
      <c r="BQ144" s="17">
        <f t="shared" si="104"/>
        <v>851</v>
      </c>
      <c r="BR144" s="17">
        <f t="shared" si="104"/>
        <v>84</v>
      </c>
      <c r="BS144" s="17">
        <f t="shared" si="104"/>
        <v>0</v>
      </c>
      <c r="BT144" s="17">
        <f t="shared" si="104"/>
        <v>0</v>
      </c>
      <c r="BU144" s="17">
        <f t="shared" si="46"/>
        <v>935</v>
      </c>
    </row>
    <row r="145" spans="1:73" s="46" customFormat="1" ht="21" hidden="1" customHeight="1" outlineLevel="1">
      <c r="A145" s="17" t="s">
        <v>352</v>
      </c>
      <c r="B145" s="17" t="s">
        <v>379</v>
      </c>
      <c r="C145" s="45" t="s">
        <v>393</v>
      </c>
      <c r="D145" s="51">
        <v>0</v>
      </c>
      <c r="E145" s="50" t="s">
        <v>385</v>
      </c>
      <c r="F145" s="39" t="s">
        <v>394</v>
      </c>
      <c r="G145" s="45" t="s">
        <v>395</v>
      </c>
      <c r="H145" s="45" t="s">
        <v>357</v>
      </c>
      <c r="I145" s="17">
        <f>+'[1]Sell in ko tính KDT'!I144</f>
        <v>40</v>
      </c>
      <c r="J145" s="17">
        <f>+'[1]Sell in ko tính KDT'!J144</f>
        <v>0</v>
      </c>
      <c r="K145" s="17">
        <f>+'[1]Sell in ko tính KDT'!K144</f>
        <v>0</v>
      </c>
      <c r="L145" s="17">
        <v>0</v>
      </c>
      <c r="M145" s="17">
        <f t="shared" si="93"/>
        <v>40</v>
      </c>
      <c r="N145" s="17">
        <f>+'[1]Sell in ko tính KDT'!M144</f>
        <v>40</v>
      </c>
      <c r="O145" s="17">
        <f>+'[1]Sell in ko tính KDT'!N144</f>
        <v>0</v>
      </c>
      <c r="P145" s="17">
        <f>+'[1]Sell in ko tính KDT'!O144</f>
        <v>0</v>
      </c>
      <c r="Q145" s="17">
        <v>0</v>
      </c>
      <c r="R145" s="17">
        <f t="shared" si="94"/>
        <v>40</v>
      </c>
      <c r="S145" s="17">
        <f>+'[1]Sell in ko tính KDT'!Q144</f>
        <v>50</v>
      </c>
      <c r="T145" s="17">
        <f>+'[1]Sell in ko tính KDT'!R144</f>
        <v>0</v>
      </c>
      <c r="U145" s="17">
        <f>+'[1]Sell in ko tính KDT'!S144</f>
        <v>0</v>
      </c>
      <c r="V145" s="17">
        <v>0</v>
      </c>
      <c r="W145" s="17">
        <f t="shared" si="95"/>
        <v>50</v>
      </c>
      <c r="X145" s="17">
        <f>+'[1]Sell in ko tính KDT'!U144</f>
        <v>41</v>
      </c>
      <c r="Y145" s="17">
        <f>+'[1]Sell in ko tính KDT'!V144</f>
        <v>0</v>
      </c>
      <c r="Z145" s="17">
        <f>+'[1]Sell in ko tính KDT'!W144</f>
        <v>0</v>
      </c>
      <c r="AA145" s="17">
        <v>0</v>
      </c>
      <c r="AB145" s="17">
        <f t="shared" si="96"/>
        <v>41</v>
      </c>
      <c r="AC145" s="17">
        <f>+'[1]Sell in ko tính KDT'!Y144</f>
        <v>40</v>
      </c>
      <c r="AD145" s="17">
        <f>+'[1]Sell in ko tính KDT'!Z144</f>
        <v>0</v>
      </c>
      <c r="AE145" s="17">
        <f>+'[1]Sell in ko tính KDT'!AA144</f>
        <v>0</v>
      </c>
      <c r="AF145" s="17">
        <v>0</v>
      </c>
      <c r="AG145" s="17">
        <f t="shared" si="97"/>
        <v>40</v>
      </c>
      <c r="AH145" s="17">
        <f>+'[1]Sell in ko tính KDT'!AC144</f>
        <v>30</v>
      </c>
      <c r="AI145" s="17">
        <f>+'[1]Sell in ko tính KDT'!AD144</f>
        <v>10</v>
      </c>
      <c r="AJ145" s="17">
        <f>+'[1]Sell in ko tính KDT'!AE144</f>
        <v>0</v>
      </c>
      <c r="AK145" s="17">
        <v>0</v>
      </c>
      <c r="AL145" s="17">
        <f t="shared" si="98"/>
        <v>40</v>
      </c>
      <c r="AM145" s="17">
        <f>+'[1]Sell in ko tính KDT'!AG144</f>
        <v>30</v>
      </c>
      <c r="AN145" s="17">
        <f>+'[1]Sell in ko tính KDT'!AH144</f>
        <v>10</v>
      </c>
      <c r="AO145" s="17">
        <f>+'[1]Sell in ko tính KDT'!AI144</f>
        <v>0</v>
      </c>
      <c r="AP145" s="17">
        <v>0</v>
      </c>
      <c r="AQ145" s="17">
        <f t="shared" si="99"/>
        <v>40</v>
      </c>
      <c r="AR145" s="17">
        <f>+'[1]Sell in ko tính KDT'!AK144</f>
        <v>30</v>
      </c>
      <c r="AS145" s="17">
        <f>+'[1]Sell in ko tính KDT'!AL144</f>
        <v>10</v>
      </c>
      <c r="AT145" s="17">
        <f>+'[1]Sell in ko tính KDT'!AM144</f>
        <v>0</v>
      </c>
      <c r="AU145" s="17">
        <v>0</v>
      </c>
      <c r="AV145" s="17">
        <f t="shared" si="100"/>
        <v>40</v>
      </c>
      <c r="AW145" s="17">
        <f>+'[1]Sell in ko tính KDT'!AO144</f>
        <v>30</v>
      </c>
      <c r="AX145" s="17">
        <f>+'[1]Sell in ko tính KDT'!AP144</f>
        <v>10</v>
      </c>
      <c r="AY145" s="17">
        <f>+'[1]Sell in ko tính KDT'!AQ144</f>
        <v>0</v>
      </c>
      <c r="AZ145" s="17">
        <v>0</v>
      </c>
      <c r="BA145" s="17">
        <f t="shared" si="101"/>
        <v>40</v>
      </c>
      <c r="BB145" s="17">
        <f>+'[1]Sell in ko tính KDT'!AS144</f>
        <v>30</v>
      </c>
      <c r="BC145" s="17">
        <f>+'[1]Sell in ko tính KDT'!AT144</f>
        <v>10</v>
      </c>
      <c r="BD145" s="17">
        <f>+'[1]Sell in ko tính KDT'!AU144</f>
        <v>0</v>
      </c>
      <c r="BE145" s="17">
        <v>0</v>
      </c>
      <c r="BF145" s="17">
        <f t="shared" si="102"/>
        <v>40</v>
      </c>
      <c r="BG145" s="17">
        <f>+'[1]Sell in ko tính KDT'!AW144</f>
        <v>30</v>
      </c>
      <c r="BH145" s="17">
        <f>+'[1]Sell in ko tính KDT'!AX144</f>
        <v>10</v>
      </c>
      <c r="BI145" s="17">
        <f>+'[1]Sell in ko tính KDT'!AY144</f>
        <v>0</v>
      </c>
      <c r="BJ145" s="17">
        <v>0</v>
      </c>
      <c r="BK145" s="17">
        <f t="shared" si="103"/>
        <v>40</v>
      </c>
      <c r="BL145" s="17">
        <f>+'[1]Sell in ko tính KDT'!BA144</f>
        <v>30</v>
      </c>
      <c r="BM145" s="17">
        <f>+'[1]Sell in ko tính KDT'!BB144</f>
        <v>10</v>
      </c>
      <c r="BN145" s="17">
        <f>+'[1]Sell in ko tính KDT'!BC144</f>
        <v>0</v>
      </c>
      <c r="BO145" s="17">
        <v>0</v>
      </c>
      <c r="BP145" s="17">
        <f t="shared" si="90"/>
        <v>40</v>
      </c>
      <c r="BQ145" s="17">
        <f t="shared" si="104"/>
        <v>421</v>
      </c>
      <c r="BR145" s="17">
        <f t="shared" si="104"/>
        <v>70</v>
      </c>
      <c r="BS145" s="17">
        <f t="shared" si="104"/>
        <v>0</v>
      </c>
      <c r="BT145" s="17">
        <f t="shared" si="104"/>
        <v>0</v>
      </c>
      <c r="BU145" s="17">
        <f t="shared" ref="BU145:BU195" si="105">BQ145+BR145+BT145+BS145</f>
        <v>491</v>
      </c>
    </row>
    <row r="146" spans="1:73" s="46" customFormat="1" ht="21" hidden="1" customHeight="1" outlineLevel="1">
      <c r="A146" s="17" t="s">
        <v>352</v>
      </c>
      <c r="B146" s="17" t="s">
        <v>379</v>
      </c>
      <c r="C146" s="45" t="s">
        <v>396</v>
      </c>
      <c r="D146" s="51">
        <v>0</v>
      </c>
      <c r="E146" s="52" t="s">
        <v>397</v>
      </c>
      <c r="F146" s="39" t="s">
        <v>398</v>
      </c>
      <c r="G146" s="45" t="s">
        <v>399</v>
      </c>
      <c r="H146" s="45" t="s">
        <v>357</v>
      </c>
      <c r="I146" s="17">
        <f>+'[1]Sell in ko tính KDT'!I145</f>
        <v>8</v>
      </c>
      <c r="J146" s="17">
        <f>+'[1]Sell in ko tính KDT'!J145</f>
        <v>32</v>
      </c>
      <c r="K146" s="17">
        <f>+'[1]Sell in ko tính KDT'!K145</f>
        <v>0</v>
      </c>
      <c r="L146" s="17">
        <v>0</v>
      </c>
      <c r="M146" s="17">
        <f t="shared" si="93"/>
        <v>40</v>
      </c>
      <c r="N146" s="17">
        <f>+'[1]Sell in ko tính KDT'!M145</f>
        <v>8</v>
      </c>
      <c r="O146" s="17">
        <f>+'[1]Sell in ko tính KDT'!N145</f>
        <v>32</v>
      </c>
      <c r="P146" s="17">
        <f>+'[1]Sell in ko tính KDT'!O145</f>
        <v>0</v>
      </c>
      <c r="Q146" s="17">
        <v>0</v>
      </c>
      <c r="R146" s="17">
        <f t="shared" si="94"/>
        <v>40</v>
      </c>
      <c r="S146" s="17">
        <f>+'[1]Sell in ko tính KDT'!Q145</f>
        <v>22</v>
      </c>
      <c r="T146" s="17">
        <f>+'[1]Sell in ko tính KDT'!R145</f>
        <v>28</v>
      </c>
      <c r="U146" s="17">
        <f>+'[1]Sell in ko tính KDT'!S145</f>
        <v>0</v>
      </c>
      <c r="V146" s="17">
        <v>0</v>
      </c>
      <c r="W146" s="17">
        <f t="shared" si="95"/>
        <v>50</v>
      </c>
      <c r="X146" s="17">
        <f>+'[1]Sell in ko tính KDT'!U145</f>
        <v>12</v>
      </c>
      <c r="Y146" s="17">
        <f>+'[1]Sell in ko tính KDT'!V145</f>
        <v>28</v>
      </c>
      <c r="Z146" s="17">
        <f>+'[1]Sell in ko tính KDT'!W145</f>
        <v>0</v>
      </c>
      <c r="AA146" s="17">
        <v>0</v>
      </c>
      <c r="AB146" s="17">
        <f t="shared" si="96"/>
        <v>40</v>
      </c>
      <c r="AC146" s="17">
        <f>+'[1]Sell in ko tính KDT'!Y145</f>
        <v>18.25</v>
      </c>
      <c r="AD146" s="17">
        <f>+'[1]Sell in ko tính KDT'!Z145</f>
        <v>22.4</v>
      </c>
      <c r="AE146" s="17">
        <f>+'[1]Sell in ko tính KDT'!AA145</f>
        <v>0</v>
      </c>
      <c r="AF146" s="17">
        <v>0</v>
      </c>
      <c r="AG146" s="17">
        <f t="shared" si="97"/>
        <v>40.65</v>
      </c>
      <c r="AH146" s="17">
        <f>+'[1]Sell in ko tính KDT'!AC145</f>
        <v>50</v>
      </c>
      <c r="AI146" s="17">
        <f>+'[1]Sell in ko tính KDT'!AD145</f>
        <v>10</v>
      </c>
      <c r="AJ146" s="17">
        <f>+'[1]Sell in ko tính KDT'!AE145</f>
        <v>0</v>
      </c>
      <c r="AK146" s="17">
        <v>0</v>
      </c>
      <c r="AL146" s="17">
        <f t="shared" si="98"/>
        <v>60</v>
      </c>
      <c r="AM146" s="17">
        <f>+'[1]Sell in ko tính KDT'!AG145</f>
        <v>50</v>
      </c>
      <c r="AN146" s="17">
        <f>+'[1]Sell in ko tính KDT'!AH145</f>
        <v>10</v>
      </c>
      <c r="AO146" s="17">
        <f>+'[1]Sell in ko tính KDT'!AI145</f>
        <v>0</v>
      </c>
      <c r="AP146" s="17">
        <v>0</v>
      </c>
      <c r="AQ146" s="17">
        <f t="shared" si="99"/>
        <v>60</v>
      </c>
      <c r="AR146" s="17">
        <f>+'[1]Sell in ko tính KDT'!AK145</f>
        <v>50</v>
      </c>
      <c r="AS146" s="17">
        <f>+'[1]Sell in ko tính KDT'!AL145</f>
        <v>10</v>
      </c>
      <c r="AT146" s="17">
        <f>+'[1]Sell in ko tính KDT'!AM145</f>
        <v>0</v>
      </c>
      <c r="AU146" s="17">
        <v>0</v>
      </c>
      <c r="AV146" s="17">
        <f t="shared" si="100"/>
        <v>60</v>
      </c>
      <c r="AW146" s="17">
        <f>+'[1]Sell in ko tính KDT'!AO145</f>
        <v>50</v>
      </c>
      <c r="AX146" s="17">
        <f>+'[1]Sell in ko tính KDT'!AP145</f>
        <v>10</v>
      </c>
      <c r="AY146" s="17">
        <f>+'[1]Sell in ko tính KDT'!AQ145</f>
        <v>0</v>
      </c>
      <c r="AZ146" s="17">
        <v>0</v>
      </c>
      <c r="BA146" s="17">
        <f t="shared" si="101"/>
        <v>60</v>
      </c>
      <c r="BB146" s="17">
        <f>+'[1]Sell in ko tính KDT'!AS145</f>
        <v>50</v>
      </c>
      <c r="BC146" s="17">
        <f>+'[1]Sell in ko tính KDT'!AT145</f>
        <v>10</v>
      </c>
      <c r="BD146" s="17">
        <f>+'[1]Sell in ko tính KDT'!AU145</f>
        <v>0</v>
      </c>
      <c r="BE146" s="17">
        <v>0</v>
      </c>
      <c r="BF146" s="17">
        <f t="shared" si="102"/>
        <v>60</v>
      </c>
      <c r="BG146" s="17">
        <f>+'[1]Sell in ko tính KDT'!AW145</f>
        <v>50</v>
      </c>
      <c r="BH146" s="17">
        <f>+'[1]Sell in ko tính KDT'!AX145</f>
        <v>10</v>
      </c>
      <c r="BI146" s="17">
        <f>+'[1]Sell in ko tính KDT'!AY145</f>
        <v>0</v>
      </c>
      <c r="BJ146" s="17">
        <v>0</v>
      </c>
      <c r="BK146" s="17">
        <f t="shared" si="103"/>
        <v>60</v>
      </c>
      <c r="BL146" s="17">
        <f>+'[1]Sell in ko tính KDT'!BA145</f>
        <v>50</v>
      </c>
      <c r="BM146" s="17">
        <f>+'[1]Sell in ko tính KDT'!BB145</f>
        <v>10</v>
      </c>
      <c r="BN146" s="17">
        <f>+'[1]Sell in ko tính KDT'!BC145</f>
        <v>0</v>
      </c>
      <c r="BO146" s="17">
        <v>0</v>
      </c>
      <c r="BP146" s="17">
        <f t="shared" si="90"/>
        <v>60</v>
      </c>
      <c r="BQ146" s="17">
        <f t="shared" si="104"/>
        <v>418.25</v>
      </c>
      <c r="BR146" s="17">
        <f t="shared" si="104"/>
        <v>212.4</v>
      </c>
      <c r="BS146" s="17">
        <f t="shared" si="104"/>
        <v>0</v>
      </c>
      <c r="BT146" s="17">
        <f t="shared" si="104"/>
        <v>0</v>
      </c>
      <c r="BU146" s="17">
        <f t="shared" si="105"/>
        <v>630.65</v>
      </c>
    </row>
    <row r="147" spans="1:73" s="46" customFormat="1" ht="21" hidden="1" customHeight="1" outlineLevel="1">
      <c r="A147" s="17" t="s">
        <v>352</v>
      </c>
      <c r="B147" s="17" t="s">
        <v>379</v>
      </c>
      <c r="C147" s="45" t="s">
        <v>400</v>
      </c>
      <c r="D147" s="51">
        <v>0</v>
      </c>
      <c r="E147" s="52" t="s">
        <v>397</v>
      </c>
      <c r="F147" s="31" t="s">
        <v>401</v>
      </c>
      <c r="G147" s="45" t="s">
        <v>402</v>
      </c>
      <c r="H147" s="45" t="s">
        <v>357</v>
      </c>
      <c r="I147" s="17">
        <f>+'[1]Sell in ko tính KDT'!I146</f>
        <v>31.1</v>
      </c>
      <c r="J147" s="17">
        <f>+'[1]Sell in ko tính KDT'!J146</f>
        <v>33.9</v>
      </c>
      <c r="K147" s="17">
        <f>+'[1]Sell in ko tính KDT'!K146</f>
        <v>0</v>
      </c>
      <c r="L147" s="17">
        <v>0</v>
      </c>
      <c r="M147" s="17">
        <f t="shared" si="93"/>
        <v>65</v>
      </c>
      <c r="N147" s="17">
        <f>+'[1]Sell in ko tính KDT'!M146</f>
        <v>56.099999999999994</v>
      </c>
      <c r="O147" s="17">
        <f>+'[1]Sell in ko tính KDT'!N146</f>
        <v>23.9</v>
      </c>
      <c r="P147" s="17">
        <f>+'[1]Sell in ko tính KDT'!O146</f>
        <v>0</v>
      </c>
      <c r="Q147" s="17">
        <v>0</v>
      </c>
      <c r="R147" s="17">
        <f t="shared" si="94"/>
        <v>80</v>
      </c>
      <c r="S147" s="17">
        <f>+'[1]Sell in ko tính KDT'!Q146</f>
        <v>88.9</v>
      </c>
      <c r="T147" s="17">
        <f>+'[1]Sell in ko tính KDT'!R146</f>
        <v>31.1</v>
      </c>
      <c r="U147" s="17">
        <f>+'[1]Sell in ko tính KDT'!S146</f>
        <v>0</v>
      </c>
      <c r="V147" s="17">
        <v>0</v>
      </c>
      <c r="W147" s="17">
        <f t="shared" si="95"/>
        <v>120</v>
      </c>
      <c r="X147" s="17">
        <f>+'[1]Sell in ko tính KDT'!U146</f>
        <v>108.9</v>
      </c>
      <c r="Y147" s="17">
        <f>+'[1]Sell in ko tính KDT'!V146</f>
        <v>31.1</v>
      </c>
      <c r="Z147" s="17">
        <f>+'[1]Sell in ko tính KDT'!W146</f>
        <v>0</v>
      </c>
      <c r="AA147" s="17">
        <v>0</v>
      </c>
      <c r="AB147" s="17">
        <f t="shared" si="96"/>
        <v>140</v>
      </c>
      <c r="AC147" s="17">
        <f>+'[1]Sell in ko tính KDT'!Y146</f>
        <v>162</v>
      </c>
      <c r="AD147" s="17">
        <f>+'[1]Sell in ko tính KDT'!Z146</f>
        <v>13</v>
      </c>
      <c r="AE147" s="17">
        <f>+'[1]Sell in ko tính KDT'!AA146</f>
        <v>0</v>
      </c>
      <c r="AF147" s="17">
        <v>0</v>
      </c>
      <c r="AG147" s="17">
        <f t="shared" si="97"/>
        <v>175</v>
      </c>
      <c r="AH147" s="17">
        <f>+'[1]Sell in ko tính KDT'!AC146</f>
        <v>60</v>
      </c>
      <c r="AI147" s="17">
        <f>+'[1]Sell in ko tính KDT'!AD146</f>
        <v>20</v>
      </c>
      <c r="AJ147" s="17">
        <f>+'[1]Sell in ko tính KDT'!AE146</f>
        <v>0</v>
      </c>
      <c r="AK147" s="17">
        <v>0</v>
      </c>
      <c r="AL147" s="17">
        <f t="shared" si="98"/>
        <v>80</v>
      </c>
      <c r="AM147" s="17">
        <f>+'[1]Sell in ko tính KDT'!AG146</f>
        <v>60</v>
      </c>
      <c r="AN147" s="17">
        <f>+'[1]Sell in ko tính KDT'!AH146</f>
        <v>20</v>
      </c>
      <c r="AO147" s="17">
        <f>+'[1]Sell in ko tính KDT'!AI146</f>
        <v>0</v>
      </c>
      <c r="AP147" s="17">
        <v>0</v>
      </c>
      <c r="AQ147" s="17">
        <f t="shared" si="99"/>
        <v>80</v>
      </c>
      <c r="AR147" s="17">
        <f>+'[1]Sell in ko tính KDT'!AK146</f>
        <v>60</v>
      </c>
      <c r="AS147" s="17">
        <f>+'[1]Sell in ko tính KDT'!AL146</f>
        <v>20</v>
      </c>
      <c r="AT147" s="17">
        <f>+'[1]Sell in ko tính KDT'!AM146</f>
        <v>0</v>
      </c>
      <c r="AU147" s="17">
        <v>0</v>
      </c>
      <c r="AV147" s="17">
        <f t="shared" si="100"/>
        <v>80</v>
      </c>
      <c r="AW147" s="17">
        <f>+'[1]Sell in ko tính KDT'!AO146</f>
        <v>60</v>
      </c>
      <c r="AX147" s="17">
        <f>+'[1]Sell in ko tính KDT'!AP146</f>
        <v>20</v>
      </c>
      <c r="AY147" s="17">
        <f>+'[1]Sell in ko tính KDT'!AQ146</f>
        <v>0</v>
      </c>
      <c r="AZ147" s="17">
        <v>0</v>
      </c>
      <c r="BA147" s="17">
        <f t="shared" si="101"/>
        <v>80</v>
      </c>
      <c r="BB147" s="17">
        <f>+'[1]Sell in ko tính KDT'!AS146</f>
        <v>60</v>
      </c>
      <c r="BC147" s="17">
        <f>+'[1]Sell in ko tính KDT'!AT146</f>
        <v>20</v>
      </c>
      <c r="BD147" s="17">
        <f>+'[1]Sell in ko tính KDT'!AU146</f>
        <v>0</v>
      </c>
      <c r="BE147" s="17">
        <v>0</v>
      </c>
      <c r="BF147" s="17">
        <f t="shared" si="102"/>
        <v>80</v>
      </c>
      <c r="BG147" s="17">
        <f>+'[1]Sell in ko tính KDT'!AW146</f>
        <v>60</v>
      </c>
      <c r="BH147" s="17">
        <f>+'[1]Sell in ko tính KDT'!AX146</f>
        <v>20</v>
      </c>
      <c r="BI147" s="17">
        <f>+'[1]Sell in ko tính KDT'!AY146</f>
        <v>0</v>
      </c>
      <c r="BJ147" s="17">
        <v>0</v>
      </c>
      <c r="BK147" s="17">
        <f t="shared" si="103"/>
        <v>80</v>
      </c>
      <c r="BL147" s="17">
        <f>+'[1]Sell in ko tính KDT'!BA146</f>
        <v>60</v>
      </c>
      <c r="BM147" s="17">
        <f>+'[1]Sell in ko tính KDT'!BB146</f>
        <v>20</v>
      </c>
      <c r="BN147" s="17">
        <f>+'[1]Sell in ko tính KDT'!BC146</f>
        <v>0</v>
      </c>
      <c r="BO147" s="17">
        <v>0</v>
      </c>
      <c r="BP147" s="17">
        <f t="shared" si="90"/>
        <v>80</v>
      </c>
      <c r="BQ147" s="17">
        <f t="shared" si="104"/>
        <v>867</v>
      </c>
      <c r="BR147" s="17">
        <f t="shared" si="104"/>
        <v>273</v>
      </c>
      <c r="BS147" s="17">
        <f t="shared" si="104"/>
        <v>0</v>
      </c>
      <c r="BT147" s="17">
        <f t="shared" si="104"/>
        <v>0</v>
      </c>
      <c r="BU147" s="17">
        <f t="shared" si="105"/>
        <v>1140</v>
      </c>
    </row>
    <row r="148" spans="1:73" s="46" customFormat="1" ht="21" hidden="1" customHeight="1" outlineLevel="1">
      <c r="A148" s="17" t="s">
        <v>352</v>
      </c>
      <c r="B148" s="17" t="s">
        <v>379</v>
      </c>
      <c r="C148" s="45" t="s">
        <v>403</v>
      </c>
      <c r="D148" s="39"/>
      <c r="E148" s="53" t="s">
        <v>404</v>
      </c>
      <c r="F148" s="31" t="s">
        <v>405</v>
      </c>
      <c r="G148" s="54" t="s">
        <v>406</v>
      </c>
      <c r="H148" s="54" t="s">
        <v>45</v>
      </c>
      <c r="I148" s="17">
        <f>+'[1]Sell in ko tính KDT'!I147</f>
        <v>215</v>
      </c>
      <c r="J148" s="17">
        <f>+'[1]Sell in ko tính KDT'!J147</f>
        <v>15</v>
      </c>
      <c r="K148" s="17">
        <f>+'[1]Sell in ko tính KDT'!K147</f>
        <v>0</v>
      </c>
      <c r="L148" s="17">
        <v>0</v>
      </c>
      <c r="M148" s="17">
        <f t="shared" si="93"/>
        <v>230</v>
      </c>
      <c r="N148" s="17">
        <f>+'[1]Sell in ko tính KDT'!M147</f>
        <v>177.5</v>
      </c>
      <c r="O148" s="17">
        <f>+'[1]Sell in ko tính KDT'!N147</f>
        <v>45</v>
      </c>
      <c r="P148" s="17">
        <f>+'[1]Sell in ko tính KDT'!O147</f>
        <v>0</v>
      </c>
      <c r="Q148" s="17">
        <v>0</v>
      </c>
      <c r="R148" s="17">
        <f t="shared" si="94"/>
        <v>222.5</v>
      </c>
      <c r="S148" s="17">
        <f>+'[1]Sell in ko tính KDT'!Q147</f>
        <v>177.5</v>
      </c>
      <c r="T148" s="17">
        <f>+'[1]Sell in ko tính KDT'!R147</f>
        <v>45</v>
      </c>
      <c r="U148" s="17">
        <f>+'[1]Sell in ko tính KDT'!S147</f>
        <v>0</v>
      </c>
      <c r="V148" s="17">
        <v>0</v>
      </c>
      <c r="W148" s="17">
        <f t="shared" si="95"/>
        <v>222.5</v>
      </c>
      <c r="X148" s="17">
        <f>+'[1]Sell in ko tính KDT'!U147</f>
        <v>177.5</v>
      </c>
      <c r="Y148" s="17">
        <f>+'[1]Sell in ko tính KDT'!V147</f>
        <v>45</v>
      </c>
      <c r="Z148" s="17">
        <f>+'[1]Sell in ko tính KDT'!W147</f>
        <v>0</v>
      </c>
      <c r="AA148" s="17">
        <v>0</v>
      </c>
      <c r="AB148" s="17">
        <f t="shared" si="96"/>
        <v>222.5</v>
      </c>
      <c r="AC148" s="17">
        <f>+'[1]Sell in ko tính KDT'!Y147</f>
        <v>109</v>
      </c>
      <c r="AD148" s="17">
        <f>+'[1]Sell in ko tính KDT'!Z147</f>
        <v>45</v>
      </c>
      <c r="AE148" s="17">
        <f>+'[1]Sell in ko tính KDT'!AA147</f>
        <v>0</v>
      </c>
      <c r="AF148" s="17">
        <v>0</v>
      </c>
      <c r="AG148" s="17">
        <f t="shared" si="97"/>
        <v>154</v>
      </c>
      <c r="AH148" s="17">
        <f>+'[1]Sell in ko tính KDT'!AC147</f>
        <v>100</v>
      </c>
      <c r="AI148" s="17">
        <f>+'[1]Sell in ko tính KDT'!AD147</f>
        <v>44</v>
      </c>
      <c r="AJ148" s="17">
        <f>+'[1]Sell in ko tính KDT'!AE147</f>
        <v>0</v>
      </c>
      <c r="AK148" s="17">
        <v>0</v>
      </c>
      <c r="AL148" s="17">
        <f t="shared" si="98"/>
        <v>144</v>
      </c>
      <c r="AM148" s="17">
        <f>+'[1]Sell in ko tính KDT'!AG147</f>
        <v>100</v>
      </c>
      <c r="AN148" s="17">
        <f>+'[1]Sell in ko tính KDT'!AH147</f>
        <v>50</v>
      </c>
      <c r="AO148" s="17">
        <f>+'[1]Sell in ko tính KDT'!AI147</f>
        <v>0</v>
      </c>
      <c r="AP148" s="17">
        <v>0</v>
      </c>
      <c r="AQ148" s="17">
        <f t="shared" si="99"/>
        <v>150</v>
      </c>
      <c r="AR148" s="17">
        <f>+'[1]Sell in ko tính KDT'!AK147</f>
        <v>100</v>
      </c>
      <c r="AS148" s="17">
        <f>+'[1]Sell in ko tính KDT'!AL147</f>
        <v>50</v>
      </c>
      <c r="AT148" s="17">
        <f>+'[1]Sell in ko tính KDT'!AM147</f>
        <v>0</v>
      </c>
      <c r="AU148" s="17">
        <v>0</v>
      </c>
      <c r="AV148" s="17">
        <f t="shared" si="100"/>
        <v>150</v>
      </c>
      <c r="AW148" s="17">
        <f>+'[1]Sell in ko tính KDT'!AO147</f>
        <v>100</v>
      </c>
      <c r="AX148" s="17">
        <f>+'[1]Sell in ko tính KDT'!AP147</f>
        <v>50</v>
      </c>
      <c r="AY148" s="17">
        <f>+'[1]Sell in ko tính KDT'!AQ147</f>
        <v>0</v>
      </c>
      <c r="AZ148" s="17">
        <v>0</v>
      </c>
      <c r="BA148" s="17">
        <f t="shared" si="101"/>
        <v>150</v>
      </c>
      <c r="BB148" s="17">
        <f>+'[1]Sell in ko tính KDT'!AS147</f>
        <v>100</v>
      </c>
      <c r="BC148" s="17">
        <f>+'[1]Sell in ko tính KDT'!AT147</f>
        <v>50</v>
      </c>
      <c r="BD148" s="17">
        <f>+'[1]Sell in ko tính KDT'!AU147</f>
        <v>0</v>
      </c>
      <c r="BE148" s="17">
        <v>0</v>
      </c>
      <c r="BF148" s="17">
        <f t="shared" si="102"/>
        <v>150</v>
      </c>
      <c r="BG148" s="17">
        <f>+'[1]Sell in ko tính KDT'!AW147</f>
        <v>100</v>
      </c>
      <c r="BH148" s="17">
        <f>+'[1]Sell in ko tính KDT'!AX147</f>
        <v>50</v>
      </c>
      <c r="BI148" s="17">
        <f>+'[1]Sell in ko tính KDT'!AY147</f>
        <v>0</v>
      </c>
      <c r="BJ148" s="17">
        <v>0</v>
      </c>
      <c r="BK148" s="17">
        <f t="shared" si="103"/>
        <v>150</v>
      </c>
      <c r="BL148" s="17">
        <f>+'[1]Sell in ko tính KDT'!BA147</f>
        <v>100</v>
      </c>
      <c r="BM148" s="17">
        <f>+'[1]Sell in ko tính KDT'!BB147</f>
        <v>50</v>
      </c>
      <c r="BN148" s="17">
        <f>+'[1]Sell in ko tính KDT'!BC147</f>
        <v>0</v>
      </c>
      <c r="BO148" s="17">
        <v>0</v>
      </c>
      <c r="BP148" s="17">
        <f t="shared" si="90"/>
        <v>150</v>
      </c>
      <c r="BQ148" s="17">
        <f t="shared" si="104"/>
        <v>1556.5</v>
      </c>
      <c r="BR148" s="17">
        <f t="shared" si="104"/>
        <v>539</v>
      </c>
      <c r="BS148" s="17">
        <f t="shared" si="104"/>
        <v>0</v>
      </c>
      <c r="BT148" s="17">
        <f t="shared" si="104"/>
        <v>0</v>
      </c>
      <c r="BU148" s="17">
        <f t="shared" si="105"/>
        <v>2095.5</v>
      </c>
    </row>
    <row r="149" spans="1:73" s="46" customFormat="1" ht="21" hidden="1" customHeight="1" outlineLevel="1">
      <c r="A149" s="17" t="s">
        <v>352</v>
      </c>
      <c r="B149" s="17" t="s">
        <v>379</v>
      </c>
      <c r="C149" s="45" t="s">
        <v>407</v>
      </c>
      <c r="D149" s="39"/>
      <c r="E149" s="51" t="s">
        <v>408</v>
      </c>
      <c r="F149" s="55"/>
      <c r="G149" s="45" t="s">
        <v>409</v>
      </c>
      <c r="H149" s="51" t="s">
        <v>357</v>
      </c>
      <c r="I149" s="17">
        <f>+'[1]Sell in ko tính KDT'!I148</f>
        <v>40</v>
      </c>
      <c r="J149" s="17">
        <f>+'[1]Sell in ko tính KDT'!J148</f>
        <v>0</v>
      </c>
      <c r="K149" s="17">
        <f>+'[1]Sell in ko tính KDT'!K148</f>
        <v>0</v>
      </c>
      <c r="L149" s="17">
        <v>0</v>
      </c>
      <c r="M149" s="17">
        <f t="shared" si="93"/>
        <v>40</v>
      </c>
      <c r="N149" s="17">
        <f>+'[1]Sell in ko tính KDT'!M148</f>
        <v>40</v>
      </c>
      <c r="O149" s="17">
        <f>+'[1]Sell in ko tính KDT'!N148</f>
        <v>0</v>
      </c>
      <c r="P149" s="17">
        <f>+'[1]Sell in ko tính KDT'!O148</f>
        <v>0</v>
      </c>
      <c r="Q149" s="17">
        <v>0</v>
      </c>
      <c r="R149" s="17">
        <f t="shared" si="94"/>
        <v>40</v>
      </c>
      <c r="S149" s="17">
        <f>+'[1]Sell in ko tính KDT'!Q148</f>
        <v>0</v>
      </c>
      <c r="T149" s="17">
        <f>+'[1]Sell in ko tính KDT'!R148</f>
        <v>0</v>
      </c>
      <c r="U149" s="17">
        <f>+'[1]Sell in ko tính KDT'!S148</f>
        <v>0</v>
      </c>
      <c r="V149" s="17">
        <v>0</v>
      </c>
      <c r="W149" s="17">
        <f t="shared" si="95"/>
        <v>0</v>
      </c>
      <c r="X149" s="17">
        <f>+'[1]Sell in ko tính KDT'!U148</f>
        <v>0</v>
      </c>
      <c r="Y149" s="17">
        <f>+'[1]Sell in ko tính KDT'!V148</f>
        <v>0</v>
      </c>
      <c r="Z149" s="17">
        <f>+'[1]Sell in ko tính KDT'!W148</f>
        <v>0</v>
      </c>
      <c r="AA149" s="17">
        <v>0</v>
      </c>
      <c r="AB149" s="17">
        <f t="shared" si="96"/>
        <v>0</v>
      </c>
      <c r="AC149" s="17">
        <f>+'[1]Sell in ko tính KDT'!Y148</f>
        <v>0</v>
      </c>
      <c r="AD149" s="17">
        <f>+'[1]Sell in ko tính KDT'!Z148</f>
        <v>0</v>
      </c>
      <c r="AE149" s="17">
        <f>+'[1]Sell in ko tính KDT'!AA148</f>
        <v>0</v>
      </c>
      <c r="AF149" s="17">
        <v>0</v>
      </c>
      <c r="AG149" s="17">
        <f t="shared" si="97"/>
        <v>0</v>
      </c>
      <c r="AH149" s="17">
        <f>+'[1]Sell in ko tính KDT'!AC148</f>
        <v>0</v>
      </c>
      <c r="AI149" s="17">
        <f>+'[1]Sell in ko tính KDT'!AD148</f>
        <v>0</v>
      </c>
      <c r="AJ149" s="17">
        <f>+'[1]Sell in ko tính KDT'!AE148</f>
        <v>0</v>
      </c>
      <c r="AK149" s="17">
        <v>0</v>
      </c>
      <c r="AL149" s="17">
        <f t="shared" si="98"/>
        <v>0</v>
      </c>
      <c r="AM149" s="17">
        <f>+'[1]Sell in ko tính KDT'!AG148</f>
        <v>30</v>
      </c>
      <c r="AN149" s="17">
        <f>+'[1]Sell in ko tính KDT'!AH148</f>
        <v>10</v>
      </c>
      <c r="AO149" s="17">
        <f>+'[1]Sell in ko tính KDT'!AI148</f>
        <v>0</v>
      </c>
      <c r="AP149" s="17">
        <v>0</v>
      </c>
      <c r="AQ149" s="17">
        <f t="shared" si="99"/>
        <v>40</v>
      </c>
      <c r="AR149" s="17">
        <f>+'[1]Sell in ko tính KDT'!AK148</f>
        <v>40</v>
      </c>
      <c r="AS149" s="17">
        <f>+'[1]Sell in ko tính KDT'!AL148</f>
        <v>20</v>
      </c>
      <c r="AT149" s="17">
        <f>+'[1]Sell in ko tính KDT'!AM148</f>
        <v>0</v>
      </c>
      <c r="AU149" s="17">
        <v>0</v>
      </c>
      <c r="AV149" s="17">
        <f t="shared" si="100"/>
        <v>60</v>
      </c>
      <c r="AW149" s="17">
        <f>+'[1]Sell in ko tính KDT'!AO148</f>
        <v>40</v>
      </c>
      <c r="AX149" s="17">
        <f>+'[1]Sell in ko tính KDT'!AP148</f>
        <v>20</v>
      </c>
      <c r="AY149" s="17">
        <f>+'[1]Sell in ko tính KDT'!AQ148</f>
        <v>0</v>
      </c>
      <c r="AZ149" s="17">
        <v>0</v>
      </c>
      <c r="BA149" s="17">
        <f t="shared" si="101"/>
        <v>60</v>
      </c>
      <c r="BB149" s="17">
        <f>+'[1]Sell in ko tính KDT'!AS148</f>
        <v>40</v>
      </c>
      <c r="BC149" s="17">
        <f>+'[1]Sell in ko tính KDT'!AT148</f>
        <v>20</v>
      </c>
      <c r="BD149" s="17">
        <f>+'[1]Sell in ko tính KDT'!AU148</f>
        <v>0</v>
      </c>
      <c r="BE149" s="17">
        <v>0</v>
      </c>
      <c r="BF149" s="17">
        <f t="shared" si="102"/>
        <v>60</v>
      </c>
      <c r="BG149" s="17">
        <f>+'[1]Sell in ko tính KDT'!AW148</f>
        <v>40</v>
      </c>
      <c r="BH149" s="17">
        <f>+'[1]Sell in ko tính KDT'!AX148</f>
        <v>20</v>
      </c>
      <c r="BI149" s="17">
        <f>+'[1]Sell in ko tính KDT'!AY148</f>
        <v>0</v>
      </c>
      <c r="BJ149" s="17">
        <v>0</v>
      </c>
      <c r="BK149" s="17">
        <f t="shared" si="103"/>
        <v>60</v>
      </c>
      <c r="BL149" s="17">
        <f>+'[1]Sell in ko tính KDT'!BA148</f>
        <v>40</v>
      </c>
      <c r="BM149" s="17">
        <f>+'[1]Sell in ko tính KDT'!BB148</f>
        <v>20</v>
      </c>
      <c r="BN149" s="17">
        <f>+'[1]Sell in ko tính KDT'!BC148</f>
        <v>0</v>
      </c>
      <c r="BO149" s="17">
        <v>0</v>
      </c>
      <c r="BP149" s="17">
        <f t="shared" si="90"/>
        <v>60</v>
      </c>
      <c r="BQ149" s="17">
        <f t="shared" si="104"/>
        <v>310</v>
      </c>
      <c r="BR149" s="17">
        <f t="shared" si="104"/>
        <v>110</v>
      </c>
      <c r="BS149" s="17">
        <f t="shared" si="104"/>
        <v>0</v>
      </c>
      <c r="BT149" s="17">
        <f t="shared" si="104"/>
        <v>0</v>
      </c>
      <c r="BU149" s="17">
        <f t="shared" si="105"/>
        <v>420</v>
      </c>
    </row>
    <row r="150" spans="1:73" s="46" customFormat="1" ht="21" hidden="1" customHeight="1" outlineLevel="1">
      <c r="A150" s="17" t="s">
        <v>352</v>
      </c>
      <c r="B150" s="17" t="s">
        <v>379</v>
      </c>
      <c r="C150" s="45" t="s">
        <v>410</v>
      </c>
      <c r="D150" s="39"/>
      <c r="E150" s="51" t="s">
        <v>408</v>
      </c>
      <c r="F150" s="31" t="s">
        <v>411</v>
      </c>
      <c r="G150" s="19" t="s">
        <v>412</v>
      </c>
      <c r="H150" s="51" t="s">
        <v>357</v>
      </c>
      <c r="I150" s="17">
        <f>+'[1]Sell in ko tính KDT'!I149</f>
        <v>40</v>
      </c>
      <c r="J150" s="17">
        <f>+'[1]Sell in ko tính KDT'!J149</f>
        <v>0</v>
      </c>
      <c r="K150" s="17">
        <f>+'[1]Sell in ko tính KDT'!K149</f>
        <v>0</v>
      </c>
      <c r="L150" s="17">
        <v>0</v>
      </c>
      <c r="M150" s="17">
        <f t="shared" si="93"/>
        <v>40</v>
      </c>
      <c r="N150" s="17">
        <f>+'[1]Sell in ko tính KDT'!M149</f>
        <v>40</v>
      </c>
      <c r="O150" s="17">
        <f>+'[1]Sell in ko tính KDT'!N149</f>
        <v>0</v>
      </c>
      <c r="P150" s="17">
        <f>+'[1]Sell in ko tính KDT'!O149</f>
        <v>0</v>
      </c>
      <c r="Q150" s="17">
        <v>0</v>
      </c>
      <c r="R150" s="17">
        <f t="shared" si="94"/>
        <v>40</v>
      </c>
      <c r="S150" s="17">
        <f>+'[1]Sell in ko tính KDT'!Q149</f>
        <v>40</v>
      </c>
      <c r="T150" s="17">
        <f>+'[1]Sell in ko tính KDT'!R149</f>
        <v>0</v>
      </c>
      <c r="U150" s="17">
        <f>+'[1]Sell in ko tính KDT'!S149</f>
        <v>0</v>
      </c>
      <c r="V150" s="17">
        <v>0</v>
      </c>
      <c r="W150" s="17">
        <f t="shared" si="95"/>
        <v>40</v>
      </c>
      <c r="X150" s="17">
        <f>+'[1]Sell in ko tính KDT'!U149</f>
        <v>45</v>
      </c>
      <c r="Y150" s="17">
        <f>+'[1]Sell in ko tính KDT'!V149</f>
        <v>0</v>
      </c>
      <c r="Z150" s="17">
        <f>+'[1]Sell in ko tính KDT'!W149</f>
        <v>0</v>
      </c>
      <c r="AA150" s="17">
        <v>0</v>
      </c>
      <c r="AB150" s="17">
        <f t="shared" si="96"/>
        <v>45</v>
      </c>
      <c r="AC150" s="17">
        <f>+'[1]Sell in ko tính KDT'!Y149</f>
        <v>45</v>
      </c>
      <c r="AD150" s="17">
        <f>+'[1]Sell in ko tính KDT'!Z149</f>
        <v>0</v>
      </c>
      <c r="AE150" s="17">
        <f>+'[1]Sell in ko tính KDT'!AA149</f>
        <v>0</v>
      </c>
      <c r="AF150" s="17">
        <v>0</v>
      </c>
      <c r="AG150" s="17">
        <f t="shared" si="97"/>
        <v>45</v>
      </c>
      <c r="AH150" s="17">
        <f>+'[1]Sell in ko tính KDT'!AC149</f>
        <v>0</v>
      </c>
      <c r="AI150" s="17">
        <f>+'[1]Sell in ko tính KDT'!AD149</f>
        <v>0</v>
      </c>
      <c r="AJ150" s="17">
        <f>+'[1]Sell in ko tính KDT'!AE149</f>
        <v>0</v>
      </c>
      <c r="AK150" s="17">
        <v>0</v>
      </c>
      <c r="AL150" s="17">
        <f t="shared" si="98"/>
        <v>0</v>
      </c>
      <c r="AM150" s="17">
        <f>+'[1]Sell in ko tính KDT'!AG149</f>
        <v>30</v>
      </c>
      <c r="AN150" s="17">
        <f>+'[1]Sell in ko tính KDT'!AH149</f>
        <v>10</v>
      </c>
      <c r="AO150" s="17">
        <f>+'[1]Sell in ko tính KDT'!AI149</f>
        <v>0</v>
      </c>
      <c r="AP150" s="17">
        <v>0</v>
      </c>
      <c r="AQ150" s="17">
        <f t="shared" si="99"/>
        <v>40</v>
      </c>
      <c r="AR150" s="17">
        <f>+'[1]Sell in ko tính KDT'!AK149</f>
        <v>30</v>
      </c>
      <c r="AS150" s="17">
        <f>+'[1]Sell in ko tính KDT'!AL149</f>
        <v>10</v>
      </c>
      <c r="AT150" s="17">
        <f>+'[1]Sell in ko tính KDT'!AM149</f>
        <v>0</v>
      </c>
      <c r="AU150" s="17">
        <v>0</v>
      </c>
      <c r="AV150" s="17">
        <f t="shared" si="100"/>
        <v>40</v>
      </c>
      <c r="AW150" s="17">
        <f>+'[1]Sell in ko tính KDT'!AO149</f>
        <v>30</v>
      </c>
      <c r="AX150" s="17">
        <f>+'[1]Sell in ko tính KDT'!AP149</f>
        <v>10</v>
      </c>
      <c r="AY150" s="17">
        <f>+'[1]Sell in ko tính KDT'!AQ149</f>
        <v>0</v>
      </c>
      <c r="AZ150" s="17">
        <v>0</v>
      </c>
      <c r="BA150" s="17">
        <f t="shared" si="101"/>
        <v>40</v>
      </c>
      <c r="BB150" s="17">
        <f>+'[1]Sell in ko tính KDT'!AS149</f>
        <v>30</v>
      </c>
      <c r="BC150" s="17">
        <f>+'[1]Sell in ko tính KDT'!AT149</f>
        <v>10</v>
      </c>
      <c r="BD150" s="17">
        <f>+'[1]Sell in ko tính KDT'!AU149</f>
        <v>0</v>
      </c>
      <c r="BE150" s="17">
        <v>0</v>
      </c>
      <c r="BF150" s="17">
        <f t="shared" si="102"/>
        <v>40</v>
      </c>
      <c r="BG150" s="17">
        <f>+'[1]Sell in ko tính KDT'!AW149</f>
        <v>30</v>
      </c>
      <c r="BH150" s="17">
        <f>+'[1]Sell in ko tính KDT'!AX149</f>
        <v>10</v>
      </c>
      <c r="BI150" s="17">
        <f>+'[1]Sell in ko tính KDT'!AY149</f>
        <v>0</v>
      </c>
      <c r="BJ150" s="17">
        <v>0</v>
      </c>
      <c r="BK150" s="17">
        <f t="shared" si="103"/>
        <v>40</v>
      </c>
      <c r="BL150" s="17">
        <f>+'[1]Sell in ko tính KDT'!BA149</f>
        <v>30</v>
      </c>
      <c r="BM150" s="17">
        <f>+'[1]Sell in ko tính KDT'!BB149</f>
        <v>10</v>
      </c>
      <c r="BN150" s="17">
        <f>+'[1]Sell in ko tính KDT'!BC149</f>
        <v>0</v>
      </c>
      <c r="BO150" s="17">
        <v>0</v>
      </c>
      <c r="BP150" s="17">
        <f t="shared" si="90"/>
        <v>40</v>
      </c>
      <c r="BQ150" s="17">
        <f t="shared" si="104"/>
        <v>390</v>
      </c>
      <c r="BR150" s="17">
        <f t="shared" si="104"/>
        <v>60</v>
      </c>
      <c r="BS150" s="17">
        <f t="shared" si="104"/>
        <v>0</v>
      </c>
      <c r="BT150" s="17">
        <f t="shared" si="104"/>
        <v>0</v>
      </c>
      <c r="BU150" s="17">
        <f t="shared" si="105"/>
        <v>450</v>
      </c>
    </row>
    <row r="151" spans="1:73" s="46" customFormat="1" ht="21" hidden="1" customHeight="1" outlineLevel="1">
      <c r="A151" s="17" t="s">
        <v>352</v>
      </c>
      <c r="B151" s="17" t="s">
        <v>379</v>
      </c>
      <c r="C151" s="45" t="s">
        <v>403</v>
      </c>
      <c r="D151" s="39"/>
      <c r="E151" s="53" t="s">
        <v>404</v>
      </c>
      <c r="F151" s="31" t="s">
        <v>413</v>
      </c>
      <c r="G151" s="54" t="s">
        <v>414</v>
      </c>
      <c r="H151" s="54" t="s">
        <v>45</v>
      </c>
      <c r="I151" s="17">
        <f>+'[1]Sell in ko tính KDT'!I150</f>
        <v>40</v>
      </c>
      <c r="J151" s="17">
        <f>+'[1]Sell in ko tính KDT'!J150</f>
        <v>0</v>
      </c>
      <c r="K151" s="17">
        <f>+'[1]Sell in ko tính KDT'!K150</f>
        <v>0</v>
      </c>
      <c r="L151" s="17">
        <v>0</v>
      </c>
      <c r="M151" s="17">
        <f t="shared" si="93"/>
        <v>40</v>
      </c>
      <c r="N151" s="17">
        <f>+'[1]Sell in ko tính KDT'!M150</f>
        <v>40</v>
      </c>
      <c r="O151" s="17">
        <f>+'[1]Sell in ko tính KDT'!N150</f>
        <v>0</v>
      </c>
      <c r="P151" s="17">
        <f>+'[1]Sell in ko tính KDT'!O150</f>
        <v>0</v>
      </c>
      <c r="Q151" s="17">
        <v>0</v>
      </c>
      <c r="R151" s="17">
        <f t="shared" si="94"/>
        <v>40</v>
      </c>
      <c r="S151" s="17">
        <f>+'[1]Sell in ko tính KDT'!Q150</f>
        <v>40</v>
      </c>
      <c r="T151" s="17">
        <f>+'[1]Sell in ko tính KDT'!R150</f>
        <v>0</v>
      </c>
      <c r="U151" s="17">
        <f>+'[1]Sell in ko tính KDT'!S150</f>
        <v>0</v>
      </c>
      <c r="V151" s="17">
        <v>0</v>
      </c>
      <c r="W151" s="17">
        <f t="shared" si="95"/>
        <v>40</v>
      </c>
      <c r="X151" s="17">
        <f>+'[1]Sell in ko tính KDT'!U150</f>
        <v>40</v>
      </c>
      <c r="Y151" s="17">
        <f>+'[1]Sell in ko tính KDT'!V150</f>
        <v>0</v>
      </c>
      <c r="Z151" s="17">
        <f>+'[1]Sell in ko tính KDT'!W150</f>
        <v>0</v>
      </c>
      <c r="AA151" s="17">
        <v>0</v>
      </c>
      <c r="AB151" s="17">
        <f t="shared" si="96"/>
        <v>40</v>
      </c>
      <c r="AC151" s="17">
        <f>+'[1]Sell in ko tính KDT'!Y150</f>
        <v>156</v>
      </c>
      <c r="AD151" s="17">
        <f>+'[1]Sell in ko tính KDT'!Z150</f>
        <v>0</v>
      </c>
      <c r="AE151" s="17">
        <f>+'[1]Sell in ko tính KDT'!AA150</f>
        <v>0</v>
      </c>
      <c r="AF151" s="17">
        <v>0</v>
      </c>
      <c r="AG151" s="17">
        <f t="shared" si="97"/>
        <v>156</v>
      </c>
      <c r="AH151" s="17">
        <f>+'[1]Sell in ko tính KDT'!AC150</f>
        <v>100</v>
      </c>
      <c r="AI151" s="17">
        <f>+'[1]Sell in ko tính KDT'!AD150</f>
        <v>44</v>
      </c>
      <c r="AJ151" s="17">
        <f>+'[1]Sell in ko tính KDT'!AE150</f>
        <v>0</v>
      </c>
      <c r="AK151" s="17">
        <v>0</v>
      </c>
      <c r="AL151" s="17">
        <f t="shared" si="98"/>
        <v>144</v>
      </c>
      <c r="AM151" s="17">
        <f>+'[1]Sell in ko tính KDT'!AG150</f>
        <v>100</v>
      </c>
      <c r="AN151" s="17">
        <f>+'[1]Sell in ko tính KDT'!AH150</f>
        <v>44</v>
      </c>
      <c r="AO151" s="17">
        <f>+'[1]Sell in ko tính KDT'!AI150</f>
        <v>0</v>
      </c>
      <c r="AP151" s="17">
        <v>0</v>
      </c>
      <c r="AQ151" s="17">
        <f t="shared" si="99"/>
        <v>144</v>
      </c>
      <c r="AR151" s="17">
        <f>+'[1]Sell in ko tính KDT'!AK150</f>
        <v>100</v>
      </c>
      <c r="AS151" s="17">
        <f>+'[1]Sell in ko tính KDT'!AL150</f>
        <v>50</v>
      </c>
      <c r="AT151" s="17">
        <f>+'[1]Sell in ko tính KDT'!AM150</f>
        <v>0</v>
      </c>
      <c r="AU151" s="17">
        <v>0</v>
      </c>
      <c r="AV151" s="17">
        <f t="shared" si="100"/>
        <v>150</v>
      </c>
      <c r="AW151" s="17">
        <f>+'[1]Sell in ko tính KDT'!AO150</f>
        <v>100</v>
      </c>
      <c r="AX151" s="17">
        <f>+'[1]Sell in ko tính KDT'!AP150</f>
        <v>50</v>
      </c>
      <c r="AY151" s="17">
        <f>+'[1]Sell in ko tính KDT'!AQ150</f>
        <v>0</v>
      </c>
      <c r="AZ151" s="17">
        <v>0</v>
      </c>
      <c r="BA151" s="17">
        <f t="shared" si="101"/>
        <v>150</v>
      </c>
      <c r="BB151" s="17">
        <f>+'[1]Sell in ko tính KDT'!AS150</f>
        <v>100</v>
      </c>
      <c r="BC151" s="17">
        <f>+'[1]Sell in ko tính KDT'!AT150</f>
        <v>50</v>
      </c>
      <c r="BD151" s="17">
        <f>+'[1]Sell in ko tính KDT'!AU150</f>
        <v>0</v>
      </c>
      <c r="BE151" s="17">
        <v>0</v>
      </c>
      <c r="BF151" s="17">
        <f t="shared" si="102"/>
        <v>150</v>
      </c>
      <c r="BG151" s="17">
        <f>+'[1]Sell in ko tính KDT'!AW150</f>
        <v>100</v>
      </c>
      <c r="BH151" s="17">
        <f>+'[1]Sell in ko tính KDT'!AX150</f>
        <v>50</v>
      </c>
      <c r="BI151" s="17">
        <f>+'[1]Sell in ko tính KDT'!AY150</f>
        <v>0</v>
      </c>
      <c r="BJ151" s="17">
        <v>0</v>
      </c>
      <c r="BK151" s="17">
        <f t="shared" si="103"/>
        <v>150</v>
      </c>
      <c r="BL151" s="17">
        <f>+'[1]Sell in ko tính KDT'!BA150</f>
        <v>100</v>
      </c>
      <c r="BM151" s="17">
        <f>+'[1]Sell in ko tính KDT'!BB150</f>
        <v>50</v>
      </c>
      <c r="BN151" s="17">
        <f>+'[1]Sell in ko tính KDT'!BC150</f>
        <v>0</v>
      </c>
      <c r="BO151" s="17">
        <v>0</v>
      </c>
      <c r="BP151" s="17">
        <f t="shared" si="90"/>
        <v>150</v>
      </c>
      <c r="BQ151" s="17">
        <f t="shared" si="104"/>
        <v>1016</v>
      </c>
      <c r="BR151" s="17">
        <f t="shared" si="104"/>
        <v>338</v>
      </c>
      <c r="BS151" s="17">
        <f t="shared" si="104"/>
        <v>0</v>
      </c>
      <c r="BT151" s="17">
        <f t="shared" si="104"/>
        <v>0</v>
      </c>
      <c r="BU151" s="17">
        <f t="shared" si="105"/>
        <v>1354</v>
      </c>
    </row>
    <row r="152" spans="1:73" s="46" customFormat="1" ht="21" hidden="1" customHeight="1" outlineLevel="1">
      <c r="A152" s="17" t="s">
        <v>352</v>
      </c>
      <c r="B152" s="17" t="s">
        <v>379</v>
      </c>
      <c r="C152" s="45" t="s">
        <v>415</v>
      </c>
      <c r="D152" s="51"/>
      <c r="E152" s="51" t="s">
        <v>408</v>
      </c>
      <c r="F152" s="31" t="s">
        <v>416</v>
      </c>
      <c r="G152" s="45" t="s">
        <v>417</v>
      </c>
      <c r="H152" s="51" t="s">
        <v>39</v>
      </c>
      <c r="I152" s="17">
        <f>+'[1]Sell in ko tính KDT'!I151</f>
        <v>10</v>
      </c>
      <c r="J152" s="17">
        <f>+'[1]Sell in ko tính KDT'!J151</f>
        <v>30</v>
      </c>
      <c r="K152" s="17">
        <f>+'[1]Sell in ko tính KDT'!K151</f>
        <v>0</v>
      </c>
      <c r="L152" s="17">
        <v>0</v>
      </c>
      <c r="M152" s="17">
        <f t="shared" si="93"/>
        <v>40</v>
      </c>
      <c r="N152" s="17">
        <f>+'[1]Sell in ko tính KDT'!M151</f>
        <v>40</v>
      </c>
      <c r="O152" s="17">
        <f>+'[1]Sell in ko tính KDT'!N151</f>
        <v>0</v>
      </c>
      <c r="P152" s="17">
        <f>+'[1]Sell in ko tính KDT'!O151</f>
        <v>0</v>
      </c>
      <c r="Q152" s="17">
        <v>0</v>
      </c>
      <c r="R152" s="17">
        <f t="shared" si="94"/>
        <v>40</v>
      </c>
      <c r="S152" s="17">
        <f>+'[1]Sell in ko tính KDT'!Q151</f>
        <v>0</v>
      </c>
      <c r="T152" s="17">
        <f>+'[1]Sell in ko tính KDT'!R151</f>
        <v>0</v>
      </c>
      <c r="U152" s="17">
        <f>+'[1]Sell in ko tính KDT'!S151</f>
        <v>0</v>
      </c>
      <c r="V152" s="17">
        <v>0</v>
      </c>
      <c r="W152" s="17">
        <f t="shared" si="95"/>
        <v>0</v>
      </c>
      <c r="X152" s="17">
        <f>+'[1]Sell in ko tính KDT'!U151</f>
        <v>0</v>
      </c>
      <c r="Y152" s="17">
        <f>+'[1]Sell in ko tính KDT'!V151</f>
        <v>0</v>
      </c>
      <c r="Z152" s="17">
        <f>+'[1]Sell in ko tính KDT'!W151</f>
        <v>0</v>
      </c>
      <c r="AA152" s="17">
        <v>0</v>
      </c>
      <c r="AB152" s="17">
        <f t="shared" si="96"/>
        <v>0</v>
      </c>
      <c r="AC152" s="17">
        <f>+'[1]Sell in ko tính KDT'!Y151</f>
        <v>0</v>
      </c>
      <c r="AD152" s="17">
        <f>+'[1]Sell in ko tính KDT'!Z151</f>
        <v>0</v>
      </c>
      <c r="AE152" s="17">
        <f>+'[1]Sell in ko tính KDT'!AA151</f>
        <v>0</v>
      </c>
      <c r="AF152" s="17">
        <v>0</v>
      </c>
      <c r="AG152" s="17">
        <f t="shared" si="97"/>
        <v>0</v>
      </c>
      <c r="AH152" s="17">
        <f>+'[1]Sell in ko tính KDT'!AC151</f>
        <v>0</v>
      </c>
      <c r="AI152" s="17">
        <f>+'[1]Sell in ko tính KDT'!AD151</f>
        <v>0</v>
      </c>
      <c r="AJ152" s="17">
        <f>+'[1]Sell in ko tính KDT'!AE151</f>
        <v>0</v>
      </c>
      <c r="AK152" s="17">
        <v>0</v>
      </c>
      <c r="AL152" s="17">
        <f t="shared" si="98"/>
        <v>0</v>
      </c>
      <c r="AM152" s="17">
        <f>+'[1]Sell in ko tính KDT'!AG151</f>
        <v>30</v>
      </c>
      <c r="AN152" s="17">
        <f>+'[1]Sell in ko tính KDT'!AH151</f>
        <v>10</v>
      </c>
      <c r="AO152" s="17">
        <f>+'[1]Sell in ko tính KDT'!AI151</f>
        <v>0</v>
      </c>
      <c r="AP152" s="17">
        <v>0</v>
      </c>
      <c r="AQ152" s="17">
        <f t="shared" si="99"/>
        <v>40</v>
      </c>
      <c r="AR152" s="17">
        <f>+'[1]Sell in ko tính KDT'!AK151</f>
        <v>40</v>
      </c>
      <c r="AS152" s="17">
        <f>+'[1]Sell in ko tính KDT'!AL151</f>
        <v>10</v>
      </c>
      <c r="AT152" s="17">
        <f>+'[1]Sell in ko tính KDT'!AM151</f>
        <v>0</v>
      </c>
      <c r="AU152" s="17">
        <v>0</v>
      </c>
      <c r="AV152" s="17">
        <f t="shared" si="100"/>
        <v>50</v>
      </c>
      <c r="AW152" s="17">
        <f>+'[1]Sell in ko tính KDT'!AO151</f>
        <v>50</v>
      </c>
      <c r="AX152" s="17">
        <f>+'[1]Sell in ko tính KDT'!AP151</f>
        <v>10</v>
      </c>
      <c r="AY152" s="17">
        <f>+'[1]Sell in ko tính KDT'!AQ151</f>
        <v>0</v>
      </c>
      <c r="AZ152" s="17">
        <v>0</v>
      </c>
      <c r="BA152" s="17">
        <f t="shared" si="101"/>
        <v>60</v>
      </c>
      <c r="BB152" s="17">
        <f>+'[1]Sell in ko tính KDT'!AS151</f>
        <v>50</v>
      </c>
      <c r="BC152" s="17">
        <f>+'[1]Sell in ko tính KDT'!AT151</f>
        <v>10</v>
      </c>
      <c r="BD152" s="17">
        <f>+'[1]Sell in ko tính KDT'!AU151</f>
        <v>0</v>
      </c>
      <c r="BE152" s="17">
        <v>0</v>
      </c>
      <c r="BF152" s="17">
        <f t="shared" si="102"/>
        <v>60</v>
      </c>
      <c r="BG152" s="17">
        <f>+'[1]Sell in ko tính KDT'!AW151</f>
        <v>50</v>
      </c>
      <c r="BH152" s="17">
        <f>+'[1]Sell in ko tính KDT'!AX151</f>
        <v>10</v>
      </c>
      <c r="BI152" s="17">
        <f>+'[1]Sell in ko tính KDT'!AY151</f>
        <v>0</v>
      </c>
      <c r="BJ152" s="17">
        <v>0</v>
      </c>
      <c r="BK152" s="17">
        <f t="shared" si="103"/>
        <v>60</v>
      </c>
      <c r="BL152" s="17">
        <f>+'[1]Sell in ko tính KDT'!BA151</f>
        <v>50</v>
      </c>
      <c r="BM152" s="17">
        <f>+'[1]Sell in ko tính KDT'!BB151</f>
        <v>10</v>
      </c>
      <c r="BN152" s="17">
        <f>+'[1]Sell in ko tính KDT'!BC151</f>
        <v>0</v>
      </c>
      <c r="BO152" s="17">
        <v>0</v>
      </c>
      <c r="BP152" s="17">
        <f t="shared" si="90"/>
        <v>60</v>
      </c>
      <c r="BQ152" s="17">
        <f t="shared" si="104"/>
        <v>320</v>
      </c>
      <c r="BR152" s="17">
        <f t="shared" si="104"/>
        <v>90</v>
      </c>
      <c r="BS152" s="17">
        <f t="shared" si="104"/>
        <v>0</v>
      </c>
      <c r="BT152" s="17">
        <f t="shared" si="104"/>
        <v>0</v>
      </c>
      <c r="BU152" s="17">
        <f t="shared" si="105"/>
        <v>410</v>
      </c>
    </row>
    <row r="153" spans="1:73" s="46" customFormat="1" ht="21" hidden="1" customHeight="1" outlineLevel="1">
      <c r="A153" s="17" t="s">
        <v>352</v>
      </c>
      <c r="B153" s="17" t="s">
        <v>379</v>
      </c>
      <c r="C153" s="45" t="s">
        <v>410</v>
      </c>
      <c r="D153" s="39"/>
      <c r="E153" s="51" t="s">
        <v>408</v>
      </c>
      <c r="F153" s="31" t="s">
        <v>418</v>
      </c>
      <c r="G153" s="45" t="s">
        <v>419</v>
      </c>
      <c r="H153" s="45" t="s">
        <v>357</v>
      </c>
      <c r="I153" s="20">
        <f>+'[1]Sell in ko tính KDT'!I152</f>
        <v>49.5</v>
      </c>
      <c r="J153" s="20">
        <f>+'[1]Sell in ko tính KDT'!J152</f>
        <v>40.5</v>
      </c>
      <c r="K153" s="17">
        <f>+'[1]Sell in ko tính KDT'!K152</f>
        <v>0</v>
      </c>
      <c r="L153" s="17">
        <v>0</v>
      </c>
      <c r="M153" s="17">
        <f t="shared" si="93"/>
        <v>90</v>
      </c>
      <c r="N153" s="20">
        <f>+'[1]Sell in ko tính KDT'!M152</f>
        <v>49.5</v>
      </c>
      <c r="O153" s="20">
        <f>+'[1]Sell in ko tính KDT'!N152</f>
        <v>40.5</v>
      </c>
      <c r="P153" s="17">
        <f>+'[1]Sell in ko tính KDT'!O152</f>
        <v>0</v>
      </c>
      <c r="Q153" s="17">
        <v>0</v>
      </c>
      <c r="R153" s="17">
        <f t="shared" si="94"/>
        <v>90</v>
      </c>
      <c r="S153" s="17">
        <f>+'[1]Sell in ko tính KDT'!Q152</f>
        <v>0</v>
      </c>
      <c r="T153" s="17">
        <f>+'[1]Sell in ko tính KDT'!R152</f>
        <v>0</v>
      </c>
      <c r="U153" s="17">
        <f>+'[1]Sell in ko tính KDT'!S152</f>
        <v>0</v>
      </c>
      <c r="V153" s="17">
        <v>0</v>
      </c>
      <c r="W153" s="17">
        <f t="shared" si="95"/>
        <v>0</v>
      </c>
      <c r="X153" s="17">
        <f>+'[1]Sell in ko tính KDT'!U152</f>
        <v>0</v>
      </c>
      <c r="Y153" s="17">
        <f>+'[1]Sell in ko tính KDT'!V152</f>
        <v>0</v>
      </c>
      <c r="Z153" s="17">
        <f>+'[1]Sell in ko tính KDT'!W152</f>
        <v>0</v>
      </c>
      <c r="AA153" s="17">
        <v>0</v>
      </c>
      <c r="AB153" s="17">
        <f t="shared" si="96"/>
        <v>0</v>
      </c>
      <c r="AC153" s="17">
        <f>+'[1]Sell in ko tính KDT'!Y152</f>
        <v>0</v>
      </c>
      <c r="AD153" s="17">
        <f>+'[1]Sell in ko tính KDT'!Z152</f>
        <v>0</v>
      </c>
      <c r="AE153" s="17">
        <f>+'[1]Sell in ko tính KDT'!AA152</f>
        <v>0</v>
      </c>
      <c r="AF153" s="17">
        <v>0</v>
      </c>
      <c r="AG153" s="17">
        <f t="shared" si="97"/>
        <v>0</v>
      </c>
      <c r="AH153" s="17">
        <f>+'[1]Sell in ko tính KDT'!AC152</f>
        <v>0</v>
      </c>
      <c r="AI153" s="17">
        <f>+'[1]Sell in ko tính KDT'!AD152</f>
        <v>0</v>
      </c>
      <c r="AJ153" s="17">
        <f>+'[1]Sell in ko tính KDT'!AE152</f>
        <v>0</v>
      </c>
      <c r="AK153" s="17">
        <v>0</v>
      </c>
      <c r="AL153" s="17">
        <f t="shared" si="98"/>
        <v>0</v>
      </c>
      <c r="AM153" s="17">
        <f>+'[1]Sell in ko tính KDT'!AG152</f>
        <v>30</v>
      </c>
      <c r="AN153" s="17">
        <f>+'[1]Sell in ko tính KDT'!AH152</f>
        <v>10</v>
      </c>
      <c r="AO153" s="17">
        <f>+'[1]Sell in ko tính KDT'!AI152</f>
        <v>0</v>
      </c>
      <c r="AP153" s="17">
        <v>0</v>
      </c>
      <c r="AQ153" s="17">
        <f t="shared" si="99"/>
        <v>40</v>
      </c>
      <c r="AR153" s="17">
        <f>+'[1]Sell in ko tính KDT'!AK152</f>
        <v>40</v>
      </c>
      <c r="AS153" s="17">
        <f>+'[1]Sell in ko tính KDT'!AL152</f>
        <v>20</v>
      </c>
      <c r="AT153" s="17">
        <f>+'[1]Sell in ko tính KDT'!AM152</f>
        <v>0</v>
      </c>
      <c r="AU153" s="17">
        <v>0</v>
      </c>
      <c r="AV153" s="17">
        <f t="shared" si="100"/>
        <v>60</v>
      </c>
      <c r="AW153" s="17">
        <f>+'[1]Sell in ko tính KDT'!AO152</f>
        <v>40</v>
      </c>
      <c r="AX153" s="17">
        <f>+'[1]Sell in ko tính KDT'!AP152</f>
        <v>20</v>
      </c>
      <c r="AY153" s="17">
        <f>+'[1]Sell in ko tính KDT'!AQ152</f>
        <v>0</v>
      </c>
      <c r="AZ153" s="17">
        <v>0</v>
      </c>
      <c r="BA153" s="17">
        <f t="shared" si="101"/>
        <v>60</v>
      </c>
      <c r="BB153" s="17">
        <f>+'[1]Sell in ko tính KDT'!AS152</f>
        <v>40</v>
      </c>
      <c r="BC153" s="17">
        <f>+'[1]Sell in ko tính KDT'!AT152</f>
        <v>20</v>
      </c>
      <c r="BD153" s="17">
        <f>+'[1]Sell in ko tính KDT'!AU152</f>
        <v>0</v>
      </c>
      <c r="BE153" s="17">
        <v>0</v>
      </c>
      <c r="BF153" s="17">
        <f t="shared" si="102"/>
        <v>60</v>
      </c>
      <c r="BG153" s="17">
        <f>+'[1]Sell in ko tính KDT'!AW152</f>
        <v>40</v>
      </c>
      <c r="BH153" s="17">
        <f>+'[1]Sell in ko tính KDT'!AX152</f>
        <v>20</v>
      </c>
      <c r="BI153" s="17">
        <f>+'[1]Sell in ko tính KDT'!AY152</f>
        <v>0</v>
      </c>
      <c r="BJ153" s="17">
        <v>0</v>
      </c>
      <c r="BK153" s="17">
        <f t="shared" si="103"/>
        <v>60</v>
      </c>
      <c r="BL153" s="17">
        <f>+'[1]Sell in ko tính KDT'!BA152</f>
        <v>40</v>
      </c>
      <c r="BM153" s="17">
        <f>+'[1]Sell in ko tính KDT'!BB152</f>
        <v>20</v>
      </c>
      <c r="BN153" s="17">
        <f>+'[1]Sell in ko tính KDT'!BC152</f>
        <v>0</v>
      </c>
      <c r="BO153" s="17">
        <v>0</v>
      </c>
      <c r="BP153" s="17">
        <f t="shared" si="90"/>
        <v>60</v>
      </c>
      <c r="BQ153" s="17">
        <f t="shared" si="104"/>
        <v>329</v>
      </c>
      <c r="BR153" s="17">
        <f t="shared" si="104"/>
        <v>191</v>
      </c>
      <c r="BS153" s="17">
        <f t="shared" si="104"/>
        <v>0</v>
      </c>
      <c r="BT153" s="17">
        <f t="shared" si="104"/>
        <v>0</v>
      </c>
      <c r="BU153" s="17">
        <f t="shared" si="105"/>
        <v>520</v>
      </c>
    </row>
    <row r="154" spans="1:73" s="46" customFormat="1" ht="21" hidden="1" customHeight="1" outlineLevel="1">
      <c r="A154" s="17" t="s">
        <v>352</v>
      </c>
      <c r="B154" s="17" t="s">
        <v>379</v>
      </c>
      <c r="C154" s="45" t="s">
        <v>407</v>
      </c>
      <c r="D154" s="39"/>
      <c r="E154" s="50" t="s">
        <v>385</v>
      </c>
      <c r="F154" s="31" t="s">
        <v>420</v>
      </c>
      <c r="G154" s="45" t="s">
        <v>421</v>
      </c>
      <c r="H154" s="45" t="s">
        <v>357</v>
      </c>
      <c r="I154" s="17">
        <f>+'[1]Sell in ko tính KDT'!I153</f>
        <v>20</v>
      </c>
      <c r="J154" s="17">
        <f>+'[1]Sell in ko tính KDT'!J153</f>
        <v>32.1</v>
      </c>
      <c r="K154" s="17">
        <f>+'[1]Sell in ko tính KDT'!K153</f>
        <v>0</v>
      </c>
      <c r="L154" s="17">
        <v>0</v>
      </c>
      <c r="M154" s="17">
        <f t="shared" si="93"/>
        <v>52.1</v>
      </c>
      <c r="N154" s="17">
        <f>+'[1]Sell in ko tính KDT'!M153</f>
        <v>20</v>
      </c>
      <c r="O154" s="17">
        <f>+'[1]Sell in ko tính KDT'!N153</f>
        <v>33</v>
      </c>
      <c r="P154" s="17">
        <f>+'[1]Sell in ko tính KDT'!O153</f>
        <v>0</v>
      </c>
      <c r="Q154" s="17">
        <v>0</v>
      </c>
      <c r="R154" s="17">
        <f t="shared" si="94"/>
        <v>53</v>
      </c>
      <c r="S154" s="17">
        <f>+'[1]Sell in ko tính KDT'!Q153</f>
        <v>0</v>
      </c>
      <c r="T154" s="17">
        <f>+'[1]Sell in ko tính KDT'!R153</f>
        <v>0</v>
      </c>
      <c r="U154" s="17">
        <f>+'[1]Sell in ko tính KDT'!S153</f>
        <v>0</v>
      </c>
      <c r="V154" s="17">
        <v>0</v>
      </c>
      <c r="W154" s="17">
        <f t="shared" si="95"/>
        <v>0</v>
      </c>
      <c r="X154" s="17">
        <f>+'[1]Sell in ko tính KDT'!U153</f>
        <v>0</v>
      </c>
      <c r="Y154" s="17">
        <f>+'[1]Sell in ko tính KDT'!V153</f>
        <v>0</v>
      </c>
      <c r="Z154" s="17">
        <f>+'[1]Sell in ko tính KDT'!W153</f>
        <v>0</v>
      </c>
      <c r="AA154" s="17">
        <v>0</v>
      </c>
      <c r="AB154" s="17">
        <f t="shared" si="96"/>
        <v>0</v>
      </c>
      <c r="AC154" s="17">
        <f>+'[1]Sell in ko tính KDT'!Y153</f>
        <v>0</v>
      </c>
      <c r="AD154" s="17">
        <f>+'[1]Sell in ko tính KDT'!Z153</f>
        <v>0</v>
      </c>
      <c r="AE154" s="17">
        <f>+'[1]Sell in ko tính KDT'!AA153</f>
        <v>0</v>
      </c>
      <c r="AF154" s="17">
        <v>0</v>
      </c>
      <c r="AG154" s="17">
        <f t="shared" si="97"/>
        <v>0</v>
      </c>
      <c r="AH154" s="17">
        <f>+'[1]Sell in ko tính KDT'!AC153</f>
        <v>30</v>
      </c>
      <c r="AI154" s="17">
        <f>+'[1]Sell in ko tính KDT'!AD153</f>
        <v>10</v>
      </c>
      <c r="AJ154" s="17">
        <f>+'[1]Sell in ko tính KDT'!AE153</f>
        <v>0</v>
      </c>
      <c r="AK154" s="17">
        <v>0</v>
      </c>
      <c r="AL154" s="17">
        <f t="shared" si="98"/>
        <v>40</v>
      </c>
      <c r="AM154" s="17">
        <f>+'[1]Sell in ko tính KDT'!AG153</f>
        <v>30</v>
      </c>
      <c r="AN154" s="17">
        <f>+'[1]Sell in ko tính KDT'!AH153</f>
        <v>10</v>
      </c>
      <c r="AO154" s="17">
        <f>+'[1]Sell in ko tính KDT'!AI153</f>
        <v>0</v>
      </c>
      <c r="AP154" s="17">
        <v>0</v>
      </c>
      <c r="AQ154" s="17">
        <f t="shared" si="99"/>
        <v>40</v>
      </c>
      <c r="AR154" s="17">
        <f>+'[1]Sell in ko tính KDT'!AK153</f>
        <v>30</v>
      </c>
      <c r="AS154" s="17">
        <f>+'[1]Sell in ko tính KDT'!AL153</f>
        <v>10</v>
      </c>
      <c r="AT154" s="17">
        <f>+'[1]Sell in ko tính KDT'!AM153</f>
        <v>0</v>
      </c>
      <c r="AU154" s="17">
        <v>0</v>
      </c>
      <c r="AV154" s="17">
        <f t="shared" si="100"/>
        <v>40</v>
      </c>
      <c r="AW154" s="17">
        <f>+'[1]Sell in ko tính KDT'!AO153</f>
        <v>30</v>
      </c>
      <c r="AX154" s="17">
        <f>+'[1]Sell in ko tính KDT'!AP153</f>
        <v>10</v>
      </c>
      <c r="AY154" s="17">
        <f>+'[1]Sell in ko tính KDT'!AQ153</f>
        <v>0</v>
      </c>
      <c r="AZ154" s="17">
        <v>0</v>
      </c>
      <c r="BA154" s="17">
        <f t="shared" si="101"/>
        <v>40</v>
      </c>
      <c r="BB154" s="17">
        <f>+'[1]Sell in ko tính KDT'!AS153</f>
        <v>30</v>
      </c>
      <c r="BC154" s="17">
        <f>+'[1]Sell in ko tính KDT'!AT153</f>
        <v>10</v>
      </c>
      <c r="BD154" s="17">
        <f>+'[1]Sell in ko tính KDT'!AU153</f>
        <v>0</v>
      </c>
      <c r="BE154" s="17">
        <v>0</v>
      </c>
      <c r="BF154" s="17">
        <f t="shared" si="102"/>
        <v>40</v>
      </c>
      <c r="BG154" s="17">
        <f>+'[1]Sell in ko tính KDT'!AW153</f>
        <v>30</v>
      </c>
      <c r="BH154" s="17">
        <f>+'[1]Sell in ko tính KDT'!AX153</f>
        <v>10</v>
      </c>
      <c r="BI154" s="17">
        <f>+'[1]Sell in ko tính KDT'!AY153</f>
        <v>0</v>
      </c>
      <c r="BJ154" s="17">
        <v>0</v>
      </c>
      <c r="BK154" s="17">
        <f t="shared" si="103"/>
        <v>40</v>
      </c>
      <c r="BL154" s="17">
        <f>+'[1]Sell in ko tính KDT'!BA153</f>
        <v>30</v>
      </c>
      <c r="BM154" s="17">
        <f>+'[1]Sell in ko tính KDT'!BB153</f>
        <v>10</v>
      </c>
      <c r="BN154" s="17">
        <f>+'[1]Sell in ko tính KDT'!BC153</f>
        <v>0</v>
      </c>
      <c r="BO154" s="17">
        <v>0</v>
      </c>
      <c r="BP154" s="17">
        <f t="shared" si="90"/>
        <v>40</v>
      </c>
      <c r="BQ154" s="17">
        <f t="shared" si="104"/>
        <v>250</v>
      </c>
      <c r="BR154" s="17">
        <f t="shared" si="104"/>
        <v>135.1</v>
      </c>
      <c r="BS154" s="17">
        <f t="shared" si="104"/>
        <v>0</v>
      </c>
      <c r="BT154" s="17">
        <f t="shared" si="104"/>
        <v>0</v>
      </c>
      <c r="BU154" s="17">
        <f t="shared" si="105"/>
        <v>385.1</v>
      </c>
    </row>
    <row r="155" spans="1:73" s="46" customFormat="1" ht="21" hidden="1" customHeight="1" outlineLevel="1">
      <c r="A155" s="17" t="s">
        <v>352</v>
      </c>
      <c r="B155" s="17" t="s">
        <v>379</v>
      </c>
      <c r="C155" s="45" t="s">
        <v>410</v>
      </c>
      <c r="D155" s="39"/>
      <c r="E155" s="51" t="s">
        <v>408</v>
      </c>
      <c r="F155" s="31" t="s">
        <v>422</v>
      </c>
      <c r="G155" s="56" t="s">
        <v>423</v>
      </c>
      <c r="H155" s="45" t="s">
        <v>357</v>
      </c>
      <c r="I155" s="20">
        <f>+'[1]Sell in ko tính KDT'!I154</f>
        <v>0</v>
      </c>
      <c r="J155" s="20">
        <f>+'[1]Sell in ko tính KDT'!J154</f>
        <v>0</v>
      </c>
      <c r="K155" s="17">
        <f>+'[1]Sell in ko tính KDT'!K154</f>
        <v>0</v>
      </c>
      <c r="L155" s="17">
        <v>0</v>
      </c>
      <c r="M155" s="17">
        <f t="shared" si="93"/>
        <v>0</v>
      </c>
      <c r="N155" s="20">
        <f>+'[1]Sell in ko tính KDT'!M154</f>
        <v>0</v>
      </c>
      <c r="O155" s="20">
        <f>+'[1]Sell in ko tính KDT'!N154</f>
        <v>0</v>
      </c>
      <c r="P155" s="17">
        <f>+'[1]Sell in ko tính KDT'!O154</f>
        <v>0</v>
      </c>
      <c r="Q155" s="17">
        <v>0</v>
      </c>
      <c r="R155" s="17">
        <f t="shared" si="94"/>
        <v>0</v>
      </c>
      <c r="S155" s="17">
        <f>+'[1]Sell in ko tính KDT'!Q154</f>
        <v>0</v>
      </c>
      <c r="T155" s="17">
        <f>+'[1]Sell in ko tính KDT'!R154</f>
        <v>0</v>
      </c>
      <c r="U155" s="17">
        <f>+'[1]Sell in ko tính KDT'!S154</f>
        <v>0</v>
      </c>
      <c r="V155" s="17">
        <v>0</v>
      </c>
      <c r="W155" s="17">
        <f t="shared" si="95"/>
        <v>0</v>
      </c>
      <c r="X155" s="17">
        <f>+'[1]Sell in ko tính KDT'!U154</f>
        <v>0</v>
      </c>
      <c r="Y155" s="17">
        <f>+'[1]Sell in ko tính KDT'!V154</f>
        <v>0</v>
      </c>
      <c r="Z155" s="17">
        <f>+'[1]Sell in ko tính KDT'!W154</f>
        <v>0</v>
      </c>
      <c r="AA155" s="17">
        <v>0</v>
      </c>
      <c r="AB155" s="17">
        <f t="shared" si="96"/>
        <v>0</v>
      </c>
      <c r="AC155" s="17">
        <f>+'[1]Sell in ko tính KDT'!Y154</f>
        <v>0</v>
      </c>
      <c r="AD155" s="17">
        <f>+'[1]Sell in ko tính KDT'!Z154</f>
        <v>0</v>
      </c>
      <c r="AE155" s="17">
        <f>+'[1]Sell in ko tính KDT'!AA154</f>
        <v>0</v>
      </c>
      <c r="AF155" s="17">
        <v>0</v>
      </c>
      <c r="AG155" s="17">
        <f t="shared" si="97"/>
        <v>0</v>
      </c>
      <c r="AH155" s="17">
        <f>+'[1]Sell in ko tính KDT'!AC154</f>
        <v>0</v>
      </c>
      <c r="AI155" s="17">
        <f>+'[1]Sell in ko tính KDT'!AD154</f>
        <v>0</v>
      </c>
      <c r="AJ155" s="17">
        <f>+'[1]Sell in ko tính KDT'!AE154</f>
        <v>0</v>
      </c>
      <c r="AK155" s="17">
        <v>0</v>
      </c>
      <c r="AL155" s="17">
        <f t="shared" si="98"/>
        <v>0</v>
      </c>
      <c r="AM155" s="17">
        <f>+'[1]Sell in ko tính KDT'!AG154</f>
        <v>30</v>
      </c>
      <c r="AN155" s="17">
        <f>+'[1]Sell in ko tính KDT'!AH154</f>
        <v>10</v>
      </c>
      <c r="AO155" s="17">
        <f>+'[1]Sell in ko tính KDT'!AI154</f>
        <v>0</v>
      </c>
      <c r="AP155" s="17">
        <v>0</v>
      </c>
      <c r="AQ155" s="17">
        <f t="shared" si="99"/>
        <v>40</v>
      </c>
      <c r="AR155" s="17">
        <f>+'[1]Sell in ko tính KDT'!AK154</f>
        <v>45</v>
      </c>
      <c r="AS155" s="17">
        <f>+'[1]Sell in ko tính KDT'!AL154</f>
        <v>20</v>
      </c>
      <c r="AT155" s="17">
        <f>+'[1]Sell in ko tính KDT'!AM154</f>
        <v>0</v>
      </c>
      <c r="AU155" s="17">
        <v>0</v>
      </c>
      <c r="AV155" s="17">
        <f t="shared" si="100"/>
        <v>65</v>
      </c>
      <c r="AW155" s="17">
        <f>+'[1]Sell in ko tính KDT'!AO154</f>
        <v>45</v>
      </c>
      <c r="AX155" s="17">
        <f>+'[1]Sell in ko tính KDT'!AP154</f>
        <v>20</v>
      </c>
      <c r="AY155" s="17">
        <f>+'[1]Sell in ko tính KDT'!AQ154</f>
        <v>0</v>
      </c>
      <c r="AZ155" s="17">
        <v>0</v>
      </c>
      <c r="BA155" s="17">
        <f t="shared" si="101"/>
        <v>65</v>
      </c>
      <c r="BB155" s="17">
        <f>+'[1]Sell in ko tính KDT'!AS154</f>
        <v>45</v>
      </c>
      <c r="BC155" s="17">
        <f>+'[1]Sell in ko tính KDT'!AT154</f>
        <v>20</v>
      </c>
      <c r="BD155" s="17">
        <f>+'[1]Sell in ko tính KDT'!AU154</f>
        <v>0</v>
      </c>
      <c r="BE155" s="17">
        <v>0</v>
      </c>
      <c r="BF155" s="17">
        <f t="shared" si="102"/>
        <v>65</v>
      </c>
      <c r="BG155" s="17">
        <f>+'[1]Sell in ko tính KDT'!AW154</f>
        <v>45</v>
      </c>
      <c r="BH155" s="17">
        <f>+'[1]Sell in ko tính KDT'!AX154</f>
        <v>20</v>
      </c>
      <c r="BI155" s="17">
        <f>+'[1]Sell in ko tính KDT'!AY154</f>
        <v>0</v>
      </c>
      <c r="BJ155" s="17">
        <v>0</v>
      </c>
      <c r="BK155" s="17">
        <f t="shared" si="103"/>
        <v>65</v>
      </c>
      <c r="BL155" s="17">
        <f>+'[1]Sell in ko tính KDT'!BA154</f>
        <v>45</v>
      </c>
      <c r="BM155" s="17">
        <f>+'[1]Sell in ko tính KDT'!BB154</f>
        <v>20</v>
      </c>
      <c r="BN155" s="17">
        <f>+'[1]Sell in ko tính KDT'!BC154</f>
        <v>0</v>
      </c>
      <c r="BO155" s="17">
        <v>0</v>
      </c>
      <c r="BP155" s="17">
        <f t="shared" si="90"/>
        <v>65</v>
      </c>
      <c r="BQ155" s="17">
        <f t="shared" si="104"/>
        <v>255</v>
      </c>
      <c r="BR155" s="17">
        <f t="shared" si="104"/>
        <v>110</v>
      </c>
      <c r="BS155" s="17">
        <f t="shared" si="104"/>
        <v>0</v>
      </c>
      <c r="BT155" s="17">
        <f t="shared" si="104"/>
        <v>0</v>
      </c>
      <c r="BU155" s="17">
        <f t="shared" si="105"/>
        <v>365</v>
      </c>
    </row>
    <row r="156" spans="1:73" s="46" customFormat="1" ht="21" hidden="1" customHeight="1" outlineLevel="1">
      <c r="A156" s="17" t="s">
        <v>352</v>
      </c>
      <c r="B156" s="17" t="s">
        <v>379</v>
      </c>
      <c r="C156" s="45" t="s">
        <v>410</v>
      </c>
      <c r="D156" s="39"/>
      <c r="E156" s="51" t="s">
        <v>408</v>
      </c>
      <c r="F156" s="39" t="s">
        <v>424</v>
      </c>
      <c r="G156" s="45" t="s">
        <v>425</v>
      </c>
      <c r="H156" s="45" t="s">
        <v>357</v>
      </c>
      <c r="I156" s="17">
        <f>+'[1]Sell in ko tính KDT'!I155</f>
        <v>29.5</v>
      </c>
      <c r="J156" s="17">
        <f>+'[1]Sell in ko tính KDT'!J155</f>
        <v>10.5</v>
      </c>
      <c r="K156" s="17">
        <f>+'[1]Sell in ko tính KDT'!K155</f>
        <v>0</v>
      </c>
      <c r="L156" s="17">
        <v>0</v>
      </c>
      <c r="M156" s="17">
        <f t="shared" si="93"/>
        <v>40</v>
      </c>
      <c r="N156" s="17">
        <f>+'[1]Sell in ko tính KDT'!M155</f>
        <v>38</v>
      </c>
      <c r="O156" s="17">
        <f>+'[1]Sell in ko tính KDT'!N155</f>
        <v>2</v>
      </c>
      <c r="P156" s="17">
        <f>+'[1]Sell in ko tính KDT'!O155</f>
        <v>0</v>
      </c>
      <c r="Q156" s="17">
        <v>0</v>
      </c>
      <c r="R156" s="17">
        <f t="shared" si="94"/>
        <v>40</v>
      </c>
      <c r="S156" s="17">
        <f>+'[1]Sell in ko tính KDT'!Q155</f>
        <v>30</v>
      </c>
      <c r="T156" s="17">
        <f>+'[1]Sell in ko tính KDT'!R155</f>
        <v>10</v>
      </c>
      <c r="U156" s="17">
        <f>+'[1]Sell in ko tính KDT'!S155</f>
        <v>0</v>
      </c>
      <c r="V156" s="17">
        <v>0</v>
      </c>
      <c r="W156" s="17">
        <f t="shared" si="95"/>
        <v>40</v>
      </c>
      <c r="X156" s="17">
        <f>+'[1]Sell in ko tính KDT'!U155</f>
        <v>30.3</v>
      </c>
      <c r="Y156" s="17">
        <f>+'[1]Sell in ko tính KDT'!V155</f>
        <v>9.6999999999999993</v>
      </c>
      <c r="Z156" s="17">
        <f>+'[1]Sell in ko tính KDT'!W155</f>
        <v>0</v>
      </c>
      <c r="AA156" s="17">
        <v>0</v>
      </c>
      <c r="AB156" s="17">
        <f t="shared" si="96"/>
        <v>40</v>
      </c>
      <c r="AC156" s="17">
        <f>+'[1]Sell in ko tính KDT'!Y155</f>
        <v>18.3</v>
      </c>
      <c r="AD156" s="17">
        <f>+'[1]Sell in ko tính KDT'!Z155</f>
        <v>21.700000000000003</v>
      </c>
      <c r="AE156" s="17">
        <f>+'[1]Sell in ko tính KDT'!AA155</f>
        <v>0</v>
      </c>
      <c r="AF156" s="17">
        <v>0</v>
      </c>
      <c r="AG156" s="17">
        <f t="shared" si="97"/>
        <v>40</v>
      </c>
      <c r="AH156" s="17">
        <f>+'[1]Sell in ko tính KDT'!AC155</f>
        <v>0</v>
      </c>
      <c r="AI156" s="17">
        <f>+'[1]Sell in ko tính KDT'!AD155</f>
        <v>0</v>
      </c>
      <c r="AJ156" s="17">
        <f>+'[1]Sell in ko tính KDT'!AE155</f>
        <v>0</v>
      </c>
      <c r="AK156" s="17">
        <v>0</v>
      </c>
      <c r="AL156" s="17">
        <f t="shared" si="98"/>
        <v>0</v>
      </c>
      <c r="AM156" s="17">
        <f>+'[1]Sell in ko tính KDT'!AG155</f>
        <v>30</v>
      </c>
      <c r="AN156" s="17">
        <f>+'[1]Sell in ko tính KDT'!AH155</f>
        <v>10</v>
      </c>
      <c r="AO156" s="17">
        <f>+'[1]Sell in ko tính KDT'!AI155</f>
        <v>0</v>
      </c>
      <c r="AP156" s="17">
        <v>0</v>
      </c>
      <c r="AQ156" s="17">
        <f t="shared" si="99"/>
        <v>40</v>
      </c>
      <c r="AR156" s="17">
        <f>+'[1]Sell in ko tính KDT'!AK155</f>
        <v>30</v>
      </c>
      <c r="AS156" s="17">
        <f>+'[1]Sell in ko tính KDT'!AL155</f>
        <v>10</v>
      </c>
      <c r="AT156" s="17">
        <f>+'[1]Sell in ko tính KDT'!AM155</f>
        <v>0</v>
      </c>
      <c r="AU156" s="17">
        <v>0</v>
      </c>
      <c r="AV156" s="17">
        <f t="shared" si="100"/>
        <v>40</v>
      </c>
      <c r="AW156" s="17">
        <f>+'[1]Sell in ko tính KDT'!AO155</f>
        <v>30</v>
      </c>
      <c r="AX156" s="17">
        <f>+'[1]Sell in ko tính KDT'!AP155</f>
        <v>10</v>
      </c>
      <c r="AY156" s="17">
        <f>+'[1]Sell in ko tính KDT'!AQ155</f>
        <v>0</v>
      </c>
      <c r="AZ156" s="17">
        <v>0</v>
      </c>
      <c r="BA156" s="17">
        <f t="shared" si="101"/>
        <v>40</v>
      </c>
      <c r="BB156" s="17">
        <f>+'[1]Sell in ko tính KDT'!AS155</f>
        <v>30</v>
      </c>
      <c r="BC156" s="17">
        <f>+'[1]Sell in ko tính KDT'!AT155</f>
        <v>10</v>
      </c>
      <c r="BD156" s="17">
        <f>+'[1]Sell in ko tính KDT'!AU155</f>
        <v>0</v>
      </c>
      <c r="BE156" s="17">
        <v>0</v>
      </c>
      <c r="BF156" s="17">
        <f t="shared" si="102"/>
        <v>40</v>
      </c>
      <c r="BG156" s="17">
        <f>+'[1]Sell in ko tính KDT'!AW155</f>
        <v>30</v>
      </c>
      <c r="BH156" s="17">
        <f>+'[1]Sell in ko tính KDT'!AX155</f>
        <v>10</v>
      </c>
      <c r="BI156" s="17">
        <f>+'[1]Sell in ko tính KDT'!AY155</f>
        <v>0</v>
      </c>
      <c r="BJ156" s="17">
        <v>0</v>
      </c>
      <c r="BK156" s="17">
        <f t="shared" si="103"/>
        <v>40</v>
      </c>
      <c r="BL156" s="17">
        <f>+'[1]Sell in ko tính KDT'!BA155</f>
        <v>30</v>
      </c>
      <c r="BM156" s="17">
        <f>+'[1]Sell in ko tính KDT'!BB155</f>
        <v>10</v>
      </c>
      <c r="BN156" s="17">
        <f>+'[1]Sell in ko tính KDT'!BC155</f>
        <v>0</v>
      </c>
      <c r="BO156" s="17">
        <v>0</v>
      </c>
      <c r="BP156" s="17">
        <f t="shared" si="90"/>
        <v>40</v>
      </c>
      <c r="BQ156" s="17">
        <f t="shared" si="104"/>
        <v>326.10000000000002</v>
      </c>
      <c r="BR156" s="17">
        <f t="shared" si="104"/>
        <v>113.9</v>
      </c>
      <c r="BS156" s="17">
        <f t="shared" si="104"/>
        <v>0</v>
      </c>
      <c r="BT156" s="17">
        <f t="shared" si="104"/>
        <v>0</v>
      </c>
      <c r="BU156" s="17">
        <f t="shared" si="105"/>
        <v>440</v>
      </c>
    </row>
    <row r="157" spans="1:73" s="46" customFormat="1" ht="21" hidden="1" customHeight="1" outlineLevel="1">
      <c r="A157" s="17" t="s">
        <v>352</v>
      </c>
      <c r="B157" s="17" t="s">
        <v>379</v>
      </c>
      <c r="C157" s="45" t="s">
        <v>426</v>
      </c>
      <c r="D157" s="39"/>
      <c r="E157" s="51" t="s">
        <v>408</v>
      </c>
      <c r="F157" s="39"/>
      <c r="G157" s="45" t="s">
        <v>427</v>
      </c>
      <c r="H157" s="45" t="s">
        <v>357</v>
      </c>
      <c r="I157" s="17">
        <f>+'[1]Sell in ko tính KDT'!I156</f>
        <v>0</v>
      </c>
      <c r="J157" s="17">
        <f>+'[1]Sell in ko tính KDT'!J156</f>
        <v>0</v>
      </c>
      <c r="K157" s="17">
        <f>+'[1]Sell in ko tính KDT'!K156</f>
        <v>0</v>
      </c>
      <c r="L157" s="17">
        <v>0</v>
      </c>
      <c r="M157" s="17">
        <f t="shared" si="93"/>
        <v>0</v>
      </c>
      <c r="N157" s="17">
        <f>+'[1]Sell in ko tính KDT'!M156</f>
        <v>0</v>
      </c>
      <c r="O157" s="17">
        <f>+'[1]Sell in ko tính KDT'!N156</f>
        <v>0</v>
      </c>
      <c r="P157" s="17">
        <f>+'[1]Sell in ko tính KDT'!O156</f>
        <v>0</v>
      </c>
      <c r="Q157" s="17">
        <v>0</v>
      </c>
      <c r="R157" s="17">
        <f t="shared" si="94"/>
        <v>0</v>
      </c>
      <c r="S157" s="17">
        <f>+'[1]Sell in ko tính KDT'!Q156</f>
        <v>0</v>
      </c>
      <c r="T157" s="17">
        <f>+'[1]Sell in ko tính KDT'!R156</f>
        <v>0</v>
      </c>
      <c r="U157" s="17">
        <f>+'[1]Sell in ko tính KDT'!S156</f>
        <v>0</v>
      </c>
      <c r="V157" s="17">
        <v>0</v>
      </c>
      <c r="W157" s="17">
        <f t="shared" si="95"/>
        <v>0</v>
      </c>
      <c r="X157" s="17">
        <f>+'[1]Sell in ko tính KDT'!U156</f>
        <v>0</v>
      </c>
      <c r="Y157" s="17">
        <f>+'[1]Sell in ko tính KDT'!V156</f>
        <v>0</v>
      </c>
      <c r="Z157" s="17">
        <f>+'[1]Sell in ko tính KDT'!W156</f>
        <v>0</v>
      </c>
      <c r="AA157" s="17">
        <v>0</v>
      </c>
      <c r="AB157" s="17">
        <f t="shared" si="96"/>
        <v>0</v>
      </c>
      <c r="AC157" s="17">
        <f>+'[1]Sell in ko tính KDT'!Y156</f>
        <v>0</v>
      </c>
      <c r="AD157" s="17">
        <f>+'[1]Sell in ko tính KDT'!Z156</f>
        <v>0</v>
      </c>
      <c r="AE157" s="17">
        <f>+'[1]Sell in ko tính KDT'!AA156</f>
        <v>0</v>
      </c>
      <c r="AF157" s="17">
        <v>0</v>
      </c>
      <c r="AG157" s="17">
        <f t="shared" si="97"/>
        <v>0</v>
      </c>
      <c r="AH157" s="17">
        <f>+'[1]Sell in ko tính KDT'!AC156</f>
        <v>0</v>
      </c>
      <c r="AI157" s="17">
        <f>+'[1]Sell in ko tính KDT'!AD156</f>
        <v>0</v>
      </c>
      <c r="AJ157" s="17">
        <f>+'[1]Sell in ko tính KDT'!AE156</f>
        <v>0</v>
      </c>
      <c r="AK157" s="17">
        <v>0</v>
      </c>
      <c r="AL157" s="17">
        <f t="shared" si="98"/>
        <v>0</v>
      </c>
      <c r="AM157" s="17">
        <f>+'[1]Sell in ko tính KDT'!AG156</f>
        <v>30</v>
      </c>
      <c r="AN157" s="17">
        <f>+'[1]Sell in ko tính KDT'!AH156</f>
        <v>10</v>
      </c>
      <c r="AO157" s="17">
        <f>+'[1]Sell in ko tính KDT'!AI156</f>
        <v>0</v>
      </c>
      <c r="AP157" s="17">
        <v>0</v>
      </c>
      <c r="AQ157" s="17">
        <f t="shared" si="99"/>
        <v>40</v>
      </c>
      <c r="AR157" s="17">
        <f>+'[1]Sell in ko tính KDT'!AK156</f>
        <v>30</v>
      </c>
      <c r="AS157" s="17">
        <f>+'[1]Sell in ko tính KDT'!AL156</f>
        <v>10</v>
      </c>
      <c r="AT157" s="17">
        <f>+'[1]Sell in ko tính KDT'!AM156</f>
        <v>0</v>
      </c>
      <c r="AU157" s="17">
        <v>0</v>
      </c>
      <c r="AV157" s="17">
        <f t="shared" si="100"/>
        <v>40</v>
      </c>
      <c r="AW157" s="17">
        <f>+'[1]Sell in ko tính KDT'!AO156</f>
        <v>30</v>
      </c>
      <c r="AX157" s="17">
        <f>+'[1]Sell in ko tính KDT'!AP156</f>
        <v>10</v>
      </c>
      <c r="AY157" s="17">
        <f>+'[1]Sell in ko tính KDT'!AQ156</f>
        <v>0</v>
      </c>
      <c r="AZ157" s="17">
        <v>0</v>
      </c>
      <c r="BA157" s="17">
        <f t="shared" si="101"/>
        <v>40</v>
      </c>
      <c r="BB157" s="17">
        <f>+'[1]Sell in ko tính KDT'!AS156</f>
        <v>40</v>
      </c>
      <c r="BC157" s="17">
        <f>+'[1]Sell in ko tính KDT'!AT156</f>
        <v>10</v>
      </c>
      <c r="BD157" s="17">
        <f>+'[1]Sell in ko tính KDT'!AU156</f>
        <v>0</v>
      </c>
      <c r="BE157" s="17">
        <v>0</v>
      </c>
      <c r="BF157" s="17">
        <f t="shared" si="102"/>
        <v>50</v>
      </c>
      <c r="BG157" s="17">
        <f>+'[1]Sell in ko tính KDT'!AW156</f>
        <v>40</v>
      </c>
      <c r="BH157" s="17">
        <f>+'[1]Sell in ko tính KDT'!AX156</f>
        <v>10</v>
      </c>
      <c r="BI157" s="17">
        <f>+'[1]Sell in ko tính KDT'!AY156</f>
        <v>0</v>
      </c>
      <c r="BJ157" s="17">
        <v>0</v>
      </c>
      <c r="BK157" s="17">
        <f t="shared" si="103"/>
        <v>50</v>
      </c>
      <c r="BL157" s="17">
        <f>+'[1]Sell in ko tính KDT'!BA156</f>
        <v>40</v>
      </c>
      <c r="BM157" s="17">
        <f>+'[1]Sell in ko tính KDT'!BB156</f>
        <v>10</v>
      </c>
      <c r="BN157" s="17">
        <f>+'[1]Sell in ko tính KDT'!BC156</f>
        <v>0</v>
      </c>
      <c r="BO157" s="17">
        <v>0</v>
      </c>
      <c r="BP157" s="17">
        <f t="shared" si="90"/>
        <v>50</v>
      </c>
      <c r="BQ157" s="17">
        <f t="shared" ref="BQ157:BT159" si="106">BL157+BG157+BB157+AW157+AR157+AM157+AH157+AC157+X157+S157+N157+I157</f>
        <v>210</v>
      </c>
      <c r="BR157" s="17">
        <f t="shared" si="106"/>
        <v>60</v>
      </c>
      <c r="BS157" s="17">
        <f t="shared" si="106"/>
        <v>0</v>
      </c>
      <c r="BT157" s="17">
        <f t="shared" si="106"/>
        <v>0</v>
      </c>
      <c r="BU157" s="17">
        <f t="shared" si="105"/>
        <v>270</v>
      </c>
    </row>
    <row r="158" spans="1:73" s="46" customFormat="1" ht="21" hidden="1" customHeight="1" outlineLevel="1">
      <c r="A158" s="17" t="s">
        <v>352</v>
      </c>
      <c r="B158" s="17" t="s">
        <v>379</v>
      </c>
      <c r="C158" s="45" t="s">
        <v>426</v>
      </c>
      <c r="D158" s="39"/>
      <c r="E158" s="51" t="s">
        <v>408</v>
      </c>
      <c r="F158" s="39" t="s">
        <v>428</v>
      </c>
      <c r="G158" s="45" t="s">
        <v>429</v>
      </c>
      <c r="H158" s="45" t="s">
        <v>357</v>
      </c>
      <c r="I158" s="17">
        <f>+'[1]Sell in ko tính KDT'!I157</f>
        <v>28</v>
      </c>
      <c r="J158" s="17">
        <f>+'[1]Sell in ko tính KDT'!J157</f>
        <v>12</v>
      </c>
      <c r="K158" s="17">
        <f>+'[1]Sell in ko tính KDT'!K157</f>
        <v>0</v>
      </c>
      <c r="L158" s="17">
        <v>0</v>
      </c>
      <c r="M158" s="17">
        <f t="shared" si="93"/>
        <v>40</v>
      </c>
      <c r="N158" s="17">
        <f>+'[1]Sell in ko tính KDT'!M157</f>
        <v>32.5</v>
      </c>
      <c r="O158" s="17">
        <f>+'[1]Sell in ko tính KDT'!N157</f>
        <v>7.5</v>
      </c>
      <c r="P158" s="17">
        <f>+'[1]Sell in ko tính KDT'!O157</f>
        <v>0</v>
      </c>
      <c r="Q158" s="17">
        <v>0</v>
      </c>
      <c r="R158" s="17">
        <f t="shared" si="94"/>
        <v>40</v>
      </c>
      <c r="S158" s="17">
        <f>+'[1]Sell in ko tính KDT'!Q157</f>
        <v>33</v>
      </c>
      <c r="T158" s="17">
        <f>+'[1]Sell in ko tính KDT'!R157</f>
        <v>12</v>
      </c>
      <c r="U158" s="17">
        <f>+'[1]Sell in ko tính KDT'!S157</f>
        <v>0</v>
      </c>
      <c r="V158" s="17">
        <v>0</v>
      </c>
      <c r="W158" s="17">
        <f t="shared" si="95"/>
        <v>45</v>
      </c>
      <c r="X158" s="17">
        <f>+'[1]Sell in ko tính KDT'!U157</f>
        <v>40</v>
      </c>
      <c r="Y158" s="17">
        <f>+'[1]Sell in ko tính KDT'!V157</f>
        <v>5</v>
      </c>
      <c r="Z158" s="17">
        <f>+'[1]Sell in ko tính KDT'!W157</f>
        <v>0</v>
      </c>
      <c r="AA158" s="17">
        <v>0</v>
      </c>
      <c r="AB158" s="17">
        <f t="shared" si="96"/>
        <v>45</v>
      </c>
      <c r="AC158" s="17">
        <f>+'[1]Sell in ko tính KDT'!Y157</f>
        <v>34.5</v>
      </c>
      <c r="AD158" s="17">
        <f>+'[1]Sell in ko tính KDT'!Z157</f>
        <v>10.5</v>
      </c>
      <c r="AE158" s="17">
        <f>+'[1]Sell in ko tính KDT'!AA157</f>
        <v>0</v>
      </c>
      <c r="AF158" s="17">
        <v>0</v>
      </c>
      <c r="AG158" s="17">
        <f t="shared" si="97"/>
        <v>45</v>
      </c>
      <c r="AH158" s="17">
        <f>+'[1]Sell in ko tính KDT'!AC157</f>
        <v>0</v>
      </c>
      <c r="AI158" s="17">
        <f>+'[1]Sell in ko tính KDT'!AD157</f>
        <v>0</v>
      </c>
      <c r="AJ158" s="17">
        <f>+'[1]Sell in ko tính KDT'!AE157</f>
        <v>0</v>
      </c>
      <c r="AK158" s="17">
        <v>0</v>
      </c>
      <c r="AL158" s="17">
        <f t="shared" si="98"/>
        <v>0</v>
      </c>
      <c r="AM158" s="17">
        <f>+'[1]Sell in ko tính KDT'!AG157</f>
        <v>30</v>
      </c>
      <c r="AN158" s="17">
        <f>+'[1]Sell in ko tính KDT'!AH157</f>
        <v>10</v>
      </c>
      <c r="AO158" s="17">
        <f>+'[1]Sell in ko tính KDT'!AI157</f>
        <v>0</v>
      </c>
      <c r="AP158" s="17">
        <v>0</v>
      </c>
      <c r="AQ158" s="17">
        <f t="shared" si="99"/>
        <v>40</v>
      </c>
      <c r="AR158" s="17">
        <f>+'[1]Sell in ko tính KDT'!AK157</f>
        <v>40</v>
      </c>
      <c r="AS158" s="17">
        <f>+'[1]Sell in ko tính KDT'!AL157</f>
        <v>20</v>
      </c>
      <c r="AT158" s="17">
        <f>+'[1]Sell in ko tính KDT'!AM157</f>
        <v>0</v>
      </c>
      <c r="AU158" s="17">
        <v>0</v>
      </c>
      <c r="AV158" s="17">
        <f t="shared" si="100"/>
        <v>60</v>
      </c>
      <c r="AW158" s="17">
        <f>+'[1]Sell in ko tính KDT'!AO157</f>
        <v>40</v>
      </c>
      <c r="AX158" s="17">
        <f>+'[1]Sell in ko tính KDT'!AP157</f>
        <v>20</v>
      </c>
      <c r="AY158" s="17">
        <f>+'[1]Sell in ko tính KDT'!AQ157</f>
        <v>0</v>
      </c>
      <c r="AZ158" s="17">
        <v>0</v>
      </c>
      <c r="BA158" s="17">
        <f t="shared" si="101"/>
        <v>60</v>
      </c>
      <c r="BB158" s="17">
        <f>+'[1]Sell in ko tính KDT'!AS157</f>
        <v>40</v>
      </c>
      <c r="BC158" s="17">
        <f>+'[1]Sell in ko tính KDT'!AT157</f>
        <v>20</v>
      </c>
      <c r="BD158" s="17">
        <f>+'[1]Sell in ko tính KDT'!AU157</f>
        <v>0</v>
      </c>
      <c r="BE158" s="17">
        <v>0</v>
      </c>
      <c r="BF158" s="17">
        <f t="shared" si="102"/>
        <v>60</v>
      </c>
      <c r="BG158" s="17">
        <f>+'[1]Sell in ko tính KDT'!AW157</f>
        <v>40</v>
      </c>
      <c r="BH158" s="17">
        <f>+'[1]Sell in ko tính KDT'!AX157</f>
        <v>20</v>
      </c>
      <c r="BI158" s="17">
        <f>+'[1]Sell in ko tính KDT'!AY157</f>
        <v>0</v>
      </c>
      <c r="BJ158" s="17">
        <v>0</v>
      </c>
      <c r="BK158" s="17">
        <f t="shared" si="103"/>
        <v>60</v>
      </c>
      <c r="BL158" s="17">
        <f>+'[1]Sell in ko tính KDT'!BA157</f>
        <v>40</v>
      </c>
      <c r="BM158" s="17">
        <f>+'[1]Sell in ko tính KDT'!BB157</f>
        <v>20</v>
      </c>
      <c r="BN158" s="17">
        <f>+'[1]Sell in ko tính KDT'!BC157</f>
        <v>0</v>
      </c>
      <c r="BO158" s="17">
        <v>0</v>
      </c>
      <c r="BP158" s="17">
        <f t="shared" si="90"/>
        <v>60</v>
      </c>
      <c r="BQ158" s="17">
        <f t="shared" si="106"/>
        <v>398</v>
      </c>
      <c r="BR158" s="17">
        <f t="shared" si="106"/>
        <v>157</v>
      </c>
      <c r="BS158" s="17">
        <f t="shared" si="106"/>
        <v>0</v>
      </c>
      <c r="BT158" s="17">
        <f t="shared" si="106"/>
        <v>0</v>
      </c>
      <c r="BU158" s="17">
        <f t="shared" si="105"/>
        <v>555</v>
      </c>
    </row>
    <row r="159" spans="1:73" s="46" customFormat="1" ht="21" hidden="1" customHeight="1" outlineLevel="1">
      <c r="A159" s="17" t="s">
        <v>352</v>
      </c>
      <c r="B159" s="17" t="s">
        <v>379</v>
      </c>
      <c r="C159" s="16" t="s">
        <v>430</v>
      </c>
      <c r="D159" s="18"/>
      <c r="E159" s="57" t="s">
        <v>431</v>
      </c>
      <c r="F159" s="18" t="s">
        <v>432</v>
      </c>
      <c r="G159" s="58" t="s">
        <v>433</v>
      </c>
      <c r="H159" s="58" t="s">
        <v>45</v>
      </c>
      <c r="I159" s="17">
        <f>+'[1]Sell in ko tính KDT'!I158</f>
        <v>0</v>
      </c>
      <c r="J159" s="17">
        <f>+'[1]Sell in ko tính KDT'!J158</f>
        <v>0</v>
      </c>
      <c r="K159" s="17">
        <f>+'[1]Sell in ko tính KDT'!K158</f>
        <v>0</v>
      </c>
      <c r="L159" s="17">
        <v>0</v>
      </c>
      <c r="M159" s="17">
        <f t="shared" si="93"/>
        <v>0</v>
      </c>
      <c r="N159" s="17">
        <f>+'[1]Sell in ko tính KDT'!M158</f>
        <v>0</v>
      </c>
      <c r="O159" s="17">
        <f>+'[1]Sell in ko tính KDT'!N158</f>
        <v>0</v>
      </c>
      <c r="P159" s="17">
        <f>+'[1]Sell in ko tính KDT'!O158</f>
        <v>0</v>
      </c>
      <c r="Q159" s="17">
        <v>0</v>
      </c>
      <c r="R159" s="17">
        <f t="shared" si="94"/>
        <v>0</v>
      </c>
      <c r="S159" s="17">
        <f>+'[1]Sell in ko tính KDT'!Q158</f>
        <v>51</v>
      </c>
      <c r="T159" s="17">
        <f>+'[1]Sell in ko tính KDT'!R158</f>
        <v>176</v>
      </c>
      <c r="U159" s="17">
        <f>+'[1]Sell in ko tính KDT'!S158</f>
        <v>0</v>
      </c>
      <c r="V159" s="17">
        <v>0</v>
      </c>
      <c r="W159" s="17">
        <f t="shared" si="95"/>
        <v>227</v>
      </c>
      <c r="X159" s="17">
        <f>+'[1]Sell in ko tính KDT'!U158</f>
        <v>45.5</v>
      </c>
      <c r="Y159" s="17">
        <f>+'[1]Sell in ko tính KDT'!V158</f>
        <v>179.5</v>
      </c>
      <c r="Z159" s="17">
        <f>+'[1]Sell in ko tính KDT'!W158</f>
        <v>0</v>
      </c>
      <c r="AA159" s="17">
        <v>0</v>
      </c>
      <c r="AB159" s="17">
        <f t="shared" si="96"/>
        <v>225</v>
      </c>
      <c r="AC159" s="17">
        <f>+'[1]Sell in ko tính KDT'!Y158</f>
        <v>45</v>
      </c>
      <c r="AD159" s="17">
        <f>+'[1]Sell in ko tính KDT'!Z158</f>
        <v>181.5</v>
      </c>
      <c r="AE159" s="17">
        <f>+'[1]Sell in ko tính KDT'!AA158</f>
        <v>0</v>
      </c>
      <c r="AF159" s="17">
        <v>0</v>
      </c>
      <c r="AG159" s="17">
        <f t="shared" si="97"/>
        <v>226.5</v>
      </c>
      <c r="AH159" s="17">
        <f>+'[1]Sell in ko tính KDT'!AC158</f>
        <v>150</v>
      </c>
      <c r="AI159" s="17">
        <f>+'[1]Sell in ko tính KDT'!AD158</f>
        <v>66</v>
      </c>
      <c r="AJ159" s="17">
        <f>+'[1]Sell in ko tính KDT'!AE158</f>
        <v>0</v>
      </c>
      <c r="AK159" s="17">
        <v>0</v>
      </c>
      <c r="AL159" s="17">
        <f t="shared" si="98"/>
        <v>216</v>
      </c>
      <c r="AM159" s="17">
        <f>+'[1]Sell in ko tính KDT'!AG158</f>
        <v>160</v>
      </c>
      <c r="AN159" s="17">
        <f>+'[1]Sell in ko tính KDT'!AH158</f>
        <v>65</v>
      </c>
      <c r="AO159" s="17">
        <f>+'[1]Sell in ko tính KDT'!AI158</f>
        <v>0</v>
      </c>
      <c r="AP159" s="17">
        <v>0</v>
      </c>
      <c r="AQ159" s="17">
        <f t="shared" si="99"/>
        <v>225</v>
      </c>
      <c r="AR159" s="17">
        <f>+'[1]Sell in ko tính KDT'!AK158</f>
        <v>160</v>
      </c>
      <c r="AS159" s="17">
        <f>+'[1]Sell in ko tính KDT'!AL158</f>
        <v>65</v>
      </c>
      <c r="AT159" s="17">
        <f>+'[1]Sell in ko tính KDT'!AM158</f>
        <v>0</v>
      </c>
      <c r="AU159" s="17">
        <v>0</v>
      </c>
      <c r="AV159" s="17">
        <f t="shared" si="100"/>
        <v>225</v>
      </c>
      <c r="AW159" s="17">
        <f>+'[1]Sell in ko tính KDT'!AO158</f>
        <v>160</v>
      </c>
      <c r="AX159" s="17">
        <f>+'[1]Sell in ko tính KDT'!AP158</f>
        <v>65</v>
      </c>
      <c r="AY159" s="17">
        <f>+'[1]Sell in ko tính KDT'!AQ158</f>
        <v>0</v>
      </c>
      <c r="AZ159" s="17">
        <v>0</v>
      </c>
      <c r="BA159" s="17">
        <f t="shared" si="101"/>
        <v>225</v>
      </c>
      <c r="BB159" s="17">
        <f>+'[1]Sell in ko tính KDT'!AS158</f>
        <v>160</v>
      </c>
      <c r="BC159" s="17">
        <f>+'[1]Sell in ko tính KDT'!AT158</f>
        <v>65</v>
      </c>
      <c r="BD159" s="17">
        <f>+'[1]Sell in ko tính KDT'!AU158</f>
        <v>0</v>
      </c>
      <c r="BE159" s="17">
        <v>0</v>
      </c>
      <c r="BF159" s="17">
        <f t="shared" si="102"/>
        <v>225</v>
      </c>
      <c r="BG159" s="17">
        <f>+'[1]Sell in ko tính KDT'!AW158</f>
        <v>160</v>
      </c>
      <c r="BH159" s="17">
        <f>+'[1]Sell in ko tính KDT'!AX158</f>
        <v>65</v>
      </c>
      <c r="BI159" s="17">
        <f>+'[1]Sell in ko tính KDT'!AY158</f>
        <v>0</v>
      </c>
      <c r="BJ159" s="17">
        <v>0</v>
      </c>
      <c r="BK159" s="17">
        <f t="shared" si="103"/>
        <v>225</v>
      </c>
      <c r="BL159" s="17">
        <f>+'[1]Sell in ko tính KDT'!BA158</f>
        <v>160</v>
      </c>
      <c r="BM159" s="17">
        <f>+'[1]Sell in ko tính KDT'!BB158</f>
        <v>65</v>
      </c>
      <c r="BN159" s="17">
        <f>+'[1]Sell in ko tính KDT'!BC158</f>
        <v>0</v>
      </c>
      <c r="BO159" s="17">
        <v>0</v>
      </c>
      <c r="BP159" s="17">
        <f t="shared" si="90"/>
        <v>225</v>
      </c>
      <c r="BQ159" s="17">
        <f t="shared" si="106"/>
        <v>1251.5</v>
      </c>
      <c r="BR159" s="17">
        <f t="shared" si="106"/>
        <v>993</v>
      </c>
      <c r="BS159" s="17">
        <f t="shared" si="106"/>
        <v>0</v>
      </c>
      <c r="BT159" s="17">
        <f t="shared" si="106"/>
        <v>0</v>
      </c>
      <c r="BU159" s="17">
        <f t="shared" si="105"/>
        <v>2244.5</v>
      </c>
    </row>
    <row r="160" spans="1:73" s="38" customFormat="1" ht="21" customHeight="1" collapsed="1">
      <c r="A160" s="25" t="s">
        <v>352</v>
      </c>
      <c r="B160" s="25" t="s">
        <v>434</v>
      </c>
      <c r="C160" s="24"/>
      <c r="D160" s="24"/>
      <c r="E160" s="24"/>
      <c r="F160" s="24"/>
      <c r="G160" s="24" t="s">
        <v>434</v>
      </c>
      <c r="H160" s="24"/>
      <c r="I160" s="25">
        <f>SUM(I141:I159)</f>
        <v>896.6</v>
      </c>
      <c r="J160" s="25">
        <f t="shared" ref="J160:BU160" si="107">SUM(J141:J159)</f>
        <v>272.5</v>
      </c>
      <c r="K160" s="25">
        <f t="shared" si="107"/>
        <v>0</v>
      </c>
      <c r="L160" s="25">
        <f t="shared" si="107"/>
        <v>0</v>
      </c>
      <c r="M160" s="25">
        <f t="shared" si="107"/>
        <v>1169.0999999999999</v>
      </c>
      <c r="N160" s="25">
        <f t="shared" si="107"/>
        <v>920.6</v>
      </c>
      <c r="O160" s="25">
        <f t="shared" si="107"/>
        <v>248.9</v>
      </c>
      <c r="P160" s="25">
        <f t="shared" si="107"/>
        <v>0</v>
      </c>
      <c r="Q160" s="25">
        <f t="shared" si="107"/>
        <v>0</v>
      </c>
      <c r="R160" s="25">
        <f t="shared" si="107"/>
        <v>1169.5</v>
      </c>
      <c r="S160" s="25">
        <f t="shared" si="107"/>
        <v>952.4</v>
      </c>
      <c r="T160" s="25">
        <f t="shared" si="107"/>
        <v>312.10000000000002</v>
      </c>
      <c r="U160" s="25">
        <f t="shared" si="107"/>
        <v>0</v>
      </c>
      <c r="V160" s="25">
        <f t="shared" si="107"/>
        <v>0</v>
      </c>
      <c r="W160" s="25">
        <f t="shared" si="107"/>
        <v>1264.5</v>
      </c>
      <c r="X160" s="25">
        <f t="shared" si="107"/>
        <v>925.69999999999993</v>
      </c>
      <c r="Y160" s="25">
        <f t="shared" si="107"/>
        <v>365.79999999999995</v>
      </c>
      <c r="Z160" s="25">
        <f t="shared" si="107"/>
        <v>0</v>
      </c>
      <c r="AA160" s="25">
        <f t="shared" si="107"/>
        <v>0</v>
      </c>
      <c r="AB160" s="25">
        <f t="shared" si="107"/>
        <v>1291.5</v>
      </c>
      <c r="AC160" s="25">
        <f t="shared" si="107"/>
        <v>996.44999999999993</v>
      </c>
      <c r="AD160" s="25">
        <f t="shared" si="107"/>
        <v>371.8</v>
      </c>
      <c r="AE160" s="25">
        <f t="shared" si="107"/>
        <v>0</v>
      </c>
      <c r="AF160" s="25">
        <f t="shared" si="107"/>
        <v>0</v>
      </c>
      <c r="AG160" s="25">
        <f t="shared" si="107"/>
        <v>1368.25</v>
      </c>
      <c r="AH160" s="25">
        <f t="shared" si="107"/>
        <v>680</v>
      </c>
      <c r="AI160" s="25">
        <f t="shared" si="107"/>
        <v>244</v>
      </c>
      <c r="AJ160" s="25">
        <f t="shared" si="107"/>
        <v>0</v>
      </c>
      <c r="AK160" s="25">
        <f t="shared" si="107"/>
        <v>0</v>
      </c>
      <c r="AL160" s="25">
        <f t="shared" si="107"/>
        <v>924</v>
      </c>
      <c r="AM160" s="25">
        <f t="shared" si="107"/>
        <v>950</v>
      </c>
      <c r="AN160" s="25">
        <f t="shared" si="107"/>
        <v>329</v>
      </c>
      <c r="AO160" s="25">
        <f t="shared" si="107"/>
        <v>0</v>
      </c>
      <c r="AP160" s="25">
        <f t="shared" si="107"/>
        <v>0</v>
      </c>
      <c r="AQ160" s="25">
        <f t="shared" si="107"/>
        <v>1279</v>
      </c>
      <c r="AR160" s="25">
        <f t="shared" si="107"/>
        <v>1005</v>
      </c>
      <c r="AS160" s="25">
        <f t="shared" si="107"/>
        <v>375</v>
      </c>
      <c r="AT160" s="25">
        <f t="shared" si="107"/>
        <v>0</v>
      </c>
      <c r="AU160" s="25">
        <f t="shared" si="107"/>
        <v>0</v>
      </c>
      <c r="AV160" s="25">
        <f t="shared" si="107"/>
        <v>1380</v>
      </c>
      <c r="AW160" s="25">
        <f t="shared" si="107"/>
        <v>1015</v>
      </c>
      <c r="AX160" s="25">
        <f t="shared" si="107"/>
        <v>375</v>
      </c>
      <c r="AY160" s="25">
        <f t="shared" si="107"/>
        <v>0</v>
      </c>
      <c r="AZ160" s="25">
        <f t="shared" si="107"/>
        <v>0</v>
      </c>
      <c r="BA160" s="25">
        <f t="shared" si="107"/>
        <v>1390</v>
      </c>
      <c r="BB160" s="25">
        <f t="shared" si="107"/>
        <v>1025</v>
      </c>
      <c r="BC160" s="25">
        <f t="shared" si="107"/>
        <v>375</v>
      </c>
      <c r="BD160" s="25">
        <f t="shared" si="107"/>
        <v>0</v>
      </c>
      <c r="BE160" s="25">
        <f t="shared" si="107"/>
        <v>0</v>
      </c>
      <c r="BF160" s="25">
        <f t="shared" si="107"/>
        <v>1400</v>
      </c>
      <c r="BG160" s="25">
        <f t="shared" si="107"/>
        <v>1025</v>
      </c>
      <c r="BH160" s="25">
        <f t="shared" si="107"/>
        <v>375</v>
      </c>
      <c r="BI160" s="25">
        <f t="shared" si="107"/>
        <v>0</v>
      </c>
      <c r="BJ160" s="25">
        <f t="shared" si="107"/>
        <v>0</v>
      </c>
      <c r="BK160" s="25">
        <f t="shared" si="107"/>
        <v>1400</v>
      </c>
      <c r="BL160" s="25">
        <f t="shared" si="107"/>
        <v>1025</v>
      </c>
      <c r="BM160" s="25">
        <f t="shared" si="107"/>
        <v>375</v>
      </c>
      <c r="BN160" s="25">
        <f t="shared" si="107"/>
        <v>0</v>
      </c>
      <c r="BO160" s="25">
        <f t="shared" si="107"/>
        <v>0</v>
      </c>
      <c r="BP160" s="25">
        <f t="shared" si="107"/>
        <v>1400</v>
      </c>
      <c r="BQ160" s="25">
        <f t="shared" si="107"/>
        <v>11416.75</v>
      </c>
      <c r="BR160" s="25">
        <f t="shared" si="107"/>
        <v>4019.1</v>
      </c>
      <c r="BS160" s="25">
        <f t="shared" si="107"/>
        <v>0</v>
      </c>
      <c r="BT160" s="25">
        <f t="shared" si="107"/>
        <v>0</v>
      </c>
      <c r="BU160" s="25">
        <f t="shared" si="107"/>
        <v>15435.85</v>
      </c>
    </row>
    <row r="161" spans="1:73" s="46" customFormat="1" ht="22.35" hidden="1" customHeight="1" outlineLevel="1">
      <c r="A161" s="31" t="s">
        <v>352</v>
      </c>
      <c r="B161" s="31" t="s">
        <v>435</v>
      </c>
      <c r="C161" s="45" t="s">
        <v>436</v>
      </c>
      <c r="D161" s="31"/>
      <c r="E161" s="59" t="s">
        <v>437</v>
      </c>
      <c r="F161" s="39" t="s">
        <v>438</v>
      </c>
      <c r="G161" s="45" t="s">
        <v>439</v>
      </c>
      <c r="H161" s="45" t="s">
        <v>357</v>
      </c>
      <c r="I161" s="17">
        <f>+'[1]Sell in ko tính KDT'!I160</f>
        <v>25.5</v>
      </c>
      <c r="J161" s="17">
        <f>+'[1]Sell in ko tính KDT'!J160</f>
        <v>17.899999999999999</v>
      </c>
      <c r="K161" s="17">
        <f>+'[1]Sell in ko tính KDT'!K160</f>
        <v>0</v>
      </c>
      <c r="L161" s="17">
        <v>0</v>
      </c>
      <c r="M161" s="17">
        <f t="shared" ref="M161:M175" si="108">I161+J161+L161+K161</f>
        <v>43.4</v>
      </c>
      <c r="N161" s="17">
        <f>+'[1]Sell in ko tính KDT'!M160</f>
        <v>29</v>
      </c>
      <c r="O161" s="17">
        <f>+'[1]Sell in ko tính KDT'!N160</f>
        <v>11</v>
      </c>
      <c r="P161" s="17">
        <f>+'[1]Sell in ko tính KDT'!O160</f>
        <v>0</v>
      </c>
      <c r="Q161" s="17">
        <v>0</v>
      </c>
      <c r="R161" s="17">
        <f t="shared" ref="R161:R175" si="109">N161+O161+Q161+P161</f>
        <v>40</v>
      </c>
      <c r="S161" s="17">
        <f>+'[1]Sell in ko tính KDT'!Q160</f>
        <v>37.4</v>
      </c>
      <c r="T161" s="17">
        <f>+'[1]Sell in ko tính KDT'!R160</f>
        <v>11</v>
      </c>
      <c r="U161" s="17">
        <f>+'[1]Sell in ko tính KDT'!S160</f>
        <v>0</v>
      </c>
      <c r="V161" s="17">
        <v>0</v>
      </c>
      <c r="W161" s="17">
        <f t="shared" ref="W161:W175" si="110">S161+T161+V161+U161</f>
        <v>48.4</v>
      </c>
      <c r="X161" s="17">
        <f>+'[1]Sell in ko tính KDT'!U160</f>
        <v>33.799999999999997</v>
      </c>
      <c r="Y161" s="17">
        <f>+'[1]Sell in ko tính KDT'!V160</f>
        <v>9</v>
      </c>
      <c r="Z161" s="17">
        <f>+'[1]Sell in ko tính KDT'!W160</f>
        <v>0</v>
      </c>
      <c r="AA161" s="17">
        <v>0</v>
      </c>
      <c r="AB161" s="17">
        <f t="shared" ref="AB161:AB175" si="111">X161+Y161+AA161+Z161</f>
        <v>42.8</v>
      </c>
      <c r="AC161" s="17">
        <f>+'[1]Sell in ko tính KDT'!Y160</f>
        <v>40</v>
      </c>
      <c r="AD161" s="17">
        <f>+'[1]Sell in ko tính KDT'!Z160</f>
        <v>0</v>
      </c>
      <c r="AE161" s="17">
        <f>+'[1]Sell in ko tính KDT'!AA160</f>
        <v>0</v>
      </c>
      <c r="AF161" s="17">
        <v>0</v>
      </c>
      <c r="AG161" s="17">
        <f t="shared" ref="AG161:AG175" si="112">AC161+AD161+AF161+AE161</f>
        <v>40</v>
      </c>
      <c r="AH161" s="17">
        <f>+'[1]Sell in ko tính KDT'!AC160</f>
        <v>30</v>
      </c>
      <c r="AI161" s="17">
        <f>+'[1]Sell in ko tính KDT'!AD160</f>
        <v>10</v>
      </c>
      <c r="AJ161" s="17">
        <f>+'[1]Sell in ko tính KDT'!AE160</f>
        <v>0</v>
      </c>
      <c r="AK161" s="17">
        <v>0</v>
      </c>
      <c r="AL161" s="17">
        <f t="shared" ref="AL161:AL175" si="113">AH161+AI161+AK161+AJ161</f>
        <v>40</v>
      </c>
      <c r="AM161" s="17">
        <f>+'[1]Sell in ko tính KDT'!AG160</f>
        <v>30</v>
      </c>
      <c r="AN161" s="17">
        <f>+'[1]Sell in ko tính KDT'!AH160</f>
        <v>10</v>
      </c>
      <c r="AO161" s="17">
        <f>+'[1]Sell in ko tính KDT'!AI160</f>
        <v>0</v>
      </c>
      <c r="AP161" s="17">
        <v>0</v>
      </c>
      <c r="AQ161" s="17">
        <f t="shared" ref="AQ161:AQ175" si="114">AM161+AN161+AP161+AO161</f>
        <v>40</v>
      </c>
      <c r="AR161" s="17">
        <f>+'[1]Sell in ko tính KDT'!AK160</f>
        <v>30</v>
      </c>
      <c r="AS161" s="17">
        <f>+'[1]Sell in ko tính KDT'!AL160</f>
        <v>10</v>
      </c>
      <c r="AT161" s="17">
        <f>+'[1]Sell in ko tính KDT'!AM160</f>
        <v>0</v>
      </c>
      <c r="AU161" s="17">
        <v>0</v>
      </c>
      <c r="AV161" s="17">
        <f t="shared" ref="AV161:AV175" si="115">AR161+AS161+AU161+AT161</f>
        <v>40</v>
      </c>
      <c r="AW161" s="17">
        <f>+'[1]Sell in ko tính KDT'!AO160</f>
        <v>30</v>
      </c>
      <c r="AX161" s="17">
        <f>+'[1]Sell in ko tính KDT'!AP160</f>
        <v>10</v>
      </c>
      <c r="AY161" s="17">
        <f>+'[1]Sell in ko tính KDT'!AQ160</f>
        <v>0</v>
      </c>
      <c r="AZ161" s="17">
        <v>0</v>
      </c>
      <c r="BA161" s="17">
        <f t="shared" ref="BA161:BA175" si="116">AW161+AX161+AZ161+AY161</f>
        <v>40</v>
      </c>
      <c r="BB161" s="17">
        <f>+'[1]Sell in ko tính KDT'!AS160</f>
        <v>30</v>
      </c>
      <c r="BC161" s="17">
        <f>+'[1]Sell in ko tính KDT'!AT160</f>
        <v>10</v>
      </c>
      <c r="BD161" s="17">
        <f>+'[1]Sell in ko tính KDT'!AU160</f>
        <v>0</v>
      </c>
      <c r="BE161" s="17">
        <v>0</v>
      </c>
      <c r="BF161" s="17">
        <f t="shared" ref="BF161:BF175" si="117">BB161+BC161+BE161+BD161</f>
        <v>40</v>
      </c>
      <c r="BG161" s="17">
        <f>+'[1]Sell in ko tính KDT'!AW160</f>
        <v>30</v>
      </c>
      <c r="BH161" s="17">
        <f>+'[1]Sell in ko tính KDT'!AX160</f>
        <v>10</v>
      </c>
      <c r="BI161" s="17">
        <f>+'[1]Sell in ko tính KDT'!AY160</f>
        <v>0</v>
      </c>
      <c r="BJ161" s="17">
        <v>0</v>
      </c>
      <c r="BK161" s="17">
        <f t="shared" ref="BK161:BK175" si="118">BG161+BH161+BJ161+BI161</f>
        <v>40</v>
      </c>
      <c r="BL161" s="17">
        <f>+'[1]Sell in ko tính KDT'!BA160</f>
        <v>30</v>
      </c>
      <c r="BM161" s="17">
        <f>+'[1]Sell in ko tính KDT'!BB160</f>
        <v>10</v>
      </c>
      <c r="BN161" s="17">
        <f>+'[1]Sell in ko tính KDT'!BC160</f>
        <v>0</v>
      </c>
      <c r="BO161" s="17">
        <v>0</v>
      </c>
      <c r="BP161" s="17">
        <f t="shared" ref="BP161:BP195" si="119">BL161+BM161+BO161+BN161</f>
        <v>40</v>
      </c>
      <c r="BQ161" s="17">
        <f t="shared" ref="BQ161:BT175" si="120">BL161+BG161+BB161+AW161+AR161+AM161+AH161+AC161+X161+S161+N161+I161</f>
        <v>375.7</v>
      </c>
      <c r="BR161" s="17">
        <f t="shared" si="120"/>
        <v>118.9</v>
      </c>
      <c r="BS161" s="17">
        <f t="shared" si="120"/>
        <v>0</v>
      </c>
      <c r="BT161" s="17">
        <f t="shared" si="120"/>
        <v>0</v>
      </c>
      <c r="BU161" s="17">
        <f t="shared" si="105"/>
        <v>494.6</v>
      </c>
    </row>
    <row r="162" spans="1:73" s="46" customFormat="1" ht="22.35" hidden="1" customHeight="1" outlineLevel="1">
      <c r="A162" s="31" t="s">
        <v>352</v>
      </c>
      <c r="B162" s="31" t="s">
        <v>435</v>
      </c>
      <c r="C162" s="45" t="s">
        <v>440</v>
      </c>
      <c r="D162" s="31"/>
      <c r="E162" s="59" t="s">
        <v>437</v>
      </c>
      <c r="F162" s="32" t="s">
        <v>441</v>
      </c>
      <c r="G162" s="19" t="s">
        <v>442</v>
      </c>
      <c r="H162" s="45" t="s">
        <v>357</v>
      </c>
      <c r="I162" s="17">
        <f>+'[1]Sell in ko tính KDT'!I161</f>
        <v>0</v>
      </c>
      <c r="J162" s="17">
        <f>+'[1]Sell in ko tính KDT'!J161</f>
        <v>50</v>
      </c>
      <c r="K162" s="17">
        <f>+'[1]Sell in ko tính KDT'!K161</f>
        <v>0</v>
      </c>
      <c r="L162" s="17">
        <v>0</v>
      </c>
      <c r="M162" s="17">
        <f t="shared" si="108"/>
        <v>50</v>
      </c>
      <c r="N162" s="17">
        <f>+'[1]Sell in ko tính KDT'!M161</f>
        <v>0</v>
      </c>
      <c r="O162" s="17">
        <f>+'[1]Sell in ko tính KDT'!N161</f>
        <v>50</v>
      </c>
      <c r="P162" s="17">
        <f>+'[1]Sell in ko tính KDT'!O161</f>
        <v>0</v>
      </c>
      <c r="Q162" s="17">
        <v>0</v>
      </c>
      <c r="R162" s="17">
        <f t="shared" si="109"/>
        <v>50</v>
      </c>
      <c r="S162" s="17">
        <f>+'[1]Sell in ko tính KDT'!Q161</f>
        <v>0</v>
      </c>
      <c r="T162" s="17">
        <f>+'[1]Sell in ko tính KDT'!R161</f>
        <v>40</v>
      </c>
      <c r="U162" s="17">
        <f>+'[1]Sell in ko tính KDT'!S161</f>
        <v>0</v>
      </c>
      <c r="V162" s="17">
        <v>0</v>
      </c>
      <c r="W162" s="17">
        <f t="shared" si="110"/>
        <v>40</v>
      </c>
      <c r="X162" s="17">
        <f>+'[1]Sell in ko tính KDT'!U161</f>
        <v>0</v>
      </c>
      <c r="Y162" s="17">
        <f>+'[1]Sell in ko tính KDT'!V161</f>
        <v>50</v>
      </c>
      <c r="Z162" s="17">
        <f>+'[1]Sell in ko tính KDT'!W161</f>
        <v>0</v>
      </c>
      <c r="AA162" s="17">
        <v>0</v>
      </c>
      <c r="AB162" s="17">
        <f t="shared" si="111"/>
        <v>50</v>
      </c>
      <c r="AC162" s="17">
        <f>+'[1]Sell in ko tính KDT'!Y161</f>
        <v>0</v>
      </c>
      <c r="AD162" s="17">
        <f>+'[1]Sell in ko tính KDT'!Z161</f>
        <v>50</v>
      </c>
      <c r="AE162" s="17">
        <f>+'[1]Sell in ko tính KDT'!AA161</f>
        <v>0</v>
      </c>
      <c r="AF162" s="17">
        <v>0</v>
      </c>
      <c r="AG162" s="17">
        <f t="shared" si="112"/>
        <v>50</v>
      </c>
      <c r="AH162" s="17">
        <f>+'[1]Sell in ko tính KDT'!AC161</f>
        <v>30</v>
      </c>
      <c r="AI162" s="17">
        <f>+'[1]Sell in ko tính KDT'!AD161</f>
        <v>10</v>
      </c>
      <c r="AJ162" s="17">
        <f>+'[1]Sell in ko tính KDT'!AE161</f>
        <v>0</v>
      </c>
      <c r="AK162" s="17">
        <v>0</v>
      </c>
      <c r="AL162" s="17">
        <f t="shared" si="113"/>
        <v>40</v>
      </c>
      <c r="AM162" s="17">
        <f>+'[1]Sell in ko tính KDT'!AG161</f>
        <v>30</v>
      </c>
      <c r="AN162" s="17">
        <f>+'[1]Sell in ko tính KDT'!AH161</f>
        <v>10</v>
      </c>
      <c r="AO162" s="17">
        <f>+'[1]Sell in ko tính KDT'!AI161</f>
        <v>0</v>
      </c>
      <c r="AP162" s="17">
        <v>0</v>
      </c>
      <c r="AQ162" s="17">
        <f t="shared" si="114"/>
        <v>40</v>
      </c>
      <c r="AR162" s="17">
        <f>+'[1]Sell in ko tính KDT'!AK161</f>
        <v>30</v>
      </c>
      <c r="AS162" s="17">
        <f>+'[1]Sell in ko tính KDT'!AL161</f>
        <v>10</v>
      </c>
      <c r="AT162" s="17">
        <f>+'[1]Sell in ko tính KDT'!AM161</f>
        <v>0</v>
      </c>
      <c r="AU162" s="17">
        <v>0</v>
      </c>
      <c r="AV162" s="17">
        <f t="shared" si="115"/>
        <v>40</v>
      </c>
      <c r="AW162" s="17">
        <f>+'[1]Sell in ko tính KDT'!AO161</f>
        <v>30</v>
      </c>
      <c r="AX162" s="17">
        <f>+'[1]Sell in ko tính KDT'!AP161</f>
        <v>10</v>
      </c>
      <c r="AY162" s="17">
        <f>+'[1]Sell in ko tính KDT'!AQ161</f>
        <v>0</v>
      </c>
      <c r="AZ162" s="17">
        <v>0</v>
      </c>
      <c r="BA162" s="17">
        <f t="shared" si="116"/>
        <v>40</v>
      </c>
      <c r="BB162" s="17">
        <f>+'[1]Sell in ko tính KDT'!AS161</f>
        <v>30</v>
      </c>
      <c r="BC162" s="17">
        <f>+'[1]Sell in ko tính KDT'!AT161</f>
        <v>10</v>
      </c>
      <c r="BD162" s="17">
        <f>+'[1]Sell in ko tính KDT'!AU161</f>
        <v>0</v>
      </c>
      <c r="BE162" s="17">
        <v>0</v>
      </c>
      <c r="BF162" s="17">
        <f t="shared" si="117"/>
        <v>40</v>
      </c>
      <c r="BG162" s="17">
        <f>+'[1]Sell in ko tính KDT'!AW161</f>
        <v>30</v>
      </c>
      <c r="BH162" s="17">
        <f>+'[1]Sell in ko tính KDT'!AX161</f>
        <v>10</v>
      </c>
      <c r="BI162" s="17">
        <f>+'[1]Sell in ko tính KDT'!AY161</f>
        <v>0</v>
      </c>
      <c r="BJ162" s="17">
        <v>0</v>
      </c>
      <c r="BK162" s="17">
        <f t="shared" si="118"/>
        <v>40</v>
      </c>
      <c r="BL162" s="17">
        <f>+'[1]Sell in ko tính KDT'!BA161</f>
        <v>30</v>
      </c>
      <c r="BM162" s="17">
        <f>+'[1]Sell in ko tính KDT'!BB161</f>
        <v>10</v>
      </c>
      <c r="BN162" s="17">
        <f>+'[1]Sell in ko tính KDT'!BC161</f>
        <v>0</v>
      </c>
      <c r="BO162" s="17">
        <v>0</v>
      </c>
      <c r="BP162" s="17">
        <f t="shared" si="119"/>
        <v>40</v>
      </c>
      <c r="BQ162" s="17">
        <f t="shared" si="120"/>
        <v>210</v>
      </c>
      <c r="BR162" s="17">
        <f t="shared" si="120"/>
        <v>310</v>
      </c>
      <c r="BS162" s="17">
        <f t="shared" si="120"/>
        <v>0</v>
      </c>
      <c r="BT162" s="17">
        <f t="shared" si="120"/>
        <v>0</v>
      </c>
      <c r="BU162" s="17">
        <f t="shared" si="105"/>
        <v>520</v>
      </c>
    </row>
    <row r="163" spans="1:73" s="46" customFormat="1" ht="22.35" hidden="1" customHeight="1" outlineLevel="1">
      <c r="A163" s="31" t="s">
        <v>352</v>
      </c>
      <c r="B163" s="31" t="s">
        <v>435</v>
      </c>
      <c r="C163" s="45" t="s">
        <v>440</v>
      </c>
      <c r="D163" s="31"/>
      <c r="E163" s="59" t="s">
        <v>437</v>
      </c>
      <c r="F163" s="60" t="s">
        <v>443</v>
      </c>
      <c r="G163" s="61" t="s">
        <v>444</v>
      </c>
      <c r="H163" s="45" t="s">
        <v>357</v>
      </c>
      <c r="I163" s="17">
        <f>+'[1]Sell in ko tính KDT'!I162</f>
        <v>42</v>
      </c>
      <c r="J163" s="17">
        <f>+'[1]Sell in ko tính KDT'!J162</f>
        <v>0</v>
      </c>
      <c r="K163" s="17">
        <f>+'[1]Sell in ko tính KDT'!K162</f>
        <v>0</v>
      </c>
      <c r="L163" s="17">
        <v>0</v>
      </c>
      <c r="M163" s="17">
        <f t="shared" si="108"/>
        <v>42</v>
      </c>
      <c r="N163" s="17">
        <f>+'[1]Sell in ko tính KDT'!M162</f>
        <v>41</v>
      </c>
      <c r="O163" s="17">
        <f>+'[1]Sell in ko tính KDT'!N162</f>
        <v>0</v>
      </c>
      <c r="P163" s="17">
        <f>+'[1]Sell in ko tính KDT'!O162</f>
        <v>0</v>
      </c>
      <c r="Q163" s="17">
        <v>0</v>
      </c>
      <c r="R163" s="17">
        <f t="shared" si="109"/>
        <v>41</v>
      </c>
      <c r="S163" s="17">
        <f>+'[1]Sell in ko tính KDT'!Q162</f>
        <v>42</v>
      </c>
      <c r="T163" s="17">
        <f>+'[1]Sell in ko tính KDT'!R162</f>
        <v>0</v>
      </c>
      <c r="U163" s="17">
        <f>+'[1]Sell in ko tính KDT'!S162</f>
        <v>0</v>
      </c>
      <c r="V163" s="17">
        <v>0</v>
      </c>
      <c r="W163" s="17">
        <f t="shared" si="110"/>
        <v>42</v>
      </c>
      <c r="X163" s="17">
        <f>+'[1]Sell in ko tính KDT'!U162</f>
        <v>46</v>
      </c>
      <c r="Y163" s="17">
        <f>+'[1]Sell in ko tính KDT'!V162</f>
        <v>0</v>
      </c>
      <c r="Z163" s="17">
        <f>+'[1]Sell in ko tính KDT'!W162</f>
        <v>0</v>
      </c>
      <c r="AA163" s="17">
        <v>0</v>
      </c>
      <c r="AB163" s="17">
        <f t="shared" si="111"/>
        <v>46</v>
      </c>
      <c r="AC163" s="17">
        <f>+'[1]Sell in ko tính KDT'!Y162</f>
        <v>46</v>
      </c>
      <c r="AD163" s="17">
        <f>+'[1]Sell in ko tính KDT'!Z162</f>
        <v>0</v>
      </c>
      <c r="AE163" s="17">
        <f>+'[1]Sell in ko tính KDT'!AA162</f>
        <v>0</v>
      </c>
      <c r="AF163" s="17">
        <v>0</v>
      </c>
      <c r="AG163" s="17">
        <f t="shared" si="112"/>
        <v>46</v>
      </c>
      <c r="AH163" s="17">
        <f>+'[1]Sell in ko tính KDT'!AC162</f>
        <v>50</v>
      </c>
      <c r="AI163" s="17">
        <f>+'[1]Sell in ko tính KDT'!AD162</f>
        <v>10</v>
      </c>
      <c r="AJ163" s="17">
        <f>+'[1]Sell in ko tính KDT'!AE162</f>
        <v>0</v>
      </c>
      <c r="AK163" s="17">
        <v>0</v>
      </c>
      <c r="AL163" s="17">
        <f t="shared" si="113"/>
        <v>60</v>
      </c>
      <c r="AM163" s="17">
        <f>+'[1]Sell in ko tính KDT'!AG162</f>
        <v>50</v>
      </c>
      <c r="AN163" s="17">
        <f>+'[1]Sell in ko tính KDT'!AH162</f>
        <v>10</v>
      </c>
      <c r="AO163" s="17">
        <f>+'[1]Sell in ko tính KDT'!AI162</f>
        <v>0</v>
      </c>
      <c r="AP163" s="17">
        <v>0</v>
      </c>
      <c r="AQ163" s="17">
        <f t="shared" si="114"/>
        <v>60</v>
      </c>
      <c r="AR163" s="17">
        <f>+'[1]Sell in ko tính KDT'!AK162</f>
        <v>50</v>
      </c>
      <c r="AS163" s="17">
        <f>+'[1]Sell in ko tính KDT'!AL162</f>
        <v>10</v>
      </c>
      <c r="AT163" s="17">
        <f>+'[1]Sell in ko tính KDT'!AM162</f>
        <v>0</v>
      </c>
      <c r="AU163" s="17">
        <v>0</v>
      </c>
      <c r="AV163" s="17">
        <f t="shared" si="115"/>
        <v>60</v>
      </c>
      <c r="AW163" s="17">
        <f>+'[1]Sell in ko tính KDT'!AO162</f>
        <v>50</v>
      </c>
      <c r="AX163" s="17">
        <f>+'[1]Sell in ko tính KDT'!AP162</f>
        <v>10</v>
      </c>
      <c r="AY163" s="17">
        <f>+'[1]Sell in ko tính KDT'!AQ162</f>
        <v>0</v>
      </c>
      <c r="AZ163" s="17">
        <v>0</v>
      </c>
      <c r="BA163" s="17">
        <f t="shared" si="116"/>
        <v>60</v>
      </c>
      <c r="BB163" s="17">
        <f>+'[1]Sell in ko tính KDT'!AS162</f>
        <v>50</v>
      </c>
      <c r="BC163" s="17">
        <f>+'[1]Sell in ko tính KDT'!AT162</f>
        <v>10</v>
      </c>
      <c r="BD163" s="17">
        <f>+'[1]Sell in ko tính KDT'!AU162</f>
        <v>0</v>
      </c>
      <c r="BE163" s="17">
        <v>0</v>
      </c>
      <c r="BF163" s="17">
        <f t="shared" si="117"/>
        <v>60</v>
      </c>
      <c r="BG163" s="17">
        <f>+'[1]Sell in ko tính KDT'!AW162</f>
        <v>50</v>
      </c>
      <c r="BH163" s="17">
        <f>+'[1]Sell in ko tính KDT'!AX162</f>
        <v>10</v>
      </c>
      <c r="BI163" s="17">
        <f>+'[1]Sell in ko tính KDT'!AY162</f>
        <v>0</v>
      </c>
      <c r="BJ163" s="17">
        <v>0</v>
      </c>
      <c r="BK163" s="17">
        <f t="shared" si="118"/>
        <v>60</v>
      </c>
      <c r="BL163" s="17">
        <f>+'[1]Sell in ko tính KDT'!BA162</f>
        <v>50</v>
      </c>
      <c r="BM163" s="17">
        <f>+'[1]Sell in ko tính KDT'!BB162</f>
        <v>10</v>
      </c>
      <c r="BN163" s="17">
        <f>+'[1]Sell in ko tính KDT'!BC162</f>
        <v>0</v>
      </c>
      <c r="BO163" s="17">
        <v>0</v>
      </c>
      <c r="BP163" s="17">
        <f t="shared" si="119"/>
        <v>60</v>
      </c>
      <c r="BQ163" s="17">
        <f t="shared" si="120"/>
        <v>567</v>
      </c>
      <c r="BR163" s="17">
        <f t="shared" si="120"/>
        <v>70</v>
      </c>
      <c r="BS163" s="17">
        <f t="shared" si="120"/>
        <v>0</v>
      </c>
      <c r="BT163" s="17">
        <f t="shared" si="120"/>
        <v>0</v>
      </c>
      <c r="BU163" s="17">
        <f t="shared" si="105"/>
        <v>637</v>
      </c>
    </row>
    <row r="164" spans="1:73" s="46" customFormat="1" ht="22.35" hidden="1" customHeight="1" outlineLevel="1">
      <c r="A164" s="31" t="s">
        <v>352</v>
      </c>
      <c r="B164" s="31" t="s">
        <v>435</v>
      </c>
      <c r="C164" s="45" t="s">
        <v>436</v>
      </c>
      <c r="D164" s="31"/>
      <c r="E164" s="45" t="s">
        <v>445</v>
      </c>
      <c r="F164" s="39">
        <v>0</v>
      </c>
      <c r="G164" s="45" t="s">
        <v>446</v>
      </c>
      <c r="H164" s="45" t="s">
        <v>357</v>
      </c>
      <c r="I164" s="17">
        <f>+'[1]Sell in ko tính KDT'!I163</f>
        <v>0</v>
      </c>
      <c r="J164" s="17">
        <f>+'[1]Sell in ko tính KDT'!J163</f>
        <v>0</v>
      </c>
      <c r="K164" s="17">
        <f>+'[1]Sell in ko tính KDT'!K163</f>
        <v>0</v>
      </c>
      <c r="L164" s="17">
        <v>0</v>
      </c>
      <c r="M164" s="17">
        <f t="shared" si="108"/>
        <v>0</v>
      </c>
      <c r="N164" s="17">
        <f>+'[1]Sell in ko tính KDT'!M163</f>
        <v>0</v>
      </c>
      <c r="O164" s="17">
        <f>+'[1]Sell in ko tính KDT'!N163</f>
        <v>0</v>
      </c>
      <c r="P164" s="17">
        <f>+'[1]Sell in ko tính KDT'!O163</f>
        <v>0</v>
      </c>
      <c r="Q164" s="17">
        <v>0</v>
      </c>
      <c r="R164" s="17">
        <f t="shared" si="109"/>
        <v>0</v>
      </c>
      <c r="S164" s="17">
        <f>+'[1]Sell in ko tính KDT'!Q163</f>
        <v>30</v>
      </c>
      <c r="T164" s="17">
        <f>+'[1]Sell in ko tính KDT'!R163</f>
        <v>15</v>
      </c>
      <c r="U164" s="17">
        <f>+'[1]Sell in ko tính KDT'!S163</f>
        <v>0</v>
      </c>
      <c r="V164" s="17">
        <v>0</v>
      </c>
      <c r="W164" s="17">
        <f t="shared" si="110"/>
        <v>45</v>
      </c>
      <c r="X164" s="17">
        <f>+'[1]Sell in ko tính KDT'!U163</f>
        <v>40</v>
      </c>
      <c r="Y164" s="17">
        <f>+'[1]Sell in ko tính KDT'!V163</f>
        <v>0</v>
      </c>
      <c r="Z164" s="17">
        <f>+'[1]Sell in ko tính KDT'!W163</f>
        <v>0</v>
      </c>
      <c r="AA164" s="17">
        <v>0</v>
      </c>
      <c r="AB164" s="17">
        <f t="shared" si="111"/>
        <v>40</v>
      </c>
      <c r="AC164" s="17">
        <f>+'[1]Sell in ko tính KDT'!Y163</f>
        <v>25</v>
      </c>
      <c r="AD164" s="17">
        <f>+'[1]Sell in ko tính KDT'!Z163</f>
        <v>15</v>
      </c>
      <c r="AE164" s="17">
        <f>+'[1]Sell in ko tính KDT'!AA163</f>
        <v>0</v>
      </c>
      <c r="AF164" s="17">
        <v>0</v>
      </c>
      <c r="AG164" s="17">
        <f t="shared" si="112"/>
        <v>40</v>
      </c>
      <c r="AH164" s="17">
        <f>+'[1]Sell in ko tính KDT'!AC163</f>
        <v>0</v>
      </c>
      <c r="AI164" s="17">
        <f>+'[1]Sell in ko tính KDT'!AD163</f>
        <v>0</v>
      </c>
      <c r="AJ164" s="17">
        <f>+'[1]Sell in ko tính KDT'!AE163</f>
        <v>0</v>
      </c>
      <c r="AK164" s="17">
        <v>0</v>
      </c>
      <c r="AL164" s="17">
        <f t="shared" si="113"/>
        <v>0</v>
      </c>
      <c r="AM164" s="17">
        <f>+'[1]Sell in ko tính KDT'!AG163</f>
        <v>0</v>
      </c>
      <c r="AN164" s="17">
        <f>+'[1]Sell in ko tính KDT'!AH163</f>
        <v>0</v>
      </c>
      <c r="AO164" s="17">
        <f>+'[1]Sell in ko tính KDT'!AI163</f>
        <v>0</v>
      </c>
      <c r="AP164" s="17">
        <v>0</v>
      </c>
      <c r="AQ164" s="17">
        <f t="shared" si="114"/>
        <v>0</v>
      </c>
      <c r="AR164" s="17">
        <f>+'[1]Sell in ko tính KDT'!AK163</f>
        <v>0</v>
      </c>
      <c r="AS164" s="17">
        <f>+'[1]Sell in ko tính KDT'!AL163</f>
        <v>0</v>
      </c>
      <c r="AT164" s="17">
        <f>+'[1]Sell in ko tính KDT'!AM163</f>
        <v>0</v>
      </c>
      <c r="AU164" s="17">
        <v>0</v>
      </c>
      <c r="AV164" s="17">
        <f t="shared" si="115"/>
        <v>0</v>
      </c>
      <c r="AW164" s="17">
        <f>+'[1]Sell in ko tính KDT'!AO163</f>
        <v>0</v>
      </c>
      <c r="AX164" s="17">
        <f>+'[1]Sell in ko tính KDT'!AP163</f>
        <v>0</v>
      </c>
      <c r="AY164" s="17">
        <f>+'[1]Sell in ko tính KDT'!AQ163</f>
        <v>0</v>
      </c>
      <c r="AZ164" s="17">
        <v>0</v>
      </c>
      <c r="BA164" s="17">
        <f t="shared" si="116"/>
        <v>0</v>
      </c>
      <c r="BB164" s="17">
        <f>+'[1]Sell in ko tính KDT'!AS163</f>
        <v>0</v>
      </c>
      <c r="BC164" s="17">
        <f>+'[1]Sell in ko tính KDT'!AT163</f>
        <v>0</v>
      </c>
      <c r="BD164" s="17">
        <f>+'[1]Sell in ko tính KDT'!AU163</f>
        <v>0</v>
      </c>
      <c r="BE164" s="17">
        <v>0</v>
      </c>
      <c r="BF164" s="17">
        <f t="shared" si="117"/>
        <v>0</v>
      </c>
      <c r="BG164" s="17">
        <f>+'[1]Sell in ko tính KDT'!AW163</f>
        <v>0</v>
      </c>
      <c r="BH164" s="17">
        <f>+'[1]Sell in ko tính KDT'!AX163</f>
        <v>0</v>
      </c>
      <c r="BI164" s="17">
        <f>+'[1]Sell in ko tính KDT'!AY163</f>
        <v>0</v>
      </c>
      <c r="BJ164" s="17">
        <v>0</v>
      </c>
      <c r="BK164" s="17">
        <f t="shared" si="118"/>
        <v>0</v>
      </c>
      <c r="BL164" s="17">
        <f>+'[1]Sell in ko tính KDT'!BA163</f>
        <v>0</v>
      </c>
      <c r="BM164" s="17">
        <f>+'[1]Sell in ko tính KDT'!BB163</f>
        <v>0</v>
      </c>
      <c r="BN164" s="17">
        <f>+'[1]Sell in ko tính KDT'!BC163</f>
        <v>0</v>
      </c>
      <c r="BO164" s="17">
        <v>0</v>
      </c>
      <c r="BP164" s="17">
        <f t="shared" si="119"/>
        <v>0</v>
      </c>
      <c r="BQ164" s="17">
        <f t="shared" si="120"/>
        <v>95</v>
      </c>
      <c r="BR164" s="17">
        <f t="shared" si="120"/>
        <v>30</v>
      </c>
      <c r="BS164" s="17">
        <f t="shared" si="120"/>
        <v>0</v>
      </c>
      <c r="BT164" s="17">
        <f t="shared" si="120"/>
        <v>0</v>
      </c>
      <c r="BU164" s="17">
        <f t="shared" si="105"/>
        <v>125</v>
      </c>
    </row>
    <row r="165" spans="1:73" s="46" customFormat="1" ht="22.35" hidden="1" customHeight="1" outlineLevel="1">
      <c r="A165" s="31" t="s">
        <v>352</v>
      </c>
      <c r="B165" s="31" t="s">
        <v>435</v>
      </c>
      <c r="C165" s="45" t="s">
        <v>436</v>
      </c>
      <c r="D165" s="31"/>
      <c r="E165" s="45" t="s">
        <v>445</v>
      </c>
      <c r="F165" s="39" t="s">
        <v>447</v>
      </c>
      <c r="G165" s="45" t="s">
        <v>448</v>
      </c>
      <c r="H165" s="45" t="s">
        <v>357</v>
      </c>
      <c r="I165" s="17">
        <f>+'[1]Sell in ko tính KDT'!I164</f>
        <v>26</v>
      </c>
      <c r="J165" s="17">
        <f>+'[1]Sell in ko tính KDT'!J164</f>
        <v>20</v>
      </c>
      <c r="K165" s="17">
        <f>+'[1]Sell in ko tính KDT'!K164</f>
        <v>0</v>
      </c>
      <c r="L165" s="17">
        <v>0</v>
      </c>
      <c r="M165" s="17">
        <f t="shared" si="108"/>
        <v>46</v>
      </c>
      <c r="N165" s="17">
        <f>+'[1]Sell in ko tính KDT'!M164</f>
        <v>25</v>
      </c>
      <c r="O165" s="17">
        <f>+'[1]Sell in ko tính KDT'!N164</f>
        <v>15</v>
      </c>
      <c r="P165" s="17">
        <f>+'[1]Sell in ko tính KDT'!O164</f>
        <v>0</v>
      </c>
      <c r="Q165" s="17">
        <v>0</v>
      </c>
      <c r="R165" s="17">
        <f t="shared" si="109"/>
        <v>40</v>
      </c>
      <c r="S165" s="17">
        <f>+'[1]Sell in ko tính KDT'!Q164</f>
        <v>0</v>
      </c>
      <c r="T165" s="17">
        <f>+'[1]Sell in ko tính KDT'!R164</f>
        <v>0</v>
      </c>
      <c r="U165" s="17">
        <f>+'[1]Sell in ko tính KDT'!S164</f>
        <v>0</v>
      </c>
      <c r="V165" s="17">
        <v>0</v>
      </c>
      <c r="W165" s="17">
        <f t="shared" si="110"/>
        <v>0</v>
      </c>
      <c r="X165" s="17">
        <f>+'[1]Sell in ko tính KDT'!U164</f>
        <v>0</v>
      </c>
      <c r="Y165" s="17">
        <f>+'[1]Sell in ko tính KDT'!V164</f>
        <v>0</v>
      </c>
      <c r="Z165" s="17">
        <f>+'[1]Sell in ko tính KDT'!W164</f>
        <v>0</v>
      </c>
      <c r="AA165" s="17">
        <v>0</v>
      </c>
      <c r="AB165" s="17">
        <f t="shared" si="111"/>
        <v>0</v>
      </c>
      <c r="AC165" s="17">
        <f>+'[1]Sell in ko tính KDT'!Y164</f>
        <v>0</v>
      </c>
      <c r="AD165" s="17">
        <f>+'[1]Sell in ko tính KDT'!Z164</f>
        <v>0</v>
      </c>
      <c r="AE165" s="17">
        <f>+'[1]Sell in ko tính KDT'!AA164</f>
        <v>0</v>
      </c>
      <c r="AF165" s="17">
        <v>0</v>
      </c>
      <c r="AG165" s="17">
        <f t="shared" si="112"/>
        <v>0</v>
      </c>
      <c r="AH165" s="17">
        <f>+'[1]Sell in ko tính KDT'!AC164</f>
        <v>0</v>
      </c>
      <c r="AI165" s="17">
        <f>+'[1]Sell in ko tính KDT'!AD164</f>
        <v>0</v>
      </c>
      <c r="AJ165" s="17">
        <f>+'[1]Sell in ko tính KDT'!AE164</f>
        <v>0</v>
      </c>
      <c r="AK165" s="17">
        <v>0</v>
      </c>
      <c r="AL165" s="17">
        <f t="shared" si="113"/>
        <v>0</v>
      </c>
      <c r="AM165" s="17">
        <f>+'[1]Sell in ko tính KDT'!AG164</f>
        <v>0</v>
      </c>
      <c r="AN165" s="17">
        <f>+'[1]Sell in ko tính KDT'!AH164</f>
        <v>0</v>
      </c>
      <c r="AO165" s="17">
        <f>+'[1]Sell in ko tính KDT'!AI164</f>
        <v>0</v>
      </c>
      <c r="AP165" s="17">
        <v>0</v>
      </c>
      <c r="AQ165" s="17">
        <f t="shared" si="114"/>
        <v>0</v>
      </c>
      <c r="AR165" s="17">
        <f>+'[1]Sell in ko tính KDT'!AK164</f>
        <v>0</v>
      </c>
      <c r="AS165" s="17">
        <f>+'[1]Sell in ko tính KDT'!AL164</f>
        <v>0</v>
      </c>
      <c r="AT165" s="17">
        <f>+'[1]Sell in ko tính KDT'!AM164</f>
        <v>0</v>
      </c>
      <c r="AU165" s="17">
        <v>0</v>
      </c>
      <c r="AV165" s="17">
        <f t="shared" si="115"/>
        <v>0</v>
      </c>
      <c r="AW165" s="17">
        <f>+'[1]Sell in ko tính KDT'!AO164</f>
        <v>0</v>
      </c>
      <c r="AX165" s="17">
        <f>+'[1]Sell in ko tính KDT'!AP164</f>
        <v>0</v>
      </c>
      <c r="AY165" s="17">
        <f>+'[1]Sell in ko tính KDT'!AQ164</f>
        <v>0</v>
      </c>
      <c r="AZ165" s="17">
        <v>0</v>
      </c>
      <c r="BA165" s="17">
        <f t="shared" si="116"/>
        <v>0</v>
      </c>
      <c r="BB165" s="17">
        <f>+'[1]Sell in ko tính KDT'!AS164</f>
        <v>0</v>
      </c>
      <c r="BC165" s="17">
        <f>+'[1]Sell in ko tính KDT'!AT164</f>
        <v>0</v>
      </c>
      <c r="BD165" s="17">
        <f>+'[1]Sell in ko tính KDT'!AU164</f>
        <v>0</v>
      </c>
      <c r="BE165" s="17">
        <v>0</v>
      </c>
      <c r="BF165" s="17">
        <f t="shared" si="117"/>
        <v>0</v>
      </c>
      <c r="BG165" s="17">
        <f>+'[1]Sell in ko tính KDT'!AW164</f>
        <v>0</v>
      </c>
      <c r="BH165" s="17">
        <f>+'[1]Sell in ko tính KDT'!AX164</f>
        <v>0</v>
      </c>
      <c r="BI165" s="17">
        <f>+'[1]Sell in ko tính KDT'!AY164</f>
        <v>0</v>
      </c>
      <c r="BJ165" s="17">
        <v>0</v>
      </c>
      <c r="BK165" s="17">
        <f t="shared" si="118"/>
        <v>0</v>
      </c>
      <c r="BL165" s="17">
        <f>+'[1]Sell in ko tính KDT'!BA164</f>
        <v>0</v>
      </c>
      <c r="BM165" s="17">
        <f>+'[1]Sell in ko tính KDT'!BB164</f>
        <v>0</v>
      </c>
      <c r="BN165" s="17">
        <f>+'[1]Sell in ko tính KDT'!BC164</f>
        <v>0</v>
      </c>
      <c r="BO165" s="17">
        <v>0</v>
      </c>
      <c r="BP165" s="17">
        <f t="shared" si="119"/>
        <v>0</v>
      </c>
      <c r="BQ165" s="17">
        <f t="shared" si="120"/>
        <v>51</v>
      </c>
      <c r="BR165" s="17">
        <f t="shared" si="120"/>
        <v>35</v>
      </c>
      <c r="BS165" s="17">
        <f t="shared" si="120"/>
        <v>0</v>
      </c>
      <c r="BT165" s="17">
        <f t="shared" si="120"/>
        <v>0</v>
      </c>
      <c r="BU165" s="17">
        <f t="shared" si="105"/>
        <v>86</v>
      </c>
    </row>
    <row r="166" spans="1:73" s="46" customFormat="1" ht="22.35" hidden="1" customHeight="1" outlineLevel="1">
      <c r="A166" s="31" t="s">
        <v>352</v>
      </c>
      <c r="B166" s="31" t="s">
        <v>435</v>
      </c>
      <c r="C166" s="45" t="s">
        <v>449</v>
      </c>
      <c r="D166" s="31"/>
      <c r="E166" s="62" t="s">
        <v>450</v>
      </c>
      <c r="F166" s="39" t="s">
        <v>451</v>
      </c>
      <c r="G166" s="45" t="s">
        <v>452</v>
      </c>
      <c r="H166" s="45" t="s">
        <v>357</v>
      </c>
      <c r="I166" s="17">
        <f>+'[1]Sell in ko tính KDT'!I165</f>
        <v>55</v>
      </c>
      <c r="J166" s="17">
        <f>+'[1]Sell in ko tính KDT'!J165</f>
        <v>0</v>
      </c>
      <c r="K166" s="17">
        <f>+'[1]Sell in ko tính KDT'!K165</f>
        <v>0</v>
      </c>
      <c r="L166" s="17">
        <v>0</v>
      </c>
      <c r="M166" s="17">
        <f t="shared" si="108"/>
        <v>55</v>
      </c>
      <c r="N166" s="17">
        <f>+'[1]Sell in ko tính KDT'!M165</f>
        <v>64</v>
      </c>
      <c r="O166" s="17">
        <f>+'[1]Sell in ko tính KDT'!N165</f>
        <v>0</v>
      </c>
      <c r="P166" s="17">
        <f>+'[1]Sell in ko tính KDT'!O165</f>
        <v>0</v>
      </c>
      <c r="Q166" s="17">
        <v>0</v>
      </c>
      <c r="R166" s="17">
        <f t="shared" si="109"/>
        <v>64</v>
      </c>
      <c r="S166" s="17">
        <f>+'[1]Sell in ko tính KDT'!Q165</f>
        <v>50</v>
      </c>
      <c r="T166" s="17">
        <f>+'[1]Sell in ko tính KDT'!R165</f>
        <v>0</v>
      </c>
      <c r="U166" s="17">
        <f>+'[1]Sell in ko tính KDT'!S165</f>
        <v>0</v>
      </c>
      <c r="V166" s="17">
        <v>0</v>
      </c>
      <c r="W166" s="17">
        <f t="shared" si="110"/>
        <v>50</v>
      </c>
      <c r="X166" s="17">
        <f>+'[1]Sell in ko tính KDT'!U165</f>
        <v>57.2</v>
      </c>
      <c r="Y166" s="17">
        <f>+'[1]Sell in ko tính KDT'!V165</f>
        <v>0</v>
      </c>
      <c r="Z166" s="17">
        <f>+'[1]Sell in ko tính KDT'!W165</f>
        <v>0</v>
      </c>
      <c r="AA166" s="17">
        <v>0</v>
      </c>
      <c r="AB166" s="17">
        <f t="shared" si="111"/>
        <v>57.2</v>
      </c>
      <c r="AC166" s="17">
        <f>+'[1]Sell in ko tính KDT'!Y165</f>
        <v>70.5</v>
      </c>
      <c r="AD166" s="17">
        <f>+'[1]Sell in ko tính KDT'!Z165</f>
        <v>0</v>
      </c>
      <c r="AE166" s="17">
        <f>+'[1]Sell in ko tính KDT'!AA165</f>
        <v>0</v>
      </c>
      <c r="AF166" s="17">
        <v>0</v>
      </c>
      <c r="AG166" s="17">
        <f t="shared" si="112"/>
        <v>70.5</v>
      </c>
      <c r="AH166" s="17">
        <f>+'[1]Sell in ko tính KDT'!AC165</f>
        <v>30</v>
      </c>
      <c r="AI166" s="17">
        <f>+'[1]Sell in ko tính KDT'!AD165</f>
        <v>10</v>
      </c>
      <c r="AJ166" s="17">
        <f>+'[1]Sell in ko tính KDT'!AE165</f>
        <v>0</v>
      </c>
      <c r="AK166" s="17">
        <v>0</v>
      </c>
      <c r="AL166" s="17">
        <f t="shared" si="113"/>
        <v>40</v>
      </c>
      <c r="AM166" s="17">
        <f>+'[1]Sell in ko tính KDT'!AG165</f>
        <v>30</v>
      </c>
      <c r="AN166" s="17">
        <f>+'[1]Sell in ko tính KDT'!AH165</f>
        <v>10</v>
      </c>
      <c r="AO166" s="17">
        <f>+'[1]Sell in ko tính KDT'!AI165</f>
        <v>0</v>
      </c>
      <c r="AP166" s="17">
        <v>0</v>
      </c>
      <c r="AQ166" s="17">
        <f t="shared" si="114"/>
        <v>40</v>
      </c>
      <c r="AR166" s="17">
        <f>+'[1]Sell in ko tính KDT'!AK165</f>
        <v>30</v>
      </c>
      <c r="AS166" s="17">
        <f>+'[1]Sell in ko tính KDT'!AL165</f>
        <v>10</v>
      </c>
      <c r="AT166" s="17">
        <f>+'[1]Sell in ko tính KDT'!AM165</f>
        <v>0</v>
      </c>
      <c r="AU166" s="17">
        <v>0</v>
      </c>
      <c r="AV166" s="17">
        <f t="shared" si="115"/>
        <v>40</v>
      </c>
      <c r="AW166" s="17">
        <f>+'[1]Sell in ko tính KDT'!AO165</f>
        <v>30</v>
      </c>
      <c r="AX166" s="17">
        <f>+'[1]Sell in ko tính KDT'!AP165</f>
        <v>10</v>
      </c>
      <c r="AY166" s="17">
        <f>+'[1]Sell in ko tính KDT'!AQ165</f>
        <v>0</v>
      </c>
      <c r="AZ166" s="17">
        <v>0</v>
      </c>
      <c r="BA166" s="17">
        <f t="shared" si="116"/>
        <v>40</v>
      </c>
      <c r="BB166" s="17">
        <f>+'[1]Sell in ko tính KDT'!AS165</f>
        <v>30</v>
      </c>
      <c r="BC166" s="17">
        <f>+'[1]Sell in ko tính KDT'!AT165</f>
        <v>10</v>
      </c>
      <c r="BD166" s="17">
        <f>+'[1]Sell in ko tính KDT'!AU165</f>
        <v>0</v>
      </c>
      <c r="BE166" s="17">
        <v>0</v>
      </c>
      <c r="BF166" s="17">
        <f t="shared" si="117"/>
        <v>40</v>
      </c>
      <c r="BG166" s="17">
        <f>+'[1]Sell in ko tính KDT'!AW165</f>
        <v>30</v>
      </c>
      <c r="BH166" s="17">
        <f>+'[1]Sell in ko tính KDT'!AX165</f>
        <v>10</v>
      </c>
      <c r="BI166" s="17">
        <f>+'[1]Sell in ko tính KDT'!AY165</f>
        <v>0</v>
      </c>
      <c r="BJ166" s="17">
        <v>0</v>
      </c>
      <c r="BK166" s="17">
        <f t="shared" si="118"/>
        <v>40</v>
      </c>
      <c r="BL166" s="17">
        <f>+'[1]Sell in ko tính KDT'!BA165</f>
        <v>30</v>
      </c>
      <c r="BM166" s="17">
        <f>+'[1]Sell in ko tính KDT'!BB165</f>
        <v>10</v>
      </c>
      <c r="BN166" s="17">
        <f>+'[1]Sell in ko tính KDT'!BC165</f>
        <v>0</v>
      </c>
      <c r="BO166" s="17">
        <v>0</v>
      </c>
      <c r="BP166" s="17">
        <f t="shared" si="119"/>
        <v>40</v>
      </c>
      <c r="BQ166" s="17">
        <f t="shared" si="120"/>
        <v>506.7</v>
      </c>
      <c r="BR166" s="17">
        <f t="shared" si="120"/>
        <v>70</v>
      </c>
      <c r="BS166" s="17">
        <f t="shared" si="120"/>
        <v>0</v>
      </c>
      <c r="BT166" s="17">
        <f t="shared" si="120"/>
        <v>0</v>
      </c>
      <c r="BU166" s="17">
        <f t="shared" si="105"/>
        <v>576.70000000000005</v>
      </c>
    </row>
    <row r="167" spans="1:73" s="46" customFormat="1" ht="22.35" hidden="1" customHeight="1" outlineLevel="1">
      <c r="A167" s="31" t="s">
        <v>352</v>
      </c>
      <c r="B167" s="31" t="s">
        <v>435</v>
      </c>
      <c r="C167" s="45" t="s">
        <v>453</v>
      </c>
      <c r="D167" s="31"/>
      <c r="E167" s="63" t="s">
        <v>450</v>
      </c>
      <c r="F167" s="39" t="s">
        <v>454</v>
      </c>
      <c r="G167" s="45" t="s">
        <v>455</v>
      </c>
      <c r="H167" s="45" t="s">
        <v>357</v>
      </c>
      <c r="I167" s="17">
        <f>+'[1]Sell in ko tính KDT'!I166</f>
        <v>40</v>
      </c>
      <c r="J167" s="17">
        <f>+'[1]Sell in ko tính KDT'!J166</f>
        <v>5</v>
      </c>
      <c r="K167" s="17">
        <f>+'[1]Sell in ko tính KDT'!K166</f>
        <v>0</v>
      </c>
      <c r="L167" s="17">
        <v>0</v>
      </c>
      <c r="M167" s="17">
        <f t="shared" si="108"/>
        <v>45</v>
      </c>
      <c r="N167" s="17">
        <f>+'[1]Sell in ko tính KDT'!M166</f>
        <v>40</v>
      </c>
      <c r="O167" s="17">
        <f>+'[1]Sell in ko tính KDT'!N166</f>
        <v>5</v>
      </c>
      <c r="P167" s="17">
        <f>+'[1]Sell in ko tính KDT'!O166</f>
        <v>0</v>
      </c>
      <c r="Q167" s="17">
        <v>0</v>
      </c>
      <c r="R167" s="17">
        <f t="shared" si="109"/>
        <v>45</v>
      </c>
      <c r="S167" s="17">
        <f>+'[1]Sell in ko tính KDT'!Q166</f>
        <v>45</v>
      </c>
      <c r="T167" s="17">
        <f>+'[1]Sell in ko tính KDT'!R166</f>
        <v>0</v>
      </c>
      <c r="U167" s="17">
        <f>+'[1]Sell in ko tính KDT'!S166</f>
        <v>0</v>
      </c>
      <c r="V167" s="17">
        <v>0</v>
      </c>
      <c r="W167" s="17">
        <f t="shared" si="110"/>
        <v>45</v>
      </c>
      <c r="X167" s="17">
        <f>+'[1]Sell in ko tính KDT'!U166</f>
        <v>40</v>
      </c>
      <c r="Y167" s="17">
        <f>+'[1]Sell in ko tính KDT'!V166</f>
        <v>5</v>
      </c>
      <c r="Z167" s="17">
        <f>+'[1]Sell in ko tính KDT'!W166</f>
        <v>0</v>
      </c>
      <c r="AA167" s="17">
        <v>0</v>
      </c>
      <c r="AB167" s="17">
        <f t="shared" si="111"/>
        <v>45</v>
      </c>
      <c r="AC167" s="17">
        <f>+'[1]Sell in ko tính KDT'!Y166</f>
        <v>39</v>
      </c>
      <c r="AD167" s="17">
        <f>+'[1]Sell in ko tính KDT'!Z166</f>
        <v>6</v>
      </c>
      <c r="AE167" s="17">
        <f>+'[1]Sell in ko tính KDT'!AA166</f>
        <v>0</v>
      </c>
      <c r="AF167" s="17">
        <v>0</v>
      </c>
      <c r="AG167" s="17">
        <f t="shared" si="112"/>
        <v>45</v>
      </c>
      <c r="AH167" s="17">
        <f>+'[1]Sell in ko tính KDT'!AC166</f>
        <v>40</v>
      </c>
      <c r="AI167" s="17">
        <f>+'[1]Sell in ko tính KDT'!AD166</f>
        <v>20</v>
      </c>
      <c r="AJ167" s="17">
        <f>+'[1]Sell in ko tính KDT'!AE166</f>
        <v>0</v>
      </c>
      <c r="AK167" s="17">
        <v>0</v>
      </c>
      <c r="AL167" s="17">
        <f t="shared" si="113"/>
        <v>60</v>
      </c>
      <c r="AM167" s="17">
        <f>+'[1]Sell in ko tính KDT'!AG166</f>
        <v>40</v>
      </c>
      <c r="AN167" s="17">
        <f>+'[1]Sell in ko tính KDT'!AH166</f>
        <v>20</v>
      </c>
      <c r="AO167" s="17">
        <f>+'[1]Sell in ko tính KDT'!AI166</f>
        <v>0</v>
      </c>
      <c r="AP167" s="17">
        <v>0</v>
      </c>
      <c r="AQ167" s="17">
        <f t="shared" si="114"/>
        <v>60</v>
      </c>
      <c r="AR167" s="17">
        <f>+'[1]Sell in ko tính KDT'!AK166</f>
        <v>40</v>
      </c>
      <c r="AS167" s="17">
        <f>+'[1]Sell in ko tính KDT'!AL166</f>
        <v>20</v>
      </c>
      <c r="AT167" s="17">
        <f>+'[1]Sell in ko tính KDT'!AM166</f>
        <v>0</v>
      </c>
      <c r="AU167" s="17">
        <v>0</v>
      </c>
      <c r="AV167" s="17">
        <f t="shared" si="115"/>
        <v>60</v>
      </c>
      <c r="AW167" s="17">
        <f>+'[1]Sell in ko tính KDT'!AO166</f>
        <v>40</v>
      </c>
      <c r="AX167" s="17">
        <f>+'[1]Sell in ko tính KDT'!AP166</f>
        <v>20</v>
      </c>
      <c r="AY167" s="17">
        <f>+'[1]Sell in ko tính KDT'!AQ166</f>
        <v>0</v>
      </c>
      <c r="AZ167" s="17">
        <v>0</v>
      </c>
      <c r="BA167" s="17">
        <f t="shared" si="116"/>
        <v>60</v>
      </c>
      <c r="BB167" s="17">
        <f>+'[1]Sell in ko tính KDT'!AS166</f>
        <v>40</v>
      </c>
      <c r="BC167" s="17">
        <f>+'[1]Sell in ko tính KDT'!AT166</f>
        <v>20</v>
      </c>
      <c r="BD167" s="17">
        <f>+'[1]Sell in ko tính KDT'!AU166</f>
        <v>0</v>
      </c>
      <c r="BE167" s="17">
        <v>0</v>
      </c>
      <c r="BF167" s="17">
        <f t="shared" si="117"/>
        <v>60</v>
      </c>
      <c r="BG167" s="17">
        <f>+'[1]Sell in ko tính KDT'!AW166</f>
        <v>40</v>
      </c>
      <c r="BH167" s="17">
        <f>+'[1]Sell in ko tính KDT'!AX166</f>
        <v>20</v>
      </c>
      <c r="BI167" s="17">
        <f>+'[1]Sell in ko tính KDT'!AY166</f>
        <v>0</v>
      </c>
      <c r="BJ167" s="17">
        <v>0</v>
      </c>
      <c r="BK167" s="17">
        <f t="shared" si="118"/>
        <v>60</v>
      </c>
      <c r="BL167" s="17">
        <f>+'[1]Sell in ko tính KDT'!BA166</f>
        <v>40</v>
      </c>
      <c r="BM167" s="17">
        <f>+'[1]Sell in ko tính KDT'!BB166</f>
        <v>20</v>
      </c>
      <c r="BN167" s="17">
        <f>+'[1]Sell in ko tính KDT'!BC166</f>
        <v>0</v>
      </c>
      <c r="BO167" s="17">
        <v>0</v>
      </c>
      <c r="BP167" s="17">
        <f t="shared" si="119"/>
        <v>60</v>
      </c>
      <c r="BQ167" s="17">
        <f t="shared" si="120"/>
        <v>484</v>
      </c>
      <c r="BR167" s="17">
        <f t="shared" si="120"/>
        <v>161</v>
      </c>
      <c r="BS167" s="17">
        <f t="shared" si="120"/>
        <v>0</v>
      </c>
      <c r="BT167" s="17">
        <f t="shared" si="120"/>
        <v>0</v>
      </c>
      <c r="BU167" s="17">
        <f t="shared" si="105"/>
        <v>645</v>
      </c>
    </row>
    <row r="168" spans="1:73" s="46" customFormat="1" ht="22.35" hidden="1" customHeight="1" outlineLevel="1">
      <c r="A168" s="31" t="s">
        <v>352</v>
      </c>
      <c r="B168" s="31" t="s">
        <v>435</v>
      </c>
      <c r="C168" s="45" t="s">
        <v>456</v>
      </c>
      <c r="D168" s="31"/>
      <c r="E168" s="62" t="s">
        <v>450</v>
      </c>
      <c r="F168" s="32" t="s">
        <v>457</v>
      </c>
      <c r="G168" s="19" t="s">
        <v>458</v>
      </c>
      <c r="H168" s="45" t="s">
        <v>357</v>
      </c>
      <c r="I168" s="17">
        <f>+'[1]Sell in ko tính KDT'!I167</f>
        <v>30</v>
      </c>
      <c r="J168" s="17">
        <f>+'[1]Sell in ko tính KDT'!J167</f>
        <v>65</v>
      </c>
      <c r="K168" s="17">
        <f>+'[1]Sell in ko tính KDT'!K167</f>
        <v>0</v>
      </c>
      <c r="L168" s="17">
        <v>0</v>
      </c>
      <c r="M168" s="17">
        <f t="shared" si="108"/>
        <v>95</v>
      </c>
      <c r="N168" s="17">
        <f>+'[1]Sell in ko tính KDT'!M167</f>
        <v>25</v>
      </c>
      <c r="O168" s="17">
        <f>+'[1]Sell in ko tính KDT'!N167</f>
        <v>70</v>
      </c>
      <c r="P168" s="17">
        <f>+'[1]Sell in ko tính KDT'!O167</f>
        <v>0</v>
      </c>
      <c r="Q168" s="17">
        <v>0</v>
      </c>
      <c r="R168" s="17">
        <f t="shared" si="109"/>
        <v>95</v>
      </c>
      <c r="S168" s="17">
        <f>+'[1]Sell in ko tính KDT'!Q167</f>
        <v>20</v>
      </c>
      <c r="T168" s="17">
        <f>+'[1]Sell in ko tính KDT'!R167</f>
        <v>25</v>
      </c>
      <c r="U168" s="17">
        <f>+'[1]Sell in ko tính KDT'!S167</f>
        <v>0</v>
      </c>
      <c r="V168" s="17">
        <v>0</v>
      </c>
      <c r="W168" s="17">
        <f t="shared" si="110"/>
        <v>45</v>
      </c>
      <c r="X168" s="17">
        <f>+'[1]Sell in ko tính KDT'!U167</f>
        <v>25</v>
      </c>
      <c r="Y168" s="17">
        <f>+'[1]Sell in ko tính KDT'!V167</f>
        <v>20</v>
      </c>
      <c r="Z168" s="17">
        <f>+'[1]Sell in ko tính KDT'!W167</f>
        <v>0</v>
      </c>
      <c r="AA168" s="17">
        <v>0</v>
      </c>
      <c r="AB168" s="17">
        <f t="shared" si="111"/>
        <v>45</v>
      </c>
      <c r="AC168" s="17">
        <f>+'[1]Sell in ko tính KDT'!Y167</f>
        <v>15</v>
      </c>
      <c r="AD168" s="17">
        <f>+'[1]Sell in ko tính KDT'!Z167</f>
        <v>35</v>
      </c>
      <c r="AE168" s="17">
        <f>+'[1]Sell in ko tính KDT'!AA167</f>
        <v>0</v>
      </c>
      <c r="AF168" s="17">
        <v>0</v>
      </c>
      <c r="AG168" s="17">
        <f t="shared" si="112"/>
        <v>50</v>
      </c>
      <c r="AH168" s="17">
        <f>+'[1]Sell in ko tính KDT'!AC167</f>
        <v>30</v>
      </c>
      <c r="AI168" s="17">
        <f>+'[1]Sell in ko tính KDT'!AD167</f>
        <v>10</v>
      </c>
      <c r="AJ168" s="17">
        <f>+'[1]Sell in ko tính KDT'!AE167</f>
        <v>0</v>
      </c>
      <c r="AK168" s="17">
        <v>0</v>
      </c>
      <c r="AL168" s="17">
        <f t="shared" si="113"/>
        <v>40</v>
      </c>
      <c r="AM168" s="17">
        <f>+'[1]Sell in ko tính KDT'!AG167</f>
        <v>30</v>
      </c>
      <c r="AN168" s="17">
        <f>+'[1]Sell in ko tính KDT'!AH167</f>
        <v>10</v>
      </c>
      <c r="AO168" s="17">
        <f>+'[1]Sell in ko tính KDT'!AI167</f>
        <v>0</v>
      </c>
      <c r="AP168" s="17">
        <v>0</v>
      </c>
      <c r="AQ168" s="17">
        <f t="shared" si="114"/>
        <v>40</v>
      </c>
      <c r="AR168" s="17">
        <f>+'[1]Sell in ko tính KDT'!AK167</f>
        <v>30</v>
      </c>
      <c r="AS168" s="17">
        <f>+'[1]Sell in ko tính KDT'!AL167</f>
        <v>10</v>
      </c>
      <c r="AT168" s="17">
        <f>+'[1]Sell in ko tính KDT'!AM167</f>
        <v>0</v>
      </c>
      <c r="AU168" s="17">
        <v>0</v>
      </c>
      <c r="AV168" s="17">
        <f t="shared" si="115"/>
        <v>40</v>
      </c>
      <c r="AW168" s="17">
        <f>+'[1]Sell in ko tính KDT'!AO167</f>
        <v>30</v>
      </c>
      <c r="AX168" s="17">
        <f>+'[1]Sell in ko tính KDT'!AP167</f>
        <v>10</v>
      </c>
      <c r="AY168" s="17">
        <f>+'[1]Sell in ko tính KDT'!AQ167</f>
        <v>0</v>
      </c>
      <c r="AZ168" s="17">
        <v>0</v>
      </c>
      <c r="BA168" s="17">
        <f t="shared" si="116"/>
        <v>40</v>
      </c>
      <c r="BB168" s="17">
        <f>+'[1]Sell in ko tính KDT'!AS167</f>
        <v>30</v>
      </c>
      <c r="BC168" s="17">
        <f>+'[1]Sell in ko tính KDT'!AT167</f>
        <v>10</v>
      </c>
      <c r="BD168" s="17">
        <f>+'[1]Sell in ko tính KDT'!AU167</f>
        <v>0</v>
      </c>
      <c r="BE168" s="17">
        <v>0</v>
      </c>
      <c r="BF168" s="17">
        <f t="shared" si="117"/>
        <v>40</v>
      </c>
      <c r="BG168" s="17">
        <f>+'[1]Sell in ko tính KDT'!AW167</f>
        <v>30</v>
      </c>
      <c r="BH168" s="17">
        <f>+'[1]Sell in ko tính KDT'!AX167</f>
        <v>10</v>
      </c>
      <c r="BI168" s="17">
        <f>+'[1]Sell in ko tính KDT'!AY167</f>
        <v>0</v>
      </c>
      <c r="BJ168" s="17">
        <v>0</v>
      </c>
      <c r="BK168" s="17">
        <f t="shared" si="118"/>
        <v>40</v>
      </c>
      <c r="BL168" s="17">
        <f>+'[1]Sell in ko tính KDT'!BA167</f>
        <v>30</v>
      </c>
      <c r="BM168" s="17">
        <f>+'[1]Sell in ko tính KDT'!BB167</f>
        <v>10</v>
      </c>
      <c r="BN168" s="17">
        <f>+'[1]Sell in ko tính KDT'!BC167</f>
        <v>0</v>
      </c>
      <c r="BO168" s="17">
        <v>0</v>
      </c>
      <c r="BP168" s="17">
        <f t="shared" si="119"/>
        <v>40</v>
      </c>
      <c r="BQ168" s="17">
        <f t="shared" si="120"/>
        <v>325</v>
      </c>
      <c r="BR168" s="17">
        <f t="shared" si="120"/>
        <v>285</v>
      </c>
      <c r="BS168" s="17">
        <f t="shared" si="120"/>
        <v>0</v>
      </c>
      <c r="BT168" s="17">
        <f t="shared" si="120"/>
        <v>0</v>
      </c>
      <c r="BU168" s="17">
        <f t="shared" si="105"/>
        <v>610</v>
      </c>
    </row>
    <row r="169" spans="1:73" s="46" customFormat="1" ht="22.35" hidden="1" customHeight="1" outlineLevel="1">
      <c r="A169" s="31" t="s">
        <v>352</v>
      </c>
      <c r="B169" s="31" t="s">
        <v>435</v>
      </c>
      <c r="C169" s="45" t="s">
        <v>440</v>
      </c>
      <c r="D169" s="45"/>
      <c r="E169" s="62"/>
      <c r="F169" s="39" t="s">
        <v>459</v>
      </c>
      <c r="G169" s="45" t="s">
        <v>460</v>
      </c>
      <c r="H169" s="45" t="s">
        <v>357</v>
      </c>
      <c r="I169" s="17">
        <f>+'[1]Sell in ko tính KDT'!I168</f>
        <v>0</v>
      </c>
      <c r="J169" s="17">
        <f>+'[1]Sell in ko tính KDT'!J168</f>
        <v>0</v>
      </c>
      <c r="K169" s="17">
        <f>+'[1]Sell in ko tính KDT'!K168</f>
        <v>0</v>
      </c>
      <c r="L169" s="17">
        <v>0</v>
      </c>
      <c r="M169" s="17">
        <f t="shared" si="108"/>
        <v>0</v>
      </c>
      <c r="N169" s="17">
        <f>+'[1]Sell in ko tính KDT'!M168</f>
        <v>0</v>
      </c>
      <c r="O169" s="17">
        <f>+'[1]Sell in ko tính KDT'!N168</f>
        <v>0</v>
      </c>
      <c r="P169" s="17">
        <f>+'[1]Sell in ko tính KDT'!O168</f>
        <v>0</v>
      </c>
      <c r="Q169" s="17">
        <v>0</v>
      </c>
      <c r="R169" s="17">
        <f t="shared" si="109"/>
        <v>0</v>
      </c>
      <c r="S169" s="17">
        <f>+'[1]Sell in ko tính KDT'!Q168</f>
        <v>25</v>
      </c>
      <c r="T169" s="17">
        <f>+'[1]Sell in ko tính KDT'!R168</f>
        <v>25</v>
      </c>
      <c r="U169" s="17">
        <f>+'[1]Sell in ko tính KDT'!S168</f>
        <v>0</v>
      </c>
      <c r="V169" s="17">
        <v>0</v>
      </c>
      <c r="W169" s="17">
        <f t="shared" si="110"/>
        <v>50</v>
      </c>
      <c r="X169" s="17">
        <f>+'[1]Sell in ko tính KDT'!U168</f>
        <v>25</v>
      </c>
      <c r="Y169" s="17">
        <f>+'[1]Sell in ko tính KDT'!V168</f>
        <v>25</v>
      </c>
      <c r="Z169" s="17">
        <f>+'[1]Sell in ko tính KDT'!W168</f>
        <v>0</v>
      </c>
      <c r="AA169" s="17">
        <v>0</v>
      </c>
      <c r="AB169" s="17">
        <f t="shared" si="111"/>
        <v>50</v>
      </c>
      <c r="AC169" s="17">
        <f>+'[1]Sell in ko tính KDT'!Y168</f>
        <v>30</v>
      </c>
      <c r="AD169" s="17">
        <f>+'[1]Sell in ko tính KDT'!Z168</f>
        <v>15</v>
      </c>
      <c r="AE169" s="17">
        <f>+'[1]Sell in ko tính KDT'!AA168</f>
        <v>0</v>
      </c>
      <c r="AF169" s="17">
        <v>0</v>
      </c>
      <c r="AG169" s="17">
        <f t="shared" si="112"/>
        <v>45</v>
      </c>
      <c r="AH169" s="17">
        <f>+'[1]Sell in ko tính KDT'!AC168</f>
        <v>0</v>
      </c>
      <c r="AI169" s="17">
        <f>+'[1]Sell in ko tính KDT'!AD168</f>
        <v>0</v>
      </c>
      <c r="AJ169" s="17">
        <f>+'[1]Sell in ko tính KDT'!AE168</f>
        <v>0</v>
      </c>
      <c r="AK169" s="17">
        <v>0</v>
      </c>
      <c r="AL169" s="17">
        <f t="shared" si="113"/>
        <v>0</v>
      </c>
      <c r="AM169" s="17">
        <f>+'[1]Sell in ko tính KDT'!AG168</f>
        <v>30</v>
      </c>
      <c r="AN169" s="17">
        <f>+'[1]Sell in ko tính KDT'!AH168</f>
        <v>10</v>
      </c>
      <c r="AO169" s="17">
        <f>+'[1]Sell in ko tính KDT'!AI168</f>
        <v>0</v>
      </c>
      <c r="AP169" s="17">
        <v>0</v>
      </c>
      <c r="AQ169" s="17">
        <f t="shared" si="114"/>
        <v>40</v>
      </c>
      <c r="AR169" s="17">
        <f>+'[1]Sell in ko tính KDT'!AK168</f>
        <v>30</v>
      </c>
      <c r="AS169" s="17">
        <f>+'[1]Sell in ko tính KDT'!AL168</f>
        <v>10</v>
      </c>
      <c r="AT169" s="17">
        <f>+'[1]Sell in ko tính KDT'!AM168</f>
        <v>0</v>
      </c>
      <c r="AU169" s="17">
        <v>0</v>
      </c>
      <c r="AV169" s="17">
        <f t="shared" si="115"/>
        <v>40</v>
      </c>
      <c r="AW169" s="17">
        <f>+'[1]Sell in ko tính KDT'!AO168</f>
        <v>30</v>
      </c>
      <c r="AX169" s="17">
        <f>+'[1]Sell in ko tính KDT'!AP168</f>
        <v>12</v>
      </c>
      <c r="AY169" s="17">
        <f>+'[1]Sell in ko tính KDT'!AQ168</f>
        <v>0</v>
      </c>
      <c r="AZ169" s="17">
        <v>0</v>
      </c>
      <c r="BA169" s="17">
        <f t="shared" si="116"/>
        <v>42</v>
      </c>
      <c r="BB169" s="17">
        <f>+'[1]Sell in ko tính KDT'!AS168</f>
        <v>55</v>
      </c>
      <c r="BC169" s="17">
        <f>+'[1]Sell in ko tính KDT'!AT168</f>
        <v>30</v>
      </c>
      <c r="BD169" s="17">
        <f>+'[1]Sell in ko tính KDT'!AU168</f>
        <v>0</v>
      </c>
      <c r="BE169" s="17">
        <v>0</v>
      </c>
      <c r="BF169" s="17">
        <f t="shared" si="117"/>
        <v>85</v>
      </c>
      <c r="BG169" s="17">
        <f>+'[1]Sell in ko tính KDT'!AW168</f>
        <v>80</v>
      </c>
      <c r="BH169" s="17">
        <f>+'[1]Sell in ko tính KDT'!AX168</f>
        <v>40</v>
      </c>
      <c r="BI169" s="17">
        <f>+'[1]Sell in ko tính KDT'!AY168</f>
        <v>0</v>
      </c>
      <c r="BJ169" s="17">
        <v>0</v>
      </c>
      <c r="BK169" s="17">
        <f t="shared" si="118"/>
        <v>120</v>
      </c>
      <c r="BL169" s="17">
        <f>+'[1]Sell in ko tính KDT'!BA168</f>
        <v>120</v>
      </c>
      <c r="BM169" s="17">
        <f>+'[1]Sell in ko tính KDT'!BB168</f>
        <v>32</v>
      </c>
      <c r="BN169" s="17">
        <f>+'[1]Sell in ko tính KDT'!BC168</f>
        <v>0</v>
      </c>
      <c r="BO169" s="17">
        <v>0</v>
      </c>
      <c r="BP169" s="17">
        <f t="shared" si="119"/>
        <v>152</v>
      </c>
      <c r="BQ169" s="17">
        <f t="shared" si="120"/>
        <v>425</v>
      </c>
      <c r="BR169" s="17">
        <f t="shared" si="120"/>
        <v>199</v>
      </c>
      <c r="BS169" s="17">
        <f t="shared" si="120"/>
        <v>0</v>
      </c>
      <c r="BT169" s="17">
        <f t="shared" si="120"/>
        <v>0</v>
      </c>
      <c r="BU169" s="17">
        <f t="shared" si="105"/>
        <v>624</v>
      </c>
    </row>
    <row r="170" spans="1:73" s="46" customFormat="1" ht="22.35" hidden="1" customHeight="1" outlineLevel="1">
      <c r="A170" s="31" t="s">
        <v>352</v>
      </c>
      <c r="B170" s="31" t="s">
        <v>435</v>
      </c>
      <c r="C170" s="45" t="s">
        <v>461</v>
      </c>
      <c r="D170" s="45"/>
      <c r="E170" s="62" t="s">
        <v>462</v>
      </c>
      <c r="F170" s="64" t="s">
        <v>463</v>
      </c>
      <c r="G170" s="64" t="s">
        <v>464</v>
      </c>
      <c r="H170" s="45" t="s">
        <v>45</v>
      </c>
      <c r="I170" s="17">
        <f>+'[1]Sell in ko tính KDT'!I169</f>
        <v>190.5</v>
      </c>
      <c r="J170" s="17">
        <f>+'[1]Sell in ko tính KDT'!J169</f>
        <v>30</v>
      </c>
      <c r="K170" s="17">
        <f>+'[1]Sell in ko tính KDT'!K169</f>
        <v>0</v>
      </c>
      <c r="L170" s="17">
        <v>0</v>
      </c>
      <c r="M170" s="17">
        <f t="shared" si="108"/>
        <v>220.5</v>
      </c>
      <c r="N170" s="17">
        <f>+'[1]Sell in ko tính KDT'!M169</f>
        <v>194</v>
      </c>
      <c r="O170" s="17">
        <f>+'[1]Sell in ko tính KDT'!N169</f>
        <v>16</v>
      </c>
      <c r="P170" s="17">
        <f>+'[1]Sell in ko tính KDT'!O169</f>
        <v>0</v>
      </c>
      <c r="Q170" s="17">
        <v>0</v>
      </c>
      <c r="R170" s="17">
        <f t="shared" si="109"/>
        <v>210</v>
      </c>
      <c r="S170" s="17">
        <f>+'[1]Sell in ko tính KDT'!Q169</f>
        <v>201</v>
      </c>
      <c r="T170" s="17">
        <f>+'[1]Sell in ko tính KDT'!R169</f>
        <v>24</v>
      </c>
      <c r="U170" s="17">
        <f>+'[1]Sell in ko tính KDT'!S169</f>
        <v>0</v>
      </c>
      <c r="V170" s="17">
        <v>0</v>
      </c>
      <c r="W170" s="17">
        <f t="shared" si="110"/>
        <v>225</v>
      </c>
      <c r="X170" s="17">
        <f>+'[1]Sell in ko tính KDT'!U169</f>
        <v>190</v>
      </c>
      <c r="Y170" s="17">
        <f>+'[1]Sell in ko tính KDT'!V169</f>
        <v>40</v>
      </c>
      <c r="Z170" s="17">
        <f>+'[1]Sell in ko tính KDT'!W169</f>
        <v>0</v>
      </c>
      <c r="AA170" s="17">
        <v>0</v>
      </c>
      <c r="AB170" s="17">
        <f t="shared" si="111"/>
        <v>230</v>
      </c>
      <c r="AC170" s="17">
        <f>+'[1]Sell in ko tính KDT'!Y169</f>
        <v>190</v>
      </c>
      <c r="AD170" s="17">
        <f>+'[1]Sell in ko tính KDT'!Z169</f>
        <v>40</v>
      </c>
      <c r="AE170" s="17">
        <f>+'[1]Sell in ko tính KDT'!AA169</f>
        <v>0</v>
      </c>
      <c r="AF170" s="17">
        <v>0</v>
      </c>
      <c r="AG170" s="17">
        <f t="shared" si="112"/>
        <v>230</v>
      </c>
      <c r="AH170" s="17">
        <f>+'[1]Sell in ko tính KDT'!AC169</f>
        <v>150</v>
      </c>
      <c r="AI170" s="17">
        <f>+'[1]Sell in ko tính KDT'!AD169</f>
        <v>66</v>
      </c>
      <c r="AJ170" s="17">
        <f>+'[1]Sell in ko tính KDT'!AE169</f>
        <v>0</v>
      </c>
      <c r="AK170" s="17">
        <v>0</v>
      </c>
      <c r="AL170" s="17">
        <f t="shared" si="113"/>
        <v>216</v>
      </c>
      <c r="AM170" s="17">
        <f>+'[1]Sell in ko tính KDT'!AG169</f>
        <v>160</v>
      </c>
      <c r="AN170" s="17">
        <f>+'[1]Sell in ko tính KDT'!AH169</f>
        <v>65</v>
      </c>
      <c r="AO170" s="17">
        <f>+'[1]Sell in ko tính KDT'!AI169</f>
        <v>0</v>
      </c>
      <c r="AP170" s="17">
        <v>0</v>
      </c>
      <c r="AQ170" s="17">
        <f t="shared" si="114"/>
        <v>225</v>
      </c>
      <c r="AR170" s="17">
        <f>+'[1]Sell in ko tính KDT'!AK169</f>
        <v>160</v>
      </c>
      <c r="AS170" s="17">
        <f>+'[1]Sell in ko tính KDT'!AL169</f>
        <v>65</v>
      </c>
      <c r="AT170" s="17">
        <f>+'[1]Sell in ko tính KDT'!AM169</f>
        <v>0</v>
      </c>
      <c r="AU170" s="17">
        <v>0</v>
      </c>
      <c r="AV170" s="17">
        <f t="shared" si="115"/>
        <v>225</v>
      </c>
      <c r="AW170" s="17">
        <f>+'[1]Sell in ko tính KDT'!AO169</f>
        <v>190</v>
      </c>
      <c r="AX170" s="17">
        <f>+'[1]Sell in ko tính KDT'!AP169</f>
        <v>80</v>
      </c>
      <c r="AY170" s="17">
        <f>+'[1]Sell in ko tính KDT'!AQ169</f>
        <v>0</v>
      </c>
      <c r="AZ170" s="17">
        <v>0</v>
      </c>
      <c r="BA170" s="17">
        <f t="shared" si="116"/>
        <v>270</v>
      </c>
      <c r="BB170" s="17">
        <f>+'[1]Sell in ko tính KDT'!AS169</f>
        <v>190</v>
      </c>
      <c r="BC170" s="17">
        <f>+'[1]Sell in ko tính KDT'!AT169</f>
        <v>80</v>
      </c>
      <c r="BD170" s="17">
        <f>+'[1]Sell in ko tính KDT'!AU169</f>
        <v>0</v>
      </c>
      <c r="BE170" s="17">
        <v>0</v>
      </c>
      <c r="BF170" s="17">
        <f t="shared" si="117"/>
        <v>270</v>
      </c>
      <c r="BG170" s="17">
        <f>+'[1]Sell in ko tính KDT'!AW169</f>
        <v>190</v>
      </c>
      <c r="BH170" s="17">
        <f>+'[1]Sell in ko tính KDT'!AX169</f>
        <v>80</v>
      </c>
      <c r="BI170" s="17">
        <f>+'[1]Sell in ko tính KDT'!AY169</f>
        <v>0</v>
      </c>
      <c r="BJ170" s="17">
        <v>0</v>
      </c>
      <c r="BK170" s="17">
        <f t="shared" si="118"/>
        <v>270</v>
      </c>
      <c r="BL170" s="17">
        <f>+'[1]Sell in ko tính KDT'!BA169</f>
        <v>190</v>
      </c>
      <c r="BM170" s="17">
        <f>+'[1]Sell in ko tính KDT'!BB169</f>
        <v>80</v>
      </c>
      <c r="BN170" s="17">
        <f>+'[1]Sell in ko tính KDT'!BC169</f>
        <v>0</v>
      </c>
      <c r="BO170" s="17">
        <v>0</v>
      </c>
      <c r="BP170" s="17">
        <f t="shared" si="119"/>
        <v>270</v>
      </c>
      <c r="BQ170" s="17">
        <f t="shared" si="120"/>
        <v>2195.5</v>
      </c>
      <c r="BR170" s="17">
        <f t="shared" si="120"/>
        <v>666</v>
      </c>
      <c r="BS170" s="17">
        <f t="shared" si="120"/>
        <v>0</v>
      </c>
      <c r="BT170" s="17">
        <f t="shared" si="120"/>
        <v>0</v>
      </c>
      <c r="BU170" s="17">
        <f t="shared" si="105"/>
        <v>2861.5</v>
      </c>
    </row>
    <row r="171" spans="1:73" s="46" customFormat="1" ht="22.35" hidden="1" customHeight="1" outlineLevel="1">
      <c r="A171" s="31" t="s">
        <v>352</v>
      </c>
      <c r="B171" s="31" t="s">
        <v>435</v>
      </c>
      <c r="C171" s="45" t="s">
        <v>461</v>
      </c>
      <c r="D171" s="45"/>
      <c r="E171" s="45" t="s">
        <v>445</v>
      </c>
      <c r="F171" s="39" t="s">
        <v>465</v>
      </c>
      <c r="G171" s="19" t="s">
        <v>466</v>
      </c>
      <c r="H171" s="45" t="s">
        <v>357</v>
      </c>
      <c r="I171" s="17">
        <f>+'[1]Sell in ko tính KDT'!I170</f>
        <v>57</v>
      </c>
      <c r="J171" s="17">
        <f>+'[1]Sell in ko tính KDT'!J170</f>
        <v>162</v>
      </c>
      <c r="K171" s="17">
        <f>+'[1]Sell in ko tính KDT'!K170</f>
        <v>0</v>
      </c>
      <c r="L171" s="17">
        <v>0</v>
      </c>
      <c r="M171" s="17">
        <f t="shared" si="108"/>
        <v>219</v>
      </c>
      <c r="N171" s="17">
        <f>+'[1]Sell in ko tính KDT'!M170</f>
        <v>65</v>
      </c>
      <c r="O171" s="17">
        <f>+'[1]Sell in ko tính KDT'!N170</f>
        <v>148</v>
      </c>
      <c r="P171" s="17">
        <f>+'[1]Sell in ko tính KDT'!O170</f>
        <v>0</v>
      </c>
      <c r="Q171" s="17">
        <v>0</v>
      </c>
      <c r="R171" s="17">
        <f t="shared" si="109"/>
        <v>213</v>
      </c>
      <c r="S171" s="17">
        <f>+'[1]Sell in ko tính KDT'!Q170</f>
        <v>40</v>
      </c>
      <c r="T171" s="17">
        <f>+'[1]Sell in ko tính KDT'!R170</f>
        <v>0</v>
      </c>
      <c r="U171" s="17">
        <f>+'[1]Sell in ko tính KDT'!S170</f>
        <v>0</v>
      </c>
      <c r="V171" s="17">
        <v>0</v>
      </c>
      <c r="W171" s="17">
        <f t="shared" si="110"/>
        <v>40</v>
      </c>
      <c r="X171" s="17">
        <f>+'[1]Sell in ko tính KDT'!U170</f>
        <v>40</v>
      </c>
      <c r="Y171" s="17">
        <f>+'[1]Sell in ko tính KDT'!V170</f>
        <v>0</v>
      </c>
      <c r="Z171" s="17">
        <f>+'[1]Sell in ko tính KDT'!W170</f>
        <v>0</v>
      </c>
      <c r="AA171" s="17">
        <v>0</v>
      </c>
      <c r="AB171" s="17">
        <f t="shared" si="111"/>
        <v>40</v>
      </c>
      <c r="AC171" s="17">
        <f>+'[1]Sell in ko tính KDT'!Y170</f>
        <v>40</v>
      </c>
      <c r="AD171" s="17">
        <f>+'[1]Sell in ko tính KDT'!Z170</f>
        <v>0</v>
      </c>
      <c r="AE171" s="17">
        <f>+'[1]Sell in ko tính KDT'!AA170</f>
        <v>0</v>
      </c>
      <c r="AF171" s="17">
        <v>0</v>
      </c>
      <c r="AG171" s="17">
        <f t="shared" si="112"/>
        <v>40</v>
      </c>
      <c r="AH171" s="17">
        <f>+'[1]Sell in ko tính KDT'!AC170</f>
        <v>0</v>
      </c>
      <c r="AI171" s="17">
        <f>+'[1]Sell in ko tính KDT'!AD170</f>
        <v>0</v>
      </c>
      <c r="AJ171" s="17">
        <f>+'[1]Sell in ko tính KDT'!AE170</f>
        <v>0</v>
      </c>
      <c r="AK171" s="17">
        <v>0</v>
      </c>
      <c r="AL171" s="17">
        <f t="shared" si="113"/>
        <v>0</v>
      </c>
      <c r="AM171" s="17">
        <f>+'[1]Sell in ko tính KDT'!AG170</f>
        <v>0</v>
      </c>
      <c r="AN171" s="17">
        <f>+'[1]Sell in ko tính KDT'!AH170</f>
        <v>0</v>
      </c>
      <c r="AO171" s="17">
        <f>+'[1]Sell in ko tính KDT'!AI170</f>
        <v>0</v>
      </c>
      <c r="AP171" s="17">
        <v>0</v>
      </c>
      <c r="AQ171" s="17">
        <f t="shared" si="114"/>
        <v>0</v>
      </c>
      <c r="AR171" s="17">
        <f>+'[1]Sell in ko tính KDT'!AK170</f>
        <v>0</v>
      </c>
      <c r="AS171" s="17">
        <f>+'[1]Sell in ko tính KDT'!AL170</f>
        <v>0</v>
      </c>
      <c r="AT171" s="17">
        <f>+'[1]Sell in ko tính KDT'!AM170</f>
        <v>0</v>
      </c>
      <c r="AU171" s="17">
        <v>0</v>
      </c>
      <c r="AV171" s="17">
        <f t="shared" si="115"/>
        <v>0</v>
      </c>
      <c r="AW171" s="17">
        <f>+'[1]Sell in ko tính KDT'!AO170</f>
        <v>0</v>
      </c>
      <c r="AX171" s="17">
        <f>+'[1]Sell in ko tính KDT'!AP170</f>
        <v>0</v>
      </c>
      <c r="AY171" s="17">
        <f>+'[1]Sell in ko tính KDT'!AQ170</f>
        <v>0</v>
      </c>
      <c r="AZ171" s="17">
        <v>0</v>
      </c>
      <c r="BA171" s="17">
        <f t="shared" si="116"/>
        <v>0</v>
      </c>
      <c r="BB171" s="17">
        <f>+'[1]Sell in ko tính KDT'!AS170</f>
        <v>0</v>
      </c>
      <c r="BC171" s="17">
        <f>+'[1]Sell in ko tính KDT'!AT170</f>
        <v>0</v>
      </c>
      <c r="BD171" s="17">
        <f>+'[1]Sell in ko tính KDT'!AU170</f>
        <v>0</v>
      </c>
      <c r="BE171" s="17">
        <v>0</v>
      </c>
      <c r="BF171" s="17">
        <f t="shared" si="117"/>
        <v>0</v>
      </c>
      <c r="BG171" s="17">
        <f>+'[1]Sell in ko tính KDT'!AW170</f>
        <v>0</v>
      </c>
      <c r="BH171" s="17">
        <f>+'[1]Sell in ko tính KDT'!AX170</f>
        <v>0</v>
      </c>
      <c r="BI171" s="17">
        <f>+'[1]Sell in ko tính KDT'!AY170</f>
        <v>0</v>
      </c>
      <c r="BJ171" s="17">
        <v>0</v>
      </c>
      <c r="BK171" s="17">
        <f t="shared" si="118"/>
        <v>0</v>
      </c>
      <c r="BL171" s="17">
        <f>+'[1]Sell in ko tính KDT'!BA170</f>
        <v>0</v>
      </c>
      <c r="BM171" s="17">
        <f>+'[1]Sell in ko tính KDT'!BB170</f>
        <v>0</v>
      </c>
      <c r="BN171" s="17">
        <f>+'[1]Sell in ko tính KDT'!BC170</f>
        <v>0</v>
      </c>
      <c r="BO171" s="17">
        <v>0</v>
      </c>
      <c r="BP171" s="17">
        <f t="shared" si="119"/>
        <v>0</v>
      </c>
      <c r="BQ171" s="17">
        <f t="shared" si="120"/>
        <v>242</v>
      </c>
      <c r="BR171" s="17">
        <f t="shared" si="120"/>
        <v>310</v>
      </c>
      <c r="BS171" s="17">
        <f t="shared" si="120"/>
        <v>0</v>
      </c>
      <c r="BT171" s="17">
        <f t="shared" si="120"/>
        <v>0</v>
      </c>
      <c r="BU171" s="17">
        <f t="shared" si="105"/>
        <v>552</v>
      </c>
    </row>
    <row r="172" spans="1:73" s="46" customFormat="1" ht="22.35" hidden="1" customHeight="1" outlineLevel="1">
      <c r="A172" s="31" t="s">
        <v>352</v>
      </c>
      <c r="B172" s="31" t="s">
        <v>435</v>
      </c>
      <c r="C172" s="45" t="s">
        <v>440</v>
      </c>
      <c r="D172" s="45"/>
      <c r="E172" s="45" t="s">
        <v>445</v>
      </c>
      <c r="F172" s="39" t="s">
        <v>467</v>
      </c>
      <c r="G172" s="19" t="s">
        <v>468</v>
      </c>
      <c r="H172" s="45" t="s">
        <v>357</v>
      </c>
      <c r="I172" s="17">
        <f>+'[1]Sell in ko tính KDT'!I171</f>
        <v>0</v>
      </c>
      <c r="J172" s="17">
        <f>+'[1]Sell in ko tính KDT'!J171</f>
        <v>0</v>
      </c>
      <c r="K172" s="17">
        <f>+'[1]Sell in ko tính KDT'!K171</f>
        <v>0</v>
      </c>
      <c r="L172" s="17">
        <v>0</v>
      </c>
      <c r="M172" s="17">
        <f t="shared" si="108"/>
        <v>0</v>
      </c>
      <c r="N172" s="17">
        <f>+'[1]Sell in ko tính KDT'!M171</f>
        <v>0</v>
      </c>
      <c r="O172" s="17">
        <f>+'[1]Sell in ko tính KDT'!N171</f>
        <v>0</v>
      </c>
      <c r="P172" s="17">
        <f>+'[1]Sell in ko tính KDT'!O171</f>
        <v>0</v>
      </c>
      <c r="Q172" s="17">
        <v>0</v>
      </c>
      <c r="R172" s="17">
        <f t="shared" si="109"/>
        <v>0</v>
      </c>
      <c r="S172" s="17">
        <f>+'[1]Sell in ko tính KDT'!Q171</f>
        <v>10</v>
      </c>
      <c r="T172" s="17">
        <f>+'[1]Sell in ko tính KDT'!R171</f>
        <v>30</v>
      </c>
      <c r="U172" s="17">
        <f>+'[1]Sell in ko tính KDT'!S171</f>
        <v>0</v>
      </c>
      <c r="V172" s="17">
        <v>0</v>
      </c>
      <c r="W172" s="17">
        <f t="shared" si="110"/>
        <v>40</v>
      </c>
      <c r="X172" s="17">
        <f>+'[1]Sell in ko tính KDT'!U171</f>
        <v>10</v>
      </c>
      <c r="Y172" s="17">
        <f>+'[1]Sell in ko tính KDT'!V171</f>
        <v>36</v>
      </c>
      <c r="Z172" s="17">
        <f>+'[1]Sell in ko tính KDT'!W171</f>
        <v>0</v>
      </c>
      <c r="AA172" s="17">
        <v>0</v>
      </c>
      <c r="AB172" s="17">
        <f t="shared" si="111"/>
        <v>46</v>
      </c>
      <c r="AC172" s="17">
        <f>+'[1]Sell in ko tính KDT'!Y171</f>
        <v>10</v>
      </c>
      <c r="AD172" s="17">
        <f>+'[1]Sell in ko tính KDT'!Z171</f>
        <v>30</v>
      </c>
      <c r="AE172" s="17">
        <f>+'[1]Sell in ko tính KDT'!AA171</f>
        <v>0</v>
      </c>
      <c r="AF172" s="17">
        <v>0</v>
      </c>
      <c r="AG172" s="17">
        <f t="shared" si="112"/>
        <v>40</v>
      </c>
      <c r="AH172" s="17">
        <f>+'[1]Sell in ko tính KDT'!AC171</f>
        <v>0</v>
      </c>
      <c r="AI172" s="17">
        <f>+'[1]Sell in ko tính KDT'!AD171</f>
        <v>0</v>
      </c>
      <c r="AJ172" s="17">
        <f>+'[1]Sell in ko tính KDT'!AE171</f>
        <v>0</v>
      </c>
      <c r="AK172" s="17">
        <v>0</v>
      </c>
      <c r="AL172" s="17">
        <f t="shared" si="113"/>
        <v>0</v>
      </c>
      <c r="AM172" s="17">
        <f>+'[1]Sell in ko tính KDT'!AG171</f>
        <v>0</v>
      </c>
      <c r="AN172" s="17">
        <f>+'[1]Sell in ko tính KDT'!AH171</f>
        <v>0</v>
      </c>
      <c r="AO172" s="17">
        <f>+'[1]Sell in ko tính KDT'!AI171</f>
        <v>0</v>
      </c>
      <c r="AP172" s="17">
        <v>0</v>
      </c>
      <c r="AQ172" s="17">
        <f t="shared" si="114"/>
        <v>0</v>
      </c>
      <c r="AR172" s="17">
        <f>+'[1]Sell in ko tính KDT'!AK171</f>
        <v>30</v>
      </c>
      <c r="AS172" s="17">
        <f>+'[1]Sell in ko tính KDT'!AL171</f>
        <v>10</v>
      </c>
      <c r="AT172" s="17">
        <f>+'[1]Sell in ko tính KDT'!AM171</f>
        <v>0</v>
      </c>
      <c r="AU172" s="17">
        <v>0</v>
      </c>
      <c r="AV172" s="17">
        <f t="shared" si="115"/>
        <v>40</v>
      </c>
      <c r="AW172" s="17">
        <f>+'[1]Sell in ko tính KDT'!AO171</f>
        <v>30</v>
      </c>
      <c r="AX172" s="17">
        <f>+'[1]Sell in ko tính KDT'!AP171</f>
        <v>20</v>
      </c>
      <c r="AY172" s="17">
        <f>+'[1]Sell in ko tính KDT'!AQ171</f>
        <v>0</v>
      </c>
      <c r="AZ172" s="17">
        <v>0</v>
      </c>
      <c r="BA172" s="17">
        <f t="shared" si="116"/>
        <v>50</v>
      </c>
      <c r="BB172" s="17">
        <f>+'[1]Sell in ko tính KDT'!AS171</f>
        <v>80</v>
      </c>
      <c r="BC172" s="17">
        <f>+'[1]Sell in ko tính KDT'!AT171</f>
        <v>20</v>
      </c>
      <c r="BD172" s="17">
        <f>+'[1]Sell in ko tính KDT'!AU171</f>
        <v>0</v>
      </c>
      <c r="BE172" s="17">
        <v>0</v>
      </c>
      <c r="BF172" s="17">
        <f t="shared" si="117"/>
        <v>100</v>
      </c>
      <c r="BG172" s="17">
        <f>+'[1]Sell in ko tính KDT'!AW171</f>
        <v>120</v>
      </c>
      <c r="BH172" s="17">
        <f>+'[1]Sell in ko tính KDT'!AX171</f>
        <v>30</v>
      </c>
      <c r="BI172" s="17">
        <f>+'[1]Sell in ko tính KDT'!AY171</f>
        <v>0</v>
      </c>
      <c r="BJ172" s="17">
        <v>0</v>
      </c>
      <c r="BK172" s="17">
        <f t="shared" si="118"/>
        <v>150</v>
      </c>
      <c r="BL172" s="17">
        <f>+'[1]Sell in ko tính KDT'!BA171</f>
        <v>130</v>
      </c>
      <c r="BM172" s="17">
        <f>+'[1]Sell in ko tính KDT'!BB171</f>
        <v>30</v>
      </c>
      <c r="BN172" s="17">
        <f>+'[1]Sell in ko tính KDT'!BC171</f>
        <v>0</v>
      </c>
      <c r="BO172" s="17">
        <v>0</v>
      </c>
      <c r="BP172" s="17">
        <f t="shared" si="119"/>
        <v>160</v>
      </c>
      <c r="BQ172" s="17">
        <f t="shared" si="120"/>
        <v>420</v>
      </c>
      <c r="BR172" s="17">
        <f t="shared" si="120"/>
        <v>206</v>
      </c>
      <c r="BS172" s="17">
        <f t="shared" si="120"/>
        <v>0</v>
      </c>
      <c r="BT172" s="17">
        <f t="shared" si="120"/>
        <v>0</v>
      </c>
      <c r="BU172" s="17">
        <f t="shared" si="105"/>
        <v>626</v>
      </c>
    </row>
    <row r="173" spans="1:73" s="46" customFormat="1" ht="22.35" hidden="1" customHeight="1" outlineLevel="1">
      <c r="A173" s="31" t="s">
        <v>352</v>
      </c>
      <c r="B173" s="31" t="s">
        <v>435</v>
      </c>
      <c r="C173" s="45"/>
      <c r="D173" s="45"/>
      <c r="E173" s="45" t="s">
        <v>445</v>
      </c>
      <c r="F173" s="39"/>
      <c r="G173" s="19" t="s">
        <v>469</v>
      </c>
      <c r="H173" s="45" t="s">
        <v>357</v>
      </c>
      <c r="I173" s="17">
        <f>+'[1]Sell in ko tính KDT'!I172</f>
        <v>0</v>
      </c>
      <c r="J173" s="17">
        <f>+'[1]Sell in ko tính KDT'!J172</f>
        <v>0</v>
      </c>
      <c r="K173" s="17">
        <f>+'[1]Sell in ko tính KDT'!K172</f>
        <v>0</v>
      </c>
      <c r="L173" s="17">
        <v>0</v>
      </c>
      <c r="M173" s="17">
        <f t="shared" si="108"/>
        <v>0</v>
      </c>
      <c r="N173" s="17">
        <f>+'[1]Sell in ko tính KDT'!M172</f>
        <v>0</v>
      </c>
      <c r="O173" s="17">
        <f>+'[1]Sell in ko tính KDT'!N172</f>
        <v>0</v>
      </c>
      <c r="P173" s="17">
        <f>+'[1]Sell in ko tính KDT'!O172</f>
        <v>0</v>
      </c>
      <c r="Q173" s="17">
        <v>0</v>
      </c>
      <c r="R173" s="17">
        <f t="shared" si="109"/>
        <v>0</v>
      </c>
      <c r="S173" s="17">
        <f>+'[1]Sell in ko tính KDT'!Q172</f>
        <v>29.5</v>
      </c>
      <c r="T173" s="17">
        <f>+'[1]Sell in ko tính KDT'!R172</f>
        <v>10.5</v>
      </c>
      <c r="U173" s="17">
        <f>+'[1]Sell in ko tính KDT'!S172</f>
        <v>0</v>
      </c>
      <c r="V173" s="17">
        <v>0</v>
      </c>
      <c r="W173" s="17">
        <f t="shared" si="110"/>
        <v>40</v>
      </c>
      <c r="X173" s="17">
        <f>+'[1]Sell in ko tính KDT'!U172</f>
        <v>34.5</v>
      </c>
      <c r="Y173" s="17">
        <f>+'[1]Sell in ko tính KDT'!V172</f>
        <v>10.5</v>
      </c>
      <c r="Z173" s="17">
        <f>+'[1]Sell in ko tính KDT'!W172</f>
        <v>0</v>
      </c>
      <c r="AA173" s="17">
        <v>0</v>
      </c>
      <c r="AB173" s="17">
        <f t="shared" si="111"/>
        <v>45</v>
      </c>
      <c r="AC173" s="17">
        <f>+'[1]Sell in ko tính KDT'!Y172</f>
        <v>34.5</v>
      </c>
      <c r="AD173" s="17">
        <f>+'[1]Sell in ko tính KDT'!Z172</f>
        <v>10.5</v>
      </c>
      <c r="AE173" s="17">
        <f>+'[1]Sell in ko tính KDT'!AA172</f>
        <v>0</v>
      </c>
      <c r="AF173" s="17">
        <v>0</v>
      </c>
      <c r="AG173" s="17">
        <f t="shared" si="112"/>
        <v>45</v>
      </c>
      <c r="AH173" s="17">
        <f>+'[1]Sell in ko tính KDT'!AC172</f>
        <v>0</v>
      </c>
      <c r="AI173" s="17">
        <f>+'[1]Sell in ko tính KDT'!AD172</f>
        <v>0</v>
      </c>
      <c r="AJ173" s="17">
        <f>+'[1]Sell in ko tính KDT'!AE172</f>
        <v>0</v>
      </c>
      <c r="AK173" s="17">
        <v>0</v>
      </c>
      <c r="AL173" s="17">
        <f t="shared" si="113"/>
        <v>0</v>
      </c>
      <c r="AM173" s="17">
        <f>+'[1]Sell in ko tính KDT'!AG172</f>
        <v>0</v>
      </c>
      <c r="AN173" s="17">
        <f>+'[1]Sell in ko tính KDT'!AH172</f>
        <v>0</v>
      </c>
      <c r="AO173" s="17">
        <f>+'[1]Sell in ko tính KDT'!AI172</f>
        <v>0</v>
      </c>
      <c r="AP173" s="17">
        <v>0</v>
      </c>
      <c r="AQ173" s="17">
        <f t="shared" si="114"/>
        <v>0</v>
      </c>
      <c r="AR173" s="17">
        <f>+'[1]Sell in ko tính KDT'!AK172</f>
        <v>0</v>
      </c>
      <c r="AS173" s="17">
        <f>+'[1]Sell in ko tính KDT'!AL172</f>
        <v>0</v>
      </c>
      <c r="AT173" s="17">
        <f>+'[1]Sell in ko tính KDT'!AM172</f>
        <v>0</v>
      </c>
      <c r="AU173" s="17">
        <v>0</v>
      </c>
      <c r="AV173" s="17">
        <f t="shared" si="115"/>
        <v>0</v>
      </c>
      <c r="AW173" s="17">
        <f>+'[1]Sell in ko tính KDT'!AO172</f>
        <v>0</v>
      </c>
      <c r="AX173" s="17">
        <f>+'[1]Sell in ko tính KDT'!AP172</f>
        <v>0</v>
      </c>
      <c r="AY173" s="17">
        <f>+'[1]Sell in ko tính KDT'!AQ172</f>
        <v>0</v>
      </c>
      <c r="AZ173" s="17">
        <v>0</v>
      </c>
      <c r="BA173" s="17">
        <f t="shared" si="116"/>
        <v>0</v>
      </c>
      <c r="BB173" s="17">
        <f>+'[1]Sell in ko tính KDT'!AS172</f>
        <v>0</v>
      </c>
      <c r="BC173" s="17">
        <f>+'[1]Sell in ko tính KDT'!AT172</f>
        <v>0</v>
      </c>
      <c r="BD173" s="17">
        <f>+'[1]Sell in ko tính KDT'!AU172</f>
        <v>0</v>
      </c>
      <c r="BE173" s="17">
        <v>0</v>
      </c>
      <c r="BF173" s="17">
        <f t="shared" si="117"/>
        <v>0</v>
      </c>
      <c r="BG173" s="17">
        <f>+'[1]Sell in ko tính KDT'!AW172</f>
        <v>0</v>
      </c>
      <c r="BH173" s="17">
        <f>+'[1]Sell in ko tính KDT'!AX172</f>
        <v>0</v>
      </c>
      <c r="BI173" s="17">
        <f>+'[1]Sell in ko tính KDT'!AY172</f>
        <v>0</v>
      </c>
      <c r="BJ173" s="17">
        <v>0</v>
      </c>
      <c r="BK173" s="17">
        <f t="shared" si="118"/>
        <v>0</v>
      </c>
      <c r="BL173" s="17">
        <f>+'[1]Sell in ko tính KDT'!BA172</f>
        <v>0</v>
      </c>
      <c r="BM173" s="17">
        <f>+'[1]Sell in ko tính KDT'!BB172</f>
        <v>0</v>
      </c>
      <c r="BN173" s="17">
        <f>+'[1]Sell in ko tính KDT'!BC172</f>
        <v>0</v>
      </c>
      <c r="BO173" s="17">
        <v>0</v>
      </c>
      <c r="BP173" s="17">
        <f t="shared" si="119"/>
        <v>0</v>
      </c>
      <c r="BQ173" s="17">
        <f t="shared" si="120"/>
        <v>98.5</v>
      </c>
      <c r="BR173" s="17">
        <f t="shared" si="120"/>
        <v>31.5</v>
      </c>
      <c r="BS173" s="17">
        <f t="shared" si="120"/>
        <v>0</v>
      </c>
      <c r="BT173" s="17">
        <f t="shared" si="120"/>
        <v>0</v>
      </c>
      <c r="BU173" s="17">
        <f t="shared" si="105"/>
        <v>130</v>
      </c>
    </row>
    <row r="174" spans="1:73" s="46" customFormat="1" ht="22.35" hidden="1" customHeight="1" outlineLevel="1">
      <c r="A174" s="31" t="s">
        <v>352</v>
      </c>
      <c r="B174" s="31" t="s">
        <v>435</v>
      </c>
      <c r="C174" s="45"/>
      <c r="D174" s="31"/>
      <c r="E174" s="45" t="s">
        <v>445</v>
      </c>
      <c r="F174" s="39"/>
      <c r="G174" s="19" t="s">
        <v>470</v>
      </c>
      <c r="H174" s="45" t="s">
        <v>357</v>
      </c>
      <c r="I174" s="17">
        <f>+'[1]Sell in ko tính KDT'!I173</f>
        <v>0</v>
      </c>
      <c r="J174" s="17">
        <f>+'[1]Sell in ko tính KDT'!J173</f>
        <v>0</v>
      </c>
      <c r="K174" s="17">
        <f>+'[1]Sell in ko tính KDT'!K173</f>
        <v>0</v>
      </c>
      <c r="L174" s="17">
        <v>0</v>
      </c>
      <c r="M174" s="17">
        <f t="shared" si="108"/>
        <v>0</v>
      </c>
      <c r="N174" s="17">
        <f>+'[1]Sell in ko tính KDT'!M173</f>
        <v>0</v>
      </c>
      <c r="O174" s="17">
        <f>+'[1]Sell in ko tính KDT'!N173</f>
        <v>0</v>
      </c>
      <c r="P174" s="17">
        <f>+'[1]Sell in ko tính KDT'!O173</f>
        <v>0</v>
      </c>
      <c r="Q174" s="17">
        <v>0</v>
      </c>
      <c r="R174" s="17">
        <f t="shared" si="109"/>
        <v>0</v>
      </c>
      <c r="S174" s="17">
        <f>+'[1]Sell in ko tính KDT'!Q173</f>
        <v>20</v>
      </c>
      <c r="T174" s="17">
        <f>+'[1]Sell in ko tính KDT'!R173</f>
        <v>33.5</v>
      </c>
      <c r="U174" s="17">
        <f>+'[1]Sell in ko tính KDT'!S173</f>
        <v>0</v>
      </c>
      <c r="V174" s="17">
        <v>0</v>
      </c>
      <c r="W174" s="17">
        <f t="shared" si="110"/>
        <v>53.5</v>
      </c>
      <c r="X174" s="17">
        <f>+'[1]Sell in ko tính KDT'!U173</f>
        <v>0</v>
      </c>
      <c r="Y174" s="17">
        <f>+'[1]Sell in ko tính KDT'!V173</f>
        <v>60</v>
      </c>
      <c r="Z174" s="17">
        <f>+'[1]Sell in ko tính KDT'!W173</f>
        <v>0</v>
      </c>
      <c r="AA174" s="17">
        <v>0</v>
      </c>
      <c r="AB174" s="17">
        <f t="shared" si="111"/>
        <v>60</v>
      </c>
      <c r="AC174" s="17">
        <f>+'[1]Sell in ko tính KDT'!Y173</f>
        <v>10</v>
      </c>
      <c r="AD174" s="17">
        <f>+'[1]Sell in ko tính KDT'!Z173</f>
        <v>48.4</v>
      </c>
      <c r="AE174" s="17">
        <f>+'[1]Sell in ko tính KDT'!AA173</f>
        <v>0</v>
      </c>
      <c r="AF174" s="17">
        <v>0</v>
      </c>
      <c r="AG174" s="17">
        <f t="shared" si="112"/>
        <v>58.4</v>
      </c>
      <c r="AH174" s="17">
        <f>+'[1]Sell in ko tính KDT'!AC173</f>
        <v>0</v>
      </c>
      <c r="AI174" s="17">
        <f>+'[1]Sell in ko tính KDT'!AD173</f>
        <v>0</v>
      </c>
      <c r="AJ174" s="17">
        <f>+'[1]Sell in ko tính KDT'!AE173</f>
        <v>0</v>
      </c>
      <c r="AK174" s="17">
        <v>0</v>
      </c>
      <c r="AL174" s="17">
        <f t="shared" si="113"/>
        <v>0</v>
      </c>
      <c r="AM174" s="17">
        <f>+'[1]Sell in ko tính KDT'!AG173</f>
        <v>0</v>
      </c>
      <c r="AN174" s="17">
        <f>+'[1]Sell in ko tính KDT'!AH173</f>
        <v>0</v>
      </c>
      <c r="AO174" s="17">
        <f>+'[1]Sell in ko tính KDT'!AI173</f>
        <v>0</v>
      </c>
      <c r="AP174" s="17">
        <v>0</v>
      </c>
      <c r="AQ174" s="17">
        <f t="shared" si="114"/>
        <v>0</v>
      </c>
      <c r="AR174" s="17">
        <f>+'[1]Sell in ko tính KDT'!AK173</f>
        <v>0</v>
      </c>
      <c r="AS174" s="17">
        <f>+'[1]Sell in ko tính KDT'!AL173</f>
        <v>0</v>
      </c>
      <c r="AT174" s="17">
        <f>+'[1]Sell in ko tính KDT'!AM173</f>
        <v>0</v>
      </c>
      <c r="AU174" s="17">
        <v>0</v>
      </c>
      <c r="AV174" s="17">
        <f t="shared" si="115"/>
        <v>0</v>
      </c>
      <c r="AW174" s="17">
        <f>+'[1]Sell in ko tính KDT'!AO173</f>
        <v>0</v>
      </c>
      <c r="AX174" s="17">
        <f>+'[1]Sell in ko tính KDT'!AP173</f>
        <v>0</v>
      </c>
      <c r="AY174" s="17">
        <f>+'[1]Sell in ko tính KDT'!AQ173</f>
        <v>0</v>
      </c>
      <c r="AZ174" s="17">
        <v>0</v>
      </c>
      <c r="BA174" s="17">
        <f t="shared" si="116"/>
        <v>0</v>
      </c>
      <c r="BB174" s="17">
        <f>+'[1]Sell in ko tính KDT'!AS173</f>
        <v>0</v>
      </c>
      <c r="BC174" s="17">
        <f>+'[1]Sell in ko tính KDT'!AT173</f>
        <v>0</v>
      </c>
      <c r="BD174" s="17">
        <f>+'[1]Sell in ko tính KDT'!AU173</f>
        <v>0</v>
      </c>
      <c r="BE174" s="17">
        <v>0</v>
      </c>
      <c r="BF174" s="17">
        <f t="shared" si="117"/>
        <v>0</v>
      </c>
      <c r="BG174" s="17">
        <f>+'[1]Sell in ko tính KDT'!AW173</f>
        <v>0</v>
      </c>
      <c r="BH174" s="17">
        <f>+'[1]Sell in ko tính KDT'!AX173</f>
        <v>0</v>
      </c>
      <c r="BI174" s="17">
        <f>+'[1]Sell in ko tính KDT'!AY173</f>
        <v>0</v>
      </c>
      <c r="BJ174" s="17">
        <v>0</v>
      </c>
      <c r="BK174" s="17">
        <f t="shared" si="118"/>
        <v>0</v>
      </c>
      <c r="BL174" s="17">
        <f>+'[1]Sell in ko tính KDT'!BA173</f>
        <v>0</v>
      </c>
      <c r="BM174" s="17">
        <f>+'[1]Sell in ko tính KDT'!BB173</f>
        <v>0</v>
      </c>
      <c r="BN174" s="17">
        <f>+'[1]Sell in ko tính KDT'!BC173</f>
        <v>0</v>
      </c>
      <c r="BO174" s="17">
        <v>0</v>
      </c>
      <c r="BP174" s="17">
        <f t="shared" si="119"/>
        <v>0</v>
      </c>
      <c r="BQ174" s="17">
        <f t="shared" si="120"/>
        <v>30</v>
      </c>
      <c r="BR174" s="17">
        <f t="shared" si="120"/>
        <v>141.9</v>
      </c>
      <c r="BS174" s="17">
        <f t="shared" si="120"/>
        <v>0</v>
      </c>
      <c r="BT174" s="17">
        <f t="shared" si="120"/>
        <v>0</v>
      </c>
      <c r="BU174" s="17">
        <f t="shared" si="105"/>
        <v>171.9</v>
      </c>
    </row>
    <row r="175" spans="1:73" s="46" customFormat="1" ht="22.35" hidden="1" customHeight="1" outlineLevel="1">
      <c r="A175" s="31" t="s">
        <v>352</v>
      </c>
      <c r="B175" s="31" t="s">
        <v>435</v>
      </c>
      <c r="C175" s="45"/>
      <c r="D175" s="31"/>
      <c r="E175" s="45" t="s">
        <v>445</v>
      </c>
      <c r="F175" s="39"/>
      <c r="G175" s="19" t="s">
        <v>471</v>
      </c>
      <c r="H175" s="45" t="s">
        <v>357</v>
      </c>
      <c r="I175" s="17">
        <f>+'[1]Sell in ko tính KDT'!I174</f>
        <v>0</v>
      </c>
      <c r="J175" s="17">
        <f>+'[1]Sell in ko tính KDT'!J174</f>
        <v>0</v>
      </c>
      <c r="K175" s="17">
        <f>+'[1]Sell in ko tính KDT'!K174</f>
        <v>0</v>
      </c>
      <c r="L175" s="17">
        <v>0</v>
      </c>
      <c r="M175" s="17">
        <f t="shared" si="108"/>
        <v>0</v>
      </c>
      <c r="N175" s="17">
        <f>+'[1]Sell in ko tính KDT'!M174</f>
        <v>0</v>
      </c>
      <c r="O175" s="17">
        <f>+'[1]Sell in ko tính KDT'!N174</f>
        <v>0</v>
      </c>
      <c r="P175" s="17">
        <f>+'[1]Sell in ko tính KDT'!O174</f>
        <v>0</v>
      </c>
      <c r="Q175" s="17">
        <v>0</v>
      </c>
      <c r="R175" s="17">
        <f t="shared" si="109"/>
        <v>0</v>
      </c>
      <c r="S175" s="17">
        <f>+'[1]Sell in ko tính KDT'!Q174</f>
        <v>20</v>
      </c>
      <c r="T175" s="17">
        <f>+'[1]Sell in ko tính KDT'!R174</f>
        <v>30</v>
      </c>
      <c r="U175" s="17">
        <f>+'[1]Sell in ko tính KDT'!S174</f>
        <v>0</v>
      </c>
      <c r="V175" s="17">
        <v>0</v>
      </c>
      <c r="W175" s="17">
        <f t="shared" si="110"/>
        <v>50</v>
      </c>
      <c r="X175" s="17">
        <f>+'[1]Sell in ko tính KDT'!U174</f>
        <v>0</v>
      </c>
      <c r="Y175" s="17">
        <f>+'[1]Sell in ko tính KDT'!V174</f>
        <v>59</v>
      </c>
      <c r="Z175" s="17">
        <f>+'[1]Sell in ko tính KDT'!W174</f>
        <v>0</v>
      </c>
      <c r="AA175" s="17">
        <v>0</v>
      </c>
      <c r="AB175" s="17">
        <f t="shared" si="111"/>
        <v>59</v>
      </c>
      <c r="AC175" s="17">
        <f>+'[1]Sell in ko tính KDT'!Y174</f>
        <v>10</v>
      </c>
      <c r="AD175" s="17">
        <f>+'[1]Sell in ko tính KDT'!Z174</f>
        <v>40</v>
      </c>
      <c r="AE175" s="17">
        <f>+'[1]Sell in ko tính KDT'!AA174</f>
        <v>0</v>
      </c>
      <c r="AF175" s="17">
        <v>0</v>
      </c>
      <c r="AG175" s="17">
        <f t="shared" si="112"/>
        <v>50</v>
      </c>
      <c r="AH175" s="17">
        <f>+'[1]Sell in ko tính KDT'!AC174</f>
        <v>0</v>
      </c>
      <c r="AI175" s="17">
        <f>+'[1]Sell in ko tính KDT'!AD174</f>
        <v>0</v>
      </c>
      <c r="AJ175" s="17">
        <f>+'[1]Sell in ko tính KDT'!AE174</f>
        <v>0</v>
      </c>
      <c r="AK175" s="17">
        <v>0</v>
      </c>
      <c r="AL175" s="17">
        <f t="shared" si="113"/>
        <v>0</v>
      </c>
      <c r="AM175" s="17">
        <f>+'[1]Sell in ko tính KDT'!AG174</f>
        <v>0</v>
      </c>
      <c r="AN175" s="17">
        <f>+'[1]Sell in ko tính KDT'!AH174</f>
        <v>0</v>
      </c>
      <c r="AO175" s="17">
        <f>+'[1]Sell in ko tính KDT'!AI174</f>
        <v>0</v>
      </c>
      <c r="AP175" s="17">
        <v>0</v>
      </c>
      <c r="AQ175" s="17">
        <f t="shared" si="114"/>
        <v>0</v>
      </c>
      <c r="AR175" s="17">
        <f>+'[1]Sell in ko tính KDT'!AK174</f>
        <v>0</v>
      </c>
      <c r="AS175" s="17">
        <f>+'[1]Sell in ko tính KDT'!AL174</f>
        <v>0</v>
      </c>
      <c r="AT175" s="17">
        <f>+'[1]Sell in ko tính KDT'!AM174</f>
        <v>0</v>
      </c>
      <c r="AU175" s="17">
        <v>0</v>
      </c>
      <c r="AV175" s="17">
        <f t="shared" si="115"/>
        <v>0</v>
      </c>
      <c r="AW175" s="17">
        <f>+'[1]Sell in ko tính KDT'!AO174</f>
        <v>0</v>
      </c>
      <c r="AX175" s="17">
        <f>+'[1]Sell in ko tính KDT'!AP174</f>
        <v>0</v>
      </c>
      <c r="AY175" s="17">
        <f>+'[1]Sell in ko tính KDT'!AQ174</f>
        <v>0</v>
      </c>
      <c r="AZ175" s="17">
        <v>0</v>
      </c>
      <c r="BA175" s="17">
        <f t="shared" si="116"/>
        <v>0</v>
      </c>
      <c r="BB175" s="17">
        <f>+'[1]Sell in ko tính KDT'!AS174</f>
        <v>0</v>
      </c>
      <c r="BC175" s="17">
        <f>+'[1]Sell in ko tính KDT'!AT174</f>
        <v>0</v>
      </c>
      <c r="BD175" s="17">
        <f>+'[1]Sell in ko tính KDT'!AU174</f>
        <v>0</v>
      </c>
      <c r="BE175" s="17">
        <v>0</v>
      </c>
      <c r="BF175" s="17">
        <f t="shared" si="117"/>
        <v>0</v>
      </c>
      <c r="BG175" s="17">
        <f>+'[1]Sell in ko tính KDT'!AW174</f>
        <v>0</v>
      </c>
      <c r="BH175" s="17">
        <f>+'[1]Sell in ko tính KDT'!AX174</f>
        <v>0</v>
      </c>
      <c r="BI175" s="17">
        <f>+'[1]Sell in ko tính KDT'!AY174</f>
        <v>0</v>
      </c>
      <c r="BJ175" s="17">
        <v>0</v>
      </c>
      <c r="BK175" s="17">
        <f t="shared" si="118"/>
        <v>0</v>
      </c>
      <c r="BL175" s="17">
        <f>+'[1]Sell in ko tính KDT'!BA174</f>
        <v>0</v>
      </c>
      <c r="BM175" s="17">
        <f>+'[1]Sell in ko tính KDT'!BB174</f>
        <v>0</v>
      </c>
      <c r="BN175" s="17">
        <f>+'[1]Sell in ko tính KDT'!BC174</f>
        <v>0</v>
      </c>
      <c r="BO175" s="17">
        <v>0</v>
      </c>
      <c r="BP175" s="17">
        <f t="shared" si="119"/>
        <v>0</v>
      </c>
      <c r="BQ175" s="17">
        <f t="shared" si="120"/>
        <v>30</v>
      </c>
      <c r="BR175" s="17">
        <f t="shared" si="120"/>
        <v>129</v>
      </c>
      <c r="BS175" s="17">
        <f t="shared" si="120"/>
        <v>0</v>
      </c>
      <c r="BT175" s="17">
        <f t="shared" si="120"/>
        <v>0</v>
      </c>
      <c r="BU175" s="17">
        <f t="shared" si="105"/>
        <v>159</v>
      </c>
    </row>
    <row r="176" spans="1:73" s="38" customFormat="1" ht="22.35" customHeight="1" collapsed="1">
      <c r="A176" s="25" t="s">
        <v>352</v>
      </c>
      <c r="B176" s="25" t="s">
        <v>472</v>
      </c>
      <c r="C176" s="24"/>
      <c r="D176" s="24"/>
      <c r="E176" s="24" t="s">
        <v>182</v>
      </c>
      <c r="F176" s="24"/>
      <c r="G176" s="24" t="s">
        <v>472</v>
      </c>
      <c r="H176" s="24"/>
      <c r="I176" s="25">
        <f>SUM(I161:I175)</f>
        <v>466</v>
      </c>
      <c r="J176" s="25">
        <f t="shared" ref="J176:BU176" si="121">SUM(J161:J175)</f>
        <v>349.9</v>
      </c>
      <c r="K176" s="25">
        <f t="shared" si="121"/>
        <v>0</v>
      </c>
      <c r="L176" s="25">
        <f t="shared" si="121"/>
        <v>0</v>
      </c>
      <c r="M176" s="25">
        <f t="shared" si="121"/>
        <v>815.9</v>
      </c>
      <c r="N176" s="25">
        <f t="shared" si="121"/>
        <v>483</v>
      </c>
      <c r="O176" s="25">
        <f t="shared" si="121"/>
        <v>315</v>
      </c>
      <c r="P176" s="25">
        <f t="shared" si="121"/>
        <v>0</v>
      </c>
      <c r="Q176" s="25">
        <f t="shared" si="121"/>
        <v>0</v>
      </c>
      <c r="R176" s="25">
        <f t="shared" si="121"/>
        <v>798</v>
      </c>
      <c r="S176" s="25">
        <f t="shared" si="121"/>
        <v>569.9</v>
      </c>
      <c r="T176" s="25">
        <f t="shared" si="121"/>
        <v>244</v>
      </c>
      <c r="U176" s="25">
        <f t="shared" si="121"/>
        <v>0</v>
      </c>
      <c r="V176" s="25">
        <f t="shared" si="121"/>
        <v>0</v>
      </c>
      <c r="W176" s="25">
        <f t="shared" si="121"/>
        <v>813.9</v>
      </c>
      <c r="X176" s="25">
        <f t="shared" si="121"/>
        <v>541.5</v>
      </c>
      <c r="Y176" s="25">
        <f t="shared" si="121"/>
        <v>314.5</v>
      </c>
      <c r="Z176" s="25">
        <f t="shared" si="121"/>
        <v>0</v>
      </c>
      <c r="AA176" s="25">
        <f t="shared" si="121"/>
        <v>0</v>
      </c>
      <c r="AB176" s="25">
        <f t="shared" si="121"/>
        <v>856</v>
      </c>
      <c r="AC176" s="25">
        <f t="shared" si="121"/>
        <v>560</v>
      </c>
      <c r="AD176" s="25">
        <f t="shared" si="121"/>
        <v>289.89999999999998</v>
      </c>
      <c r="AE176" s="25">
        <f t="shared" si="121"/>
        <v>0</v>
      </c>
      <c r="AF176" s="25">
        <f t="shared" si="121"/>
        <v>0</v>
      </c>
      <c r="AG176" s="25">
        <f t="shared" si="121"/>
        <v>849.9</v>
      </c>
      <c r="AH176" s="25">
        <f t="shared" si="121"/>
        <v>360</v>
      </c>
      <c r="AI176" s="25">
        <f t="shared" si="121"/>
        <v>136</v>
      </c>
      <c r="AJ176" s="25">
        <f t="shared" si="121"/>
        <v>0</v>
      </c>
      <c r="AK176" s="25">
        <f t="shared" si="121"/>
        <v>0</v>
      </c>
      <c r="AL176" s="25">
        <f t="shared" si="121"/>
        <v>496</v>
      </c>
      <c r="AM176" s="25">
        <f t="shared" si="121"/>
        <v>400</v>
      </c>
      <c r="AN176" s="25">
        <f t="shared" si="121"/>
        <v>145</v>
      </c>
      <c r="AO176" s="25">
        <f t="shared" si="121"/>
        <v>0</v>
      </c>
      <c r="AP176" s="25">
        <f t="shared" si="121"/>
        <v>0</v>
      </c>
      <c r="AQ176" s="25">
        <f t="shared" si="121"/>
        <v>545</v>
      </c>
      <c r="AR176" s="25">
        <f t="shared" si="121"/>
        <v>430</v>
      </c>
      <c r="AS176" s="25">
        <f t="shared" si="121"/>
        <v>155</v>
      </c>
      <c r="AT176" s="25">
        <f t="shared" si="121"/>
        <v>0</v>
      </c>
      <c r="AU176" s="25">
        <f t="shared" si="121"/>
        <v>0</v>
      </c>
      <c r="AV176" s="25">
        <f t="shared" si="121"/>
        <v>585</v>
      </c>
      <c r="AW176" s="25">
        <f t="shared" si="121"/>
        <v>460</v>
      </c>
      <c r="AX176" s="25">
        <f t="shared" si="121"/>
        <v>182</v>
      </c>
      <c r="AY176" s="25">
        <f t="shared" si="121"/>
        <v>0</v>
      </c>
      <c r="AZ176" s="25">
        <f t="shared" si="121"/>
        <v>0</v>
      </c>
      <c r="BA176" s="25">
        <f t="shared" si="121"/>
        <v>642</v>
      </c>
      <c r="BB176" s="25">
        <f t="shared" si="121"/>
        <v>535</v>
      </c>
      <c r="BC176" s="25">
        <f t="shared" si="121"/>
        <v>200</v>
      </c>
      <c r="BD176" s="25">
        <f t="shared" si="121"/>
        <v>0</v>
      </c>
      <c r="BE176" s="25">
        <f t="shared" si="121"/>
        <v>0</v>
      </c>
      <c r="BF176" s="25">
        <f t="shared" si="121"/>
        <v>735</v>
      </c>
      <c r="BG176" s="25">
        <f t="shared" si="121"/>
        <v>600</v>
      </c>
      <c r="BH176" s="25">
        <f t="shared" si="121"/>
        <v>220</v>
      </c>
      <c r="BI176" s="25">
        <f t="shared" si="121"/>
        <v>0</v>
      </c>
      <c r="BJ176" s="25">
        <f t="shared" si="121"/>
        <v>0</v>
      </c>
      <c r="BK176" s="25">
        <f t="shared" si="121"/>
        <v>820</v>
      </c>
      <c r="BL176" s="25">
        <f t="shared" si="121"/>
        <v>650</v>
      </c>
      <c r="BM176" s="25">
        <f t="shared" si="121"/>
        <v>212</v>
      </c>
      <c r="BN176" s="25">
        <f t="shared" si="121"/>
        <v>0</v>
      </c>
      <c r="BO176" s="25">
        <f t="shared" si="121"/>
        <v>0</v>
      </c>
      <c r="BP176" s="25">
        <f t="shared" si="121"/>
        <v>862</v>
      </c>
      <c r="BQ176" s="25">
        <f t="shared" si="121"/>
        <v>6055.4</v>
      </c>
      <c r="BR176" s="25">
        <f t="shared" si="121"/>
        <v>2763.3</v>
      </c>
      <c r="BS176" s="25">
        <f t="shared" si="121"/>
        <v>0</v>
      </c>
      <c r="BT176" s="25">
        <f t="shared" si="121"/>
        <v>0</v>
      </c>
      <c r="BU176" s="25">
        <f t="shared" si="121"/>
        <v>8818.6999999999989</v>
      </c>
    </row>
    <row r="177" spans="1:73" s="46" customFormat="1" hidden="1" outlineLevel="1">
      <c r="A177" s="17" t="s">
        <v>352</v>
      </c>
      <c r="B177" s="17" t="s">
        <v>473</v>
      </c>
      <c r="C177" s="16" t="s">
        <v>473</v>
      </c>
      <c r="D177" s="17"/>
      <c r="E177" s="31" t="s">
        <v>474</v>
      </c>
      <c r="F177" s="39" t="s">
        <v>475</v>
      </c>
      <c r="G177" s="45" t="s">
        <v>476</v>
      </c>
      <c r="H177" s="16" t="s">
        <v>45</v>
      </c>
      <c r="I177" s="17">
        <f>+'[1]Sell in ko tính KDT'!I176</f>
        <v>80</v>
      </c>
      <c r="J177" s="17">
        <f>+'[1]Sell in ko tính KDT'!J176</f>
        <v>70</v>
      </c>
      <c r="K177" s="17">
        <f>+'[1]Sell in ko tính KDT'!K176</f>
        <v>0</v>
      </c>
      <c r="L177" s="17">
        <v>0</v>
      </c>
      <c r="M177" s="17">
        <f t="shared" ref="M177:M195" si="122">I177+J177+L177+K177</f>
        <v>150</v>
      </c>
      <c r="N177" s="17">
        <f>+'[1]Sell in ko tính KDT'!M176</f>
        <v>80</v>
      </c>
      <c r="O177" s="17">
        <f>+'[1]Sell in ko tính KDT'!N176</f>
        <v>60</v>
      </c>
      <c r="P177" s="17">
        <f>+'[1]Sell in ko tính KDT'!O176</f>
        <v>0</v>
      </c>
      <c r="Q177" s="17">
        <v>0</v>
      </c>
      <c r="R177" s="17">
        <f t="shared" ref="R177:R195" si="123">N177+O177+Q177+P177</f>
        <v>140</v>
      </c>
      <c r="S177" s="17">
        <f>+'[1]Sell in ko tính KDT'!Q176</f>
        <v>110</v>
      </c>
      <c r="T177" s="17">
        <f>+'[1]Sell in ko tính KDT'!R176</f>
        <v>40</v>
      </c>
      <c r="U177" s="17">
        <f>+'[1]Sell in ko tính KDT'!S176</f>
        <v>0</v>
      </c>
      <c r="V177" s="17">
        <v>0</v>
      </c>
      <c r="W177" s="17">
        <f t="shared" ref="W177:W195" si="124">S177+T177+V177+U177</f>
        <v>150</v>
      </c>
      <c r="X177" s="17">
        <f>+'[1]Sell in ko tính KDT'!U176</f>
        <v>90</v>
      </c>
      <c r="Y177" s="17">
        <f>+'[1]Sell in ko tính KDT'!V176</f>
        <v>60</v>
      </c>
      <c r="Z177" s="17">
        <f>+'[1]Sell in ko tính KDT'!W176</f>
        <v>0</v>
      </c>
      <c r="AA177" s="17">
        <v>0</v>
      </c>
      <c r="AB177" s="17">
        <f t="shared" ref="AB177:AB195" si="125">X177+Y177+AA177+Z177</f>
        <v>150</v>
      </c>
      <c r="AC177" s="17">
        <f>+'[1]Sell in ko tính KDT'!Y176</f>
        <v>100</v>
      </c>
      <c r="AD177" s="17">
        <f>+'[1]Sell in ko tính KDT'!Z176</f>
        <v>50</v>
      </c>
      <c r="AE177" s="17">
        <f>+'[1]Sell in ko tính KDT'!AA176</f>
        <v>0</v>
      </c>
      <c r="AF177" s="17">
        <v>0</v>
      </c>
      <c r="AG177" s="17">
        <f t="shared" ref="AG177:AG195" si="126">AC177+AD177+AF177+AE177</f>
        <v>150</v>
      </c>
      <c r="AH177" s="17">
        <f>+'[1]Sell in ko tính KDT'!AC176</f>
        <v>100</v>
      </c>
      <c r="AI177" s="17">
        <f>+'[1]Sell in ko tính KDT'!AD176</f>
        <v>44</v>
      </c>
      <c r="AJ177" s="17">
        <f>+'[1]Sell in ko tính KDT'!AE176</f>
        <v>0</v>
      </c>
      <c r="AK177" s="17">
        <v>0</v>
      </c>
      <c r="AL177" s="17">
        <f t="shared" ref="AL177:AL195" si="127">AH177+AI177+AK177+AJ177</f>
        <v>144</v>
      </c>
      <c r="AM177" s="17">
        <f>+'[1]Sell in ko tính KDT'!AG176</f>
        <v>100</v>
      </c>
      <c r="AN177" s="17">
        <f>+'[1]Sell in ko tính KDT'!AH176</f>
        <v>44</v>
      </c>
      <c r="AO177" s="17">
        <f>+'[1]Sell in ko tính KDT'!AI176</f>
        <v>0</v>
      </c>
      <c r="AP177" s="17">
        <v>0</v>
      </c>
      <c r="AQ177" s="17">
        <f t="shared" ref="AQ177:AQ195" si="128">AM177+AN177+AP177+AO177</f>
        <v>144</v>
      </c>
      <c r="AR177" s="17">
        <f>+'[1]Sell in ko tính KDT'!AK176</f>
        <v>100</v>
      </c>
      <c r="AS177" s="17">
        <f>+'[1]Sell in ko tính KDT'!AL176</f>
        <v>50</v>
      </c>
      <c r="AT177" s="17">
        <f>+'[1]Sell in ko tính KDT'!AM176</f>
        <v>0</v>
      </c>
      <c r="AU177" s="17">
        <v>0</v>
      </c>
      <c r="AV177" s="17">
        <f t="shared" ref="AV177:AV195" si="129">AR177+AS177+AU177+AT177</f>
        <v>150</v>
      </c>
      <c r="AW177" s="17">
        <f>+'[1]Sell in ko tính KDT'!AO176</f>
        <v>130</v>
      </c>
      <c r="AX177" s="17">
        <f>+'[1]Sell in ko tính KDT'!AP176</f>
        <v>50</v>
      </c>
      <c r="AY177" s="17">
        <f>+'[1]Sell in ko tính KDT'!AQ176</f>
        <v>0</v>
      </c>
      <c r="AZ177" s="17">
        <v>0</v>
      </c>
      <c r="BA177" s="17">
        <f t="shared" ref="BA177:BA195" si="130">AW177+AX177+AZ177+AY177</f>
        <v>180</v>
      </c>
      <c r="BB177" s="17">
        <f>+'[1]Sell in ko tính KDT'!AS176</f>
        <v>130</v>
      </c>
      <c r="BC177" s="17">
        <f>+'[1]Sell in ko tính KDT'!AT176</f>
        <v>50</v>
      </c>
      <c r="BD177" s="17">
        <f>+'[1]Sell in ko tính KDT'!AU176</f>
        <v>0</v>
      </c>
      <c r="BE177" s="17">
        <v>0</v>
      </c>
      <c r="BF177" s="17">
        <f t="shared" ref="BF177:BF195" si="131">BB177+BC177+BE177+BD177</f>
        <v>180</v>
      </c>
      <c r="BG177" s="17">
        <f>+'[1]Sell in ko tính KDT'!AW176</f>
        <v>130</v>
      </c>
      <c r="BH177" s="17">
        <f>+'[1]Sell in ko tính KDT'!AX176</f>
        <v>50</v>
      </c>
      <c r="BI177" s="17">
        <f>+'[1]Sell in ko tính KDT'!AY176</f>
        <v>0</v>
      </c>
      <c r="BJ177" s="17">
        <v>0</v>
      </c>
      <c r="BK177" s="17">
        <f t="shared" ref="BK177:BK195" si="132">BG177+BH177+BJ177+BI177</f>
        <v>180</v>
      </c>
      <c r="BL177" s="17">
        <f>+'[1]Sell in ko tính KDT'!BA176</f>
        <v>130</v>
      </c>
      <c r="BM177" s="17">
        <f>+'[1]Sell in ko tính KDT'!BB176</f>
        <v>50</v>
      </c>
      <c r="BN177" s="17">
        <f>+'[1]Sell in ko tính KDT'!BC176</f>
        <v>0</v>
      </c>
      <c r="BO177" s="17">
        <v>0</v>
      </c>
      <c r="BP177" s="17">
        <f t="shared" si="119"/>
        <v>180</v>
      </c>
      <c r="BQ177" s="17">
        <f t="shared" ref="BQ177:BT195" si="133">BL177+BG177+BB177+AW177+AR177+AM177+AH177+AC177+X177+S177+N177+I177</f>
        <v>1280</v>
      </c>
      <c r="BR177" s="17">
        <f t="shared" si="133"/>
        <v>618</v>
      </c>
      <c r="BS177" s="17">
        <f t="shared" si="133"/>
        <v>0</v>
      </c>
      <c r="BT177" s="17">
        <f t="shared" si="133"/>
        <v>0</v>
      </c>
      <c r="BU177" s="17">
        <f t="shared" si="105"/>
        <v>1898</v>
      </c>
    </row>
    <row r="178" spans="1:73" s="46" customFormat="1" hidden="1" outlineLevel="1">
      <c r="A178" s="17" t="s">
        <v>352</v>
      </c>
      <c r="B178" s="17" t="s">
        <v>473</v>
      </c>
      <c r="C178" s="16" t="s">
        <v>473</v>
      </c>
      <c r="D178" s="17"/>
      <c r="E178" s="31" t="s">
        <v>477</v>
      </c>
      <c r="F178" s="18" t="s">
        <v>478</v>
      </c>
      <c r="G178" s="16" t="s">
        <v>479</v>
      </c>
      <c r="H178" s="16" t="s">
        <v>45</v>
      </c>
      <c r="I178" s="17">
        <f>+'[1]Sell in ko tính KDT'!I177</f>
        <v>145</v>
      </c>
      <c r="J178" s="17">
        <f>+'[1]Sell in ko tính KDT'!J177</f>
        <v>155</v>
      </c>
      <c r="K178" s="17">
        <f>+'[1]Sell in ko tính KDT'!K177</f>
        <v>0</v>
      </c>
      <c r="L178" s="17">
        <v>0</v>
      </c>
      <c r="M178" s="17">
        <f t="shared" si="122"/>
        <v>300</v>
      </c>
      <c r="N178" s="17">
        <f>+'[1]Sell in ko tính KDT'!M177</f>
        <v>145</v>
      </c>
      <c r="O178" s="17">
        <f>+'[1]Sell in ko tính KDT'!N177</f>
        <v>135</v>
      </c>
      <c r="P178" s="17">
        <f>+'[1]Sell in ko tính KDT'!O177</f>
        <v>0</v>
      </c>
      <c r="Q178" s="17">
        <v>0</v>
      </c>
      <c r="R178" s="17">
        <f t="shared" si="123"/>
        <v>280</v>
      </c>
      <c r="S178" s="17">
        <f>+'[1]Sell in ko tính KDT'!Q177</f>
        <v>245</v>
      </c>
      <c r="T178" s="17">
        <f>+'[1]Sell in ko tính KDT'!R177</f>
        <v>85</v>
      </c>
      <c r="U178" s="17">
        <f>+'[1]Sell in ko tính KDT'!S177</f>
        <v>0</v>
      </c>
      <c r="V178" s="17">
        <v>0</v>
      </c>
      <c r="W178" s="17">
        <f t="shared" si="124"/>
        <v>330</v>
      </c>
      <c r="X178" s="17">
        <f>+'[1]Sell in ko tính KDT'!U177</f>
        <v>175</v>
      </c>
      <c r="Y178" s="17">
        <f>+'[1]Sell in ko tính KDT'!V177</f>
        <v>125</v>
      </c>
      <c r="Z178" s="17">
        <f>+'[1]Sell in ko tính KDT'!W177</f>
        <v>0</v>
      </c>
      <c r="AA178" s="17">
        <v>0</v>
      </c>
      <c r="AB178" s="17">
        <f t="shared" si="125"/>
        <v>300</v>
      </c>
      <c r="AC178" s="17">
        <f>+'[1]Sell in ko tính KDT'!Y177</f>
        <v>310</v>
      </c>
      <c r="AD178" s="17">
        <f>+'[1]Sell in ko tính KDT'!Z177</f>
        <v>80</v>
      </c>
      <c r="AE178" s="17">
        <f>+'[1]Sell in ko tính KDT'!AA177</f>
        <v>0</v>
      </c>
      <c r="AF178" s="17">
        <v>0</v>
      </c>
      <c r="AG178" s="17">
        <f t="shared" si="126"/>
        <v>390</v>
      </c>
      <c r="AH178" s="17">
        <f>+'[1]Sell in ko tính KDT'!AC177</f>
        <v>200</v>
      </c>
      <c r="AI178" s="17">
        <f>+'[1]Sell in ko tính KDT'!AD177</f>
        <v>88</v>
      </c>
      <c r="AJ178" s="17">
        <f>+'[1]Sell in ko tính KDT'!AE177</f>
        <v>0</v>
      </c>
      <c r="AK178" s="17">
        <v>0</v>
      </c>
      <c r="AL178" s="17">
        <f t="shared" si="127"/>
        <v>288</v>
      </c>
      <c r="AM178" s="17">
        <f>+'[1]Sell in ko tính KDT'!AG177</f>
        <v>200</v>
      </c>
      <c r="AN178" s="17">
        <f>+'[1]Sell in ko tính KDT'!AH177</f>
        <v>88</v>
      </c>
      <c r="AO178" s="17">
        <f>+'[1]Sell in ko tính KDT'!AI177</f>
        <v>0</v>
      </c>
      <c r="AP178" s="17">
        <v>0</v>
      </c>
      <c r="AQ178" s="17">
        <f t="shared" si="128"/>
        <v>288</v>
      </c>
      <c r="AR178" s="17">
        <f>+'[1]Sell in ko tính KDT'!AK177</f>
        <v>210</v>
      </c>
      <c r="AS178" s="17">
        <f>+'[1]Sell in ko tính KDT'!AL177</f>
        <v>90</v>
      </c>
      <c r="AT178" s="17">
        <f>+'[1]Sell in ko tính KDT'!AM177</f>
        <v>0</v>
      </c>
      <c r="AU178" s="17">
        <v>0</v>
      </c>
      <c r="AV178" s="17">
        <f t="shared" si="129"/>
        <v>300</v>
      </c>
      <c r="AW178" s="17">
        <f>+'[1]Sell in ko tính KDT'!AO177</f>
        <v>260</v>
      </c>
      <c r="AX178" s="17">
        <f>+'[1]Sell in ko tính KDT'!AP177</f>
        <v>100</v>
      </c>
      <c r="AY178" s="17">
        <f>+'[1]Sell in ko tính KDT'!AQ177</f>
        <v>0</v>
      </c>
      <c r="AZ178" s="17">
        <v>0</v>
      </c>
      <c r="BA178" s="17">
        <f t="shared" si="130"/>
        <v>360</v>
      </c>
      <c r="BB178" s="17">
        <f>+'[1]Sell in ko tính KDT'!AS177</f>
        <v>260</v>
      </c>
      <c r="BC178" s="17">
        <f>+'[1]Sell in ko tính KDT'!AT177</f>
        <v>100</v>
      </c>
      <c r="BD178" s="17">
        <f>+'[1]Sell in ko tính KDT'!AU177</f>
        <v>0</v>
      </c>
      <c r="BE178" s="17">
        <v>0</v>
      </c>
      <c r="BF178" s="17">
        <f t="shared" si="131"/>
        <v>360</v>
      </c>
      <c r="BG178" s="17">
        <f>+'[1]Sell in ko tính KDT'!AW177</f>
        <v>260</v>
      </c>
      <c r="BH178" s="17">
        <f>+'[1]Sell in ko tính KDT'!AX177</f>
        <v>100</v>
      </c>
      <c r="BI178" s="17">
        <f>+'[1]Sell in ko tính KDT'!AY177</f>
        <v>0</v>
      </c>
      <c r="BJ178" s="17">
        <v>0</v>
      </c>
      <c r="BK178" s="17">
        <f t="shared" si="132"/>
        <v>360</v>
      </c>
      <c r="BL178" s="17">
        <f>+'[1]Sell in ko tính KDT'!BA177</f>
        <v>260</v>
      </c>
      <c r="BM178" s="17">
        <f>+'[1]Sell in ko tính KDT'!BB177</f>
        <v>100</v>
      </c>
      <c r="BN178" s="17">
        <f>+'[1]Sell in ko tính KDT'!BC177</f>
        <v>0</v>
      </c>
      <c r="BO178" s="17">
        <v>0</v>
      </c>
      <c r="BP178" s="17">
        <f t="shared" si="119"/>
        <v>360</v>
      </c>
      <c r="BQ178" s="17">
        <f t="shared" si="133"/>
        <v>2670</v>
      </c>
      <c r="BR178" s="17">
        <f t="shared" si="133"/>
        <v>1246</v>
      </c>
      <c r="BS178" s="17">
        <f t="shared" si="133"/>
        <v>0</v>
      </c>
      <c r="BT178" s="17">
        <f t="shared" si="133"/>
        <v>0</v>
      </c>
      <c r="BU178" s="17">
        <f t="shared" si="105"/>
        <v>3916</v>
      </c>
    </row>
    <row r="179" spans="1:73" s="46" customFormat="1" hidden="1" outlineLevel="1">
      <c r="A179" s="17" t="s">
        <v>352</v>
      </c>
      <c r="B179" s="17" t="s">
        <v>473</v>
      </c>
      <c r="C179" s="16" t="s">
        <v>473</v>
      </c>
      <c r="D179" s="17"/>
      <c r="E179" s="31" t="s">
        <v>474</v>
      </c>
      <c r="F179" s="18" t="s">
        <v>480</v>
      </c>
      <c r="G179" s="16" t="s">
        <v>481</v>
      </c>
      <c r="H179" s="16" t="s">
        <v>45</v>
      </c>
      <c r="I179" s="17">
        <f>+'[1]Sell in ko tính KDT'!I178</f>
        <v>0</v>
      </c>
      <c r="J179" s="17">
        <f>+'[1]Sell in ko tính KDT'!J178</f>
        <v>0</v>
      </c>
      <c r="K179" s="17">
        <f>+'[1]Sell in ko tính KDT'!K178</f>
        <v>0</v>
      </c>
      <c r="L179" s="17">
        <v>0</v>
      </c>
      <c r="M179" s="17">
        <f t="shared" si="122"/>
        <v>0</v>
      </c>
      <c r="N179" s="17">
        <f>+'[1]Sell in ko tính KDT'!M178</f>
        <v>0</v>
      </c>
      <c r="O179" s="17">
        <f>+'[1]Sell in ko tính KDT'!N178</f>
        <v>0</v>
      </c>
      <c r="P179" s="17">
        <f>+'[1]Sell in ko tính KDT'!O178</f>
        <v>0</v>
      </c>
      <c r="Q179" s="17">
        <v>0</v>
      </c>
      <c r="R179" s="17">
        <f t="shared" si="123"/>
        <v>0</v>
      </c>
      <c r="S179" s="17">
        <f>+'[1]Sell in ko tính KDT'!Q178</f>
        <v>255.79999999999998</v>
      </c>
      <c r="T179" s="17">
        <f>+'[1]Sell in ko tính KDT'!R178</f>
        <v>64.2</v>
      </c>
      <c r="U179" s="17">
        <f>+'[1]Sell in ko tính KDT'!S178</f>
        <v>0</v>
      </c>
      <c r="V179" s="17">
        <v>0</v>
      </c>
      <c r="W179" s="17">
        <f t="shared" si="124"/>
        <v>320</v>
      </c>
      <c r="X179" s="17">
        <f>+'[1]Sell in ko tính KDT'!U178</f>
        <v>194.1</v>
      </c>
      <c r="Y179" s="17">
        <f>+'[1]Sell in ko tính KDT'!V178</f>
        <v>105.89999999999999</v>
      </c>
      <c r="Z179" s="17">
        <f>+'[1]Sell in ko tính KDT'!W178</f>
        <v>0</v>
      </c>
      <c r="AA179" s="17">
        <v>0</v>
      </c>
      <c r="AB179" s="17">
        <f t="shared" si="125"/>
        <v>300</v>
      </c>
      <c r="AC179" s="17">
        <f>+'[1]Sell in ko tính KDT'!Y178</f>
        <v>256.40000000000003</v>
      </c>
      <c r="AD179" s="17">
        <f>+'[1]Sell in ko tính KDT'!Z178</f>
        <v>103.6</v>
      </c>
      <c r="AE179" s="17">
        <f>+'[1]Sell in ko tính KDT'!AA178</f>
        <v>0</v>
      </c>
      <c r="AF179" s="17">
        <v>0</v>
      </c>
      <c r="AG179" s="17">
        <f t="shared" si="126"/>
        <v>360</v>
      </c>
      <c r="AH179" s="17">
        <f>+'[1]Sell in ko tính KDT'!AC178</f>
        <v>200</v>
      </c>
      <c r="AI179" s="17">
        <f>+'[1]Sell in ko tính KDT'!AD178</f>
        <v>88</v>
      </c>
      <c r="AJ179" s="17">
        <f>+'[1]Sell in ko tính KDT'!AE178</f>
        <v>0</v>
      </c>
      <c r="AK179" s="17">
        <v>0</v>
      </c>
      <c r="AL179" s="17">
        <f t="shared" si="127"/>
        <v>288</v>
      </c>
      <c r="AM179" s="17">
        <f>+'[1]Sell in ko tính KDT'!AG178</f>
        <v>200</v>
      </c>
      <c r="AN179" s="17">
        <f>+'[1]Sell in ko tính KDT'!AH178</f>
        <v>88</v>
      </c>
      <c r="AO179" s="17">
        <f>+'[1]Sell in ko tính KDT'!AI178</f>
        <v>0</v>
      </c>
      <c r="AP179" s="17">
        <v>0</v>
      </c>
      <c r="AQ179" s="17">
        <f t="shared" si="128"/>
        <v>288</v>
      </c>
      <c r="AR179" s="17">
        <f>+'[1]Sell in ko tính KDT'!AK178</f>
        <v>210</v>
      </c>
      <c r="AS179" s="17">
        <f>+'[1]Sell in ko tính KDT'!AL178</f>
        <v>90</v>
      </c>
      <c r="AT179" s="17">
        <f>+'[1]Sell in ko tính KDT'!AM178</f>
        <v>0</v>
      </c>
      <c r="AU179" s="17">
        <v>0</v>
      </c>
      <c r="AV179" s="17">
        <f t="shared" si="129"/>
        <v>300</v>
      </c>
      <c r="AW179" s="17">
        <f>+'[1]Sell in ko tính KDT'!AO178</f>
        <v>260</v>
      </c>
      <c r="AX179" s="17">
        <f>+'[1]Sell in ko tính KDT'!AP178</f>
        <v>100</v>
      </c>
      <c r="AY179" s="17">
        <f>+'[1]Sell in ko tính KDT'!AQ178</f>
        <v>0</v>
      </c>
      <c r="AZ179" s="17">
        <v>0</v>
      </c>
      <c r="BA179" s="17">
        <f t="shared" si="130"/>
        <v>360</v>
      </c>
      <c r="BB179" s="17">
        <f>+'[1]Sell in ko tính KDT'!AS178</f>
        <v>260</v>
      </c>
      <c r="BC179" s="17">
        <f>+'[1]Sell in ko tính KDT'!AT178</f>
        <v>100</v>
      </c>
      <c r="BD179" s="17">
        <f>+'[1]Sell in ko tính KDT'!AU178</f>
        <v>0</v>
      </c>
      <c r="BE179" s="17">
        <v>0</v>
      </c>
      <c r="BF179" s="17">
        <f t="shared" si="131"/>
        <v>360</v>
      </c>
      <c r="BG179" s="17">
        <f>+'[1]Sell in ko tính KDT'!AW178</f>
        <v>260</v>
      </c>
      <c r="BH179" s="17">
        <f>+'[1]Sell in ko tính KDT'!AX178</f>
        <v>100</v>
      </c>
      <c r="BI179" s="17">
        <f>+'[1]Sell in ko tính KDT'!AY178</f>
        <v>0</v>
      </c>
      <c r="BJ179" s="17">
        <v>0</v>
      </c>
      <c r="BK179" s="17">
        <f t="shared" si="132"/>
        <v>360</v>
      </c>
      <c r="BL179" s="17">
        <f>+'[1]Sell in ko tính KDT'!BA178</f>
        <v>260</v>
      </c>
      <c r="BM179" s="17">
        <f>+'[1]Sell in ko tính KDT'!BB178</f>
        <v>100</v>
      </c>
      <c r="BN179" s="17">
        <f>+'[1]Sell in ko tính KDT'!BC178</f>
        <v>0</v>
      </c>
      <c r="BO179" s="17">
        <v>0</v>
      </c>
      <c r="BP179" s="17">
        <f t="shared" si="119"/>
        <v>360</v>
      </c>
      <c r="BQ179" s="17">
        <f t="shared" si="133"/>
        <v>2356.3000000000002</v>
      </c>
      <c r="BR179" s="17">
        <f t="shared" si="133"/>
        <v>939.7</v>
      </c>
      <c r="BS179" s="17">
        <f t="shared" si="133"/>
        <v>0</v>
      </c>
      <c r="BT179" s="17">
        <f t="shared" si="133"/>
        <v>0</v>
      </c>
      <c r="BU179" s="17">
        <f t="shared" si="105"/>
        <v>3296</v>
      </c>
    </row>
    <row r="180" spans="1:73" s="46" customFormat="1" hidden="1" outlineLevel="1">
      <c r="A180" s="17" t="s">
        <v>352</v>
      </c>
      <c r="B180" s="17" t="s">
        <v>473</v>
      </c>
      <c r="C180" s="16" t="s">
        <v>473</v>
      </c>
      <c r="D180" s="17"/>
      <c r="E180" s="65" t="s">
        <v>482</v>
      </c>
      <c r="F180" s="18" t="s">
        <v>483</v>
      </c>
      <c r="G180" s="16" t="s">
        <v>484</v>
      </c>
      <c r="H180" s="16" t="s">
        <v>45</v>
      </c>
      <c r="I180" s="17">
        <f>+'[1]Sell in ko tính KDT'!I179</f>
        <v>82.2</v>
      </c>
      <c r="J180" s="17">
        <f>+'[1]Sell in ko tính KDT'!J179</f>
        <v>67.800000000000011</v>
      </c>
      <c r="K180" s="17">
        <f>+'[1]Sell in ko tính KDT'!K179</f>
        <v>0</v>
      </c>
      <c r="L180" s="17">
        <v>0</v>
      </c>
      <c r="M180" s="17">
        <f t="shared" si="122"/>
        <v>150</v>
      </c>
      <c r="N180" s="17">
        <f>+'[1]Sell in ko tính KDT'!M179</f>
        <v>82.2</v>
      </c>
      <c r="O180" s="17">
        <f>+'[1]Sell in ko tính KDT'!N179</f>
        <v>57.800000000000004</v>
      </c>
      <c r="P180" s="17">
        <f>+'[1]Sell in ko tính KDT'!O179</f>
        <v>0</v>
      </c>
      <c r="Q180" s="17">
        <v>0</v>
      </c>
      <c r="R180" s="17">
        <f t="shared" si="123"/>
        <v>140</v>
      </c>
      <c r="S180" s="17">
        <f>+'[1]Sell in ko tính KDT'!Q179</f>
        <v>117</v>
      </c>
      <c r="T180" s="17">
        <f>+'[1]Sell in ko tính KDT'!R179</f>
        <v>43</v>
      </c>
      <c r="U180" s="17">
        <f>+'[1]Sell in ko tính KDT'!S179</f>
        <v>0</v>
      </c>
      <c r="V180" s="17">
        <v>0</v>
      </c>
      <c r="W180" s="17">
        <f t="shared" si="124"/>
        <v>160</v>
      </c>
      <c r="X180" s="17">
        <f>+'[1]Sell in ko tính KDT'!U179</f>
        <v>77.200000000000017</v>
      </c>
      <c r="Y180" s="17">
        <f>+'[1]Sell in ko tính KDT'!V179</f>
        <v>72.8</v>
      </c>
      <c r="Z180" s="17">
        <f>+'[1]Sell in ko tính KDT'!W179</f>
        <v>0</v>
      </c>
      <c r="AA180" s="17">
        <v>0</v>
      </c>
      <c r="AB180" s="17">
        <f t="shared" si="125"/>
        <v>150</v>
      </c>
      <c r="AC180" s="17">
        <f>+'[1]Sell in ko tính KDT'!Y179</f>
        <v>108</v>
      </c>
      <c r="AD180" s="17">
        <f>+'[1]Sell in ko tính KDT'!Z179</f>
        <v>72</v>
      </c>
      <c r="AE180" s="17">
        <f>+'[1]Sell in ko tính KDT'!AA179</f>
        <v>0</v>
      </c>
      <c r="AF180" s="17">
        <v>0</v>
      </c>
      <c r="AG180" s="17">
        <f t="shared" si="126"/>
        <v>180</v>
      </c>
      <c r="AH180" s="17">
        <f>+'[1]Sell in ko tính KDT'!AC179</f>
        <v>100</v>
      </c>
      <c r="AI180" s="17">
        <f>+'[1]Sell in ko tính KDT'!AD179</f>
        <v>44</v>
      </c>
      <c r="AJ180" s="17">
        <f>+'[1]Sell in ko tính KDT'!AE179</f>
        <v>0</v>
      </c>
      <c r="AK180" s="17">
        <v>0</v>
      </c>
      <c r="AL180" s="17">
        <f t="shared" si="127"/>
        <v>144</v>
      </c>
      <c r="AM180" s="17">
        <f>+'[1]Sell in ko tính KDT'!AG179</f>
        <v>100</v>
      </c>
      <c r="AN180" s="17">
        <f>+'[1]Sell in ko tính KDT'!AH179</f>
        <v>50</v>
      </c>
      <c r="AO180" s="17">
        <f>+'[1]Sell in ko tính KDT'!AI179</f>
        <v>0</v>
      </c>
      <c r="AP180" s="17">
        <v>0</v>
      </c>
      <c r="AQ180" s="17">
        <f t="shared" si="128"/>
        <v>150</v>
      </c>
      <c r="AR180" s="17">
        <f>+'[1]Sell in ko tính KDT'!AK179</f>
        <v>100</v>
      </c>
      <c r="AS180" s="17">
        <f>+'[1]Sell in ko tính KDT'!AL179</f>
        <v>50</v>
      </c>
      <c r="AT180" s="17">
        <f>+'[1]Sell in ko tính KDT'!AM179</f>
        <v>0</v>
      </c>
      <c r="AU180" s="17">
        <v>0</v>
      </c>
      <c r="AV180" s="17">
        <f t="shared" si="129"/>
        <v>150</v>
      </c>
      <c r="AW180" s="17">
        <f>+'[1]Sell in ko tính KDT'!AO179</f>
        <v>130</v>
      </c>
      <c r="AX180" s="17">
        <f>+'[1]Sell in ko tính KDT'!AP179</f>
        <v>50</v>
      </c>
      <c r="AY180" s="17">
        <f>+'[1]Sell in ko tính KDT'!AQ179</f>
        <v>0</v>
      </c>
      <c r="AZ180" s="17">
        <v>0</v>
      </c>
      <c r="BA180" s="17">
        <f t="shared" si="130"/>
        <v>180</v>
      </c>
      <c r="BB180" s="17">
        <f>+'[1]Sell in ko tính KDT'!AS179</f>
        <v>130</v>
      </c>
      <c r="BC180" s="17">
        <f>+'[1]Sell in ko tính KDT'!AT179</f>
        <v>50</v>
      </c>
      <c r="BD180" s="17">
        <f>+'[1]Sell in ko tính KDT'!AU179</f>
        <v>0</v>
      </c>
      <c r="BE180" s="17">
        <v>0</v>
      </c>
      <c r="BF180" s="17">
        <f t="shared" si="131"/>
        <v>180</v>
      </c>
      <c r="BG180" s="17">
        <f>+'[1]Sell in ko tính KDT'!AW179</f>
        <v>130</v>
      </c>
      <c r="BH180" s="17">
        <f>+'[1]Sell in ko tính KDT'!AX179</f>
        <v>50</v>
      </c>
      <c r="BI180" s="17">
        <f>+'[1]Sell in ko tính KDT'!AY179</f>
        <v>0</v>
      </c>
      <c r="BJ180" s="17">
        <v>0</v>
      </c>
      <c r="BK180" s="17">
        <f t="shared" si="132"/>
        <v>180</v>
      </c>
      <c r="BL180" s="17">
        <f>+'[1]Sell in ko tính KDT'!BA179</f>
        <v>130</v>
      </c>
      <c r="BM180" s="17">
        <f>+'[1]Sell in ko tính KDT'!BB179</f>
        <v>50</v>
      </c>
      <c r="BN180" s="17">
        <f>+'[1]Sell in ko tính KDT'!BC179</f>
        <v>0</v>
      </c>
      <c r="BO180" s="17">
        <v>0</v>
      </c>
      <c r="BP180" s="17">
        <f t="shared" si="119"/>
        <v>180</v>
      </c>
      <c r="BQ180" s="17">
        <f t="shared" si="133"/>
        <v>1286.6000000000001</v>
      </c>
      <c r="BR180" s="17">
        <f t="shared" si="133"/>
        <v>657.39999999999986</v>
      </c>
      <c r="BS180" s="17">
        <f t="shared" si="133"/>
        <v>0</v>
      </c>
      <c r="BT180" s="17">
        <f t="shared" si="133"/>
        <v>0</v>
      </c>
      <c r="BU180" s="17">
        <f t="shared" si="105"/>
        <v>1944</v>
      </c>
    </row>
    <row r="181" spans="1:73" s="46" customFormat="1" hidden="1" outlineLevel="1">
      <c r="A181" s="17" t="s">
        <v>352</v>
      </c>
      <c r="B181" s="17" t="s">
        <v>473</v>
      </c>
      <c r="C181" s="16" t="s">
        <v>485</v>
      </c>
      <c r="D181" s="17"/>
      <c r="E181" s="65" t="s">
        <v>482</v>
      </c>
      <c r="F181" s="18" t="s">
        <v>486</v>
      </c>
      <c r="G181" s="16" t="s">
        <v>487</v>
      </c>
      <c r="H181" s="16" t="s">
        <v>45</v>
      </c>
      <c r="I181" s="17">
        <f>+'[1]Sell in ko tính KDT'!I180</f>
        <v>205</v>
      </c>
      <c r="J181" s="17">
        <f>+'[1]Sell in ko tính KDT'!J180</f>
        <v>20</v>
      </c>
      <c r="K181" s="17">
        <f>+'[1]Sell in ko tính KDT'!K180</f>
        <v>0</v>
      </c>
      <c r="L181" s="17">
        <v>0</v>
      </c>
      <c r="M181" s="17">
        <f t="shared" si="122"/>
        <v>225</v>
      </c>
      <c r="N181" s="17">
        <f>+'[1]Sell in ko tính KDT'!M180</f>
        <v>190</v>
      </c>
      <c r="O181" s="17">
        <f>+'[1]Sell in ko tính KDT'!N180</f>
        <v>20</v>
      </c>
      <c r="P181" s="17">
        <f>+'[1]Sell in ko tính KDT'!O180</f>
        <v>0</v>
      </c>
      <c r="Q181" s="17">
        <v>0</v>
      </c>
      <c r="R181" s="17">
        <f t="shared" si="123"/>
        <v>210</v>
      </c>
      <c r="S181" s="17">
        <f>+'[1]Sell in ko tính KDT'!Q180</f>
        <v>200</v>
      </c>
      <c r="T181" s="17">
        <f>+'[1]Sell in ko tính KDT'!R180</f>
        <v>40</v>
      </c>
      <c r="U181" s="17">
        <f>+'[1]Sell in ko tính KDT'!S180</f>
        <v>0</v>
      </c>
      <c r="V181" s="17">
        <v>0</v>
      </c>
      <c r="W181" s="17">
        <f t="shared" si="124"/>
        <v>240</v>
      </c>
      <c r="X181" s="17">
        <f>+'[1]Sell in ko tính KDT'!U180</f>
        <v>131.20000000000002</v>
      </c>
      <c r="Y181" s="17">
        <f>+'[1]Sell in ko tính KDT'!V180</f>
        <v>93.800000000000011</v>
      </c>
      <c r="Z181" s="17">
        <f>+'[1]Sell in ko tính KDT'!W180</f>
        <v>0</v>
      </c>
      <c r="AA181" s="17">
        <v>0</v>
      </c>
      <c r="AB181" s="17">
        <f t="shared" si="125"/>
        <v>225.00000000000003</v>
      </c>
      <c r="AC181" s="17">
        <f>+'[1]Sell in ko tính KDT'!Y180</f>
        <v>218</v>
      </c>
      <c r="AD181" s="17">
        <f>+'[1]Sell in ko tính KDT'!Z180</f>
        <v>52</v>
      </c>
      <c r="AE181" s="17">
        <f>+'[1]Sell in ko tính KDT'!AA180</f>
        <v>0</v>
      </c>
      <c r="AF181" s="17">
        <v>0</v>
      </c>
      <c r="AG181" s="17">
        <f t="shared" si="126"/>
        <v>270</v>
      </c>
      <c r="AH181" s="17">
        <f>+'[1]Sell in ko tính KDT'!AC180</f>
        <v>100</v>
      </c>
      <c r="AI181" s="17">
        <f>+'[1]Sell in ko tính KDT'!AD180</f>
        <v>44</v>
      </c>
      <c r="AJ181" s="17">
        <f>+'[1]Sell in ko tính KDT'!AE180</f>
        <v>0</v>
      </c>
      <c r="AK181" s="17">
        <v>0</v>
      </c>
      <c r="AL181" s="17">
        <f t="shared" si="127"/>
        <v>144</v>
      </c>
      <c r="AM181" s="17">
        <f>+'[1]Sell in ko tính KDT'!AG180</f>
        <v>100</v>
      </c>
      <c r="AN181" s="17">
        <f>+'[1]Sell in ko tính KDT'!AH180</f>
        <v>44</v>
      </c>
      <c r="AO181" s="17">
        <f>+'[1]Sell in ko tính KDT'!AI180</f>
        <v>0</v>
      </c>
      <c r="AP181" s="17">
        <v>0</v>
      </c>
      <c r="AQ181" s="17">
        <f t="shared" si="128"/>
        <v>144</v>
      </c>
      <c r="AR181" s="17">
        <f>+'[1]Sell in ko tính KDT'!AK180</f>
        <v>100</v>
      </c>
      <c r="AS181" s="17">
        <f>+'[1]Sell in ko tính KDT'!AL180</f>
        <v>50</v>
      </c>
      <c r="AT181" s="17">
        <f>+'[1]Sell in ko tính KDT'!AM180</f>
        <v>0</v>
      </c>
      <c r="AU181" s="17">
        <v>0</v>
      </c>
      <c r="AV181" s="17">
        <f t="shared" si="129"/>
        <v>150</v>
      </c>
      <c r="AW181" s="17">
        <f>+'[1]Sell in ko tính KDT'!AO180</f>
        <v>130</v>
      </c>
      <c r="AX181" s="17">
        <f>+'[1]Sell in ko tính KDT'!AP180</f>
        <v>50</v>
      </c>
      <c r="AY181" s="17">
        <f>+'[1]Sell in ko tính KDT'!AQ180</f>
        <v>0</v>
      </c>
      <c r="AZ181" s="17">
        <v>0</v>
      </c>
      <c r="BA181" s="17">
        <f t="shared" si="130"/>
        <v>180</v>
      </c>
      <c r="BB181" s="17">
        <f>+'[1]Sell in ko tính KDT'!AS180</f>
        <v>130</v>
      </c>
      <c r="BC181" s="17">
        <f>+'[1]Sell in ko tính KDT'!AT180</f>
        <v>50</v>
      </c>
      <c r="BD181" s="17">
        <f>+'[1]Sell in ko tính KDT'!AU180</f>
        <v>0</v>
      </c>
      <c r="BE181" s="17">
        <v>0</v>
      </c>
      <c r="BF181" s="17">
        <f t="shared" si="131"/>
        <v>180</v>
      </c>
      <c r="BG181" s="17">
        <f>+'[1]Sell in ko tính KDT'!AW180</f>
        <v>130</v>
      </c>
      <c r="BH181" s="17">
        <f>+'[1]Sell in ko tính KDT'!AX180</f>
        <v>50</v>
      </c>
      <c r="BI181" s="17">
        <f>+'[1]Sell in ko tính KDT'!AY180</f>
        <v>0</v>
      </c>
      <c r="BJ181" s="17">
        <v>0</v>
      </c>
      <c r="BK181" s="17">
        <f t="shared" si="132"/>
        <v>180</v>
      </c>
      <c r="BL181" s="17">
        <f>+'[1]Sell in ko tính KDT'!BA180</f>
        <v>130</v>
      </c>
      <c r="BM181" s="17">
        <f>+'[1]Sell in ko tính KDT'!BB180</f>
        <v>50</v>
      </c>
      <c r="BN181" s="17">
        <f>+'[1]Sell in ko tính KDT'!BC180</f>
        <v>0</v>
      </c>
      <c r="BO181" s="17">
        <v>0</v>
      </c>
      <c r="BP181" s="17">
        <f t="shared" si="119"/>
        <v>180</v>
      </c>
      <c r="BQ181" s="17">
        <f t="shared" si="133"/>
        <v>1764.2</v>
      </c>
      <c r="BR181" s="17">
        <f t="shared" si="133"/>
        <v>563.79999999999995</v>
      </c>
      <c r="BS181" s="17">
        <f t="shared" si="133"/>
        <v>0</v>
      </c>
      <c r="BT181" s="17">
        <f t="shared" si="133"/>
        <v>0</v>
      </c>
      <c r="BU181" s="17">
        <f t="shared" si="105"/>
        <v>2328</v>
      </c>
    </row>
    <row r="182" spans="1:73" s="46" customFormat="1" hidden="1" outlineLevel="1">
      <c r="A182" s="17" t="s">
        <v>352</v>
      </c>
      <c r="B182" s="17" t="s">
        <v>473</v>
      </c>
      <c r="C182" s="16" t="s">
        <v>473</v>
      </c>
      <c r="D182" s="17"/>
      <c r="E182" s="45" t="s">
        <v>488</v>
      </c>
      <c r="F182" s="18" t="s">
        <v>489</v>
      </c>
      <c r="G182" s="16" t="s">
        <v>490</v>
      </c>
      <c r="H182" s="16" t="s">
        <v>39</v>
      </c>
      <c r="I182" s="17">
        <f>+'[1]Sell in ko tính KDT'!I181</f>
        <v>175</v>
      </c>
      <c r="J182" s="17">
        <f>+'[1]Sell in ko tính KDT'!J181</f>
        <v>125</v>
      </c>
      <c r="K182" s="17">
        <f>+'[1]Sell in ko tính KDT'!K181</f>
        <v>0</v>
      </c>
      <c r="L182" s="17">
        <v>0</v>
      </c>
      <c r="M182" s="17">
        <f t="shared" si="122"/>
        <v>300</v>
      </c>
      <c r="N182" s="17">
        <f>+'[1]Sell in ko tính KDT'!M181</f>
        <v>175</v>
      </c>
      <c r="O182" s="17">
        <f>+'[1]Sell in ko tính KDT'!N181</f>
        <v>105</v>
      </c>
      <c r="P182" s="17">
        <f>+'[1]Sell in ko tính KDT'!O181</f>
        <v>0</v>
      </c>
      <c r="Q182" s="17">
        <v>0</v>
      </c>
      <c r="R182" s="17">
        <f t="shared" si="123"/>
        <v>280</v>
      </c>
      <c r="S182" s="17">
        <f>+'[1]Sell in ko tính KDT'!Q181</f>
        <v>40</v>
      </c>
      <c r="T182" s="17">
        <f>+'[1]Sell in ko tính KDT'!R181</f>
        <v>2</v>
      </c>
      <c r="U182" s="17">
        <f>+'[1]Sell in ko tính KDT'!S181</f>
        <v>0</v>
      </c>
      <c r="V182" s="17">
        <v>0</v>
      </c>
      <c r="W182" s="17">
        <f t="shared" si="124"/>
        <v>42</v>
      </c>
      <c r="X182" s="17">
        <f>+'[1]Sell in ko tính KDT'!U181</f>
        <v>40</v>
      </c>
      <c r="Y182" s="17">
        <f>+'[1]Sell in ko tính KDT'!V181</f>
        <v>0</v>
      </c>
      <c r="Z182" s="17">
        <f>+'[1]Sell in ko tính KDT'!W181</f>
        <v>0</v>
      </c>
      <c r="AA182" s="17">
        <v>0</v>
      </c>
      <c r="AB182" s="17">
        <f t="shared" si="125"/>
        <v>40</v>
      </c>
      <c r="AC182" s="17">
        <f>+'[1]Sell in ko tính KDT'!Y181</f>
        <v>40</v>
      </c>
      <c r="AD182" s="17">
        <f>+'[1]Sell in ko tính KDT'!Z181</f>
        <v>0</v>
      </c>
      <c r="AE182" s="17">
        <f>+'[1]Sell in ko tính KDT'!AA181</f>
        <v>0</v>
      </c>
      <c r="AF182" s="17">
        <v>0</v>
      </c>
      <c r="AG182" s="17">
        <f t="shared" si="126"/>
        <v>40</v>
      </c>
      <c r="AH182" s="17">
        <f>+'[1]Sell in ko tính KDT'!AC181</f>
        <v>0</v>
      </c>
      <c r="AI182" s="17">
        <f>+'[1]Sell in ko tính KDT'!AD181</f>
        <v>0</v>
      </c>
      <c r="AJ182" s="17">
        <f>+'[1]Sell in ko tính KDT'!AE181</f>
        <v>0</v>
      </c>
      <c r="AK182" s="17">
        <v>0</v>
      </c>
      <c r="AL182" s="17">
        <f t="shared" si="127"/>
        <v>0</v>
      </c>
      <c r="AM182" s="17">
        <f>+'[1]Sell in ko tính KDT'!AG181</f>
        <v>0</v>
      </c>
      <c r="AN182" s="17">
        <f>+'[1]Sell in ko tính KDT'!AH181</f>
        <v>0</v>
      </c>
      <c r="AO182" s="17">
        <f>+'[1]Sell in ko tính KDT'!AI181</f>
        <v>0</v>
      </c>
      <c r="AP182" s="17">
        <v>0</v>
      </c>
      <c r="AQ182" s="17">
        <f t="shared" si="128"/>
        <v>0</v>
      </c>
      <c r="AR182" s="17">
        <f>+'[1]Sell in ko tính KDT'!AK181</f>
        <v>0</v>
      </c>
      <c r="AS182" s="17">
        <f>+'[1]Sell in ko tính KDT'!AL181</f>
        <v>0</v>
      </c>
      <c r="AT182" s="17">
        <f>+'[1]Sell in ko tính KDT'!AM181</f>
        <v>0</v>
      </c>
      <c r="AU182" s="17">
        <v>0</v>
      </c>
      <c r="AV182" s="17">
        <f t="shared" si="129"/>
        <v>0</v>
      </c>
      <c r="AW182" s="17"/>
      <c r="AX182" s="17">
        <f>+'[1]Sell in ko tính KDT'!AP181</f>
        <v>0</v>
      </c>
      <c r="AY182" s="17">
        <f>+'[1]Sell in ko tính KDT'!AQ181</f>
        <v>0</v>
      </c>
      <c r="AZ182" s="17">
        <v>0</v>
      </c>
      <c r="BA182" s="17">
        <f t="shared" si="130"/>
        <v>0</v>
      </c>
      <c r="BB182" s="17"/>
      <c r="BC182" s="17">
        <f>+'[1]Sell in ko tính KDT'!AT181</f>
        <v>0</v>
      </c>
      <c r="BD182" s="17">
        <f>+'[1]Sell in ko tính KDT'!AU181</f>
        <v>0</v>
      </c>
      <c r="BE182" s="17">
        <v>0</v>
      </c>
      <c r="BF182" s="17">
        <f t="shared" si="131"/>
        <v>0</v>
      </c>
      <c r="BG182" s="17"/>
      <c r="BH182" s="17">
        <f>+'[1]Sell in ko tính KDT'!AX181</f>
        <v>0</v>
      </c>
      <c r="BI182" s="17">
        <f>+'[1]Sell in ko tính KDT'!AY181</f>
        <v>0</v>
      </c>
      <c r="BJ182" s="17">
        <v>0</v>
      </c>
      <c r="BK182" s="17">
        <f t="shared" si="132"/>
        <v>0</v>
      </c>
      <c r="BL182" s="17"/>
      <c r="BM182" s="17">
        <f>+'[1]Sell in ko tính KDT'!BB181</f>
        <v>0</v>
      </c>
      <c r="BN182" s="17">
        <f>+'[1]Sell in ko tính KDT'!BC181</f>
        <v>0</v>
      </c>
      <c r="BO182" s="17">
        <v>0</v>
      </c>
      <c r="BP182" s="17">
        <f t="shared" si="119"/>
        <v>0</v>
      </c>
      <c r="BQ182" s="17">
        <f t="shared" si="133"/>
        <v>470</v>
      </c>
      <c r="BR182" s="17">
        <f t="shared" si="133"/>
        <v>232</v>
      </c>
      <c r="BS182" s="17">
        <f t="shared" si="133"/>
        <v>0</v>
      </c>
      <c r="BT182" s="17">
        <f t="shared" si="133"/>
        <v>0</v>
      </c>
      <c r="BU182" s="17">
        <f t="shared" si="105"/>
        <v>702</v>
      </c>
    </row>
    <row r="183" spans="1:73" s="46" customFormat="1" hidden="1" outlineLevel="1">
      <c r="A183" s="17" t="s">
        <v>352</v>
      </c>
      <c r="B183" s="17" t="s">
        <v>473</v>
      </c>
      <c r="C183" s="16" t="s">
        <v>473</v>
      </c>
      <c r="D183" s="17"/>
      <c r="E183" s="16"/>
      <c r="F183" s="18"/>
      <c r="G183" s="16"/>
      <c r="H183" s="16"/>
      <c r="I183" s="17">
        <f>+'[1]Sell in ko tính KDT'!I182</f>
        <v>0</v>
      </c>
      <c r="J183" s="17">
        <f>+'[1]Sell in ko tính KDT'!J182</f>
        <v>0</v>
      </c>
      <c r="K183" s="17">
        <f>+'[1]Sell in ko tính KDT'!K182</f>
        <v>0</v>
      </c>
      <c r="L183" s="17">
        <v>0</v>
      </c>
      <c r="M183" s="17">
        <f t="shared" si="122"/>
        <v>0</v>
      </c>
      <c r="N183" s="17">
        <f>+'[1]Sell in ko tính KDT'!M182</f>
        <v>0</v>
      </c>
      <c r="O183" s="17">
        <f>+'[1]Sell in ko tính KDT'!N182</f>
        <v>0</v>
      </c>
      <c r="P183" s="17">
        <f>+'[1]Sell in ko tính KDT'!O182</f>
        <v>0</v>
      </c>
      <c r="Q183" s="17">
        <v>0</v>
      </c>
      <c r="R183" s="17">
        <f t="shared" si="123"/>
        <v>0</v>
      </c>
      <c r="S183" s="17">
        <f>+'[1]Sell in ko tính KDT'!Q182</f>
        <v>0</v>
      </c>
      <c r="T183" s="17">
        <f>+'[1]Sell in ko tính KDT'!R182</f>
        <v>0</v>
      </c>
      <c r="U183" s="17">
        <f>+'[1]Sell in ko tính KDT'!S182</f>
        <v>0</v>
      </c>
      <c r="V183" s="17">
        <v>0</v>
      </c>
      <c r="W183" s="17">
        <f t="shared" si="124"/>
        <v>0</v>
      </c>
      <c r="X183" s="17">
        <f>+'[1]Sell in ko tính KDT'!U182</f>
        <v>0</v>
      </c>
      <c r="Y183" s="17">
        <f>+'[1]Sell in ko tính KDT'!V182</f>
        <v>0</v>
      </c>
      <c r="Z183" s="17">
        <f>+'[1]Sell in ko tính KDT'!W182</f>
        <v>0</v>
      </c>
      <c r="AA183" s="17">
        <v>0</v>
      </c>
      <c r="AB183" s="17">
        <f t="shared" si="125"/>
        <v>0</v>
      </c>
      <c r="AC183" s="17">
        <f>+'[1]Sell in ko tính KDT'!Y182</f>
        <v>0</v>
      </c>
      <c r="AD183" s="17">
        <f>+'[1]Sell in ko tính KDT'!Z182</f>
        <v>0</v>
      </c>
      <c r="AE183" s="17">
        <f>+'[1]Sell in ko tính KDT'!AA182</f>
        <v>0</v>
      </c>
      <c r="AF183" s="17">
        <v>0</v>
      </c>
      <c r="AG183" s="17">
        <f t="shared" si="126"/>
        <v>0</v>
      </c>
      <c r="AH183" s="17">
        <f>+'[1]Sell in ko tính KDT'!AC182</f>
        <v>0</v>
      </c>
      <c r="AI183" s="17">
        <f>+'[1]Sell in ko tính KDT'!AD182</f>
        <v>0</v>
      </c>
      <c r="AJ183" s="17">
        <f>+'[1]Sell in ko tính KDT'!AE182</f>
        <v>0</v>
      </c>
      <c r="AK183" s="17">
        <v>0</v>
      </c>
      <c r="AL183" s="17">
        <f t="shared" si="127"/>
        <v>0</v>
      </c>
      <c r="AM183" s="17">
        <f>+'[1]Sell in ko tính KDT'!AG182</f>
        <v>0</v>
      </c>
      <c r="AN183" s="17">
        <f>+'[1]Sell in ko tính KDT'!AH182</f>
        <v>0</v>
      </c>
      <c r="AO183" s="17">
        <f>+'[1]Sell in ko tính KDT'!AI182</f>
        <v>0</v>
      </c>
      <c r="AP183" s="17">
        <v>0</v>
      </c>
      <c r="AQ183" s="17">
        <f t="shared" si="128"/>
        <v>0</v>
      </c>
      <c r="AR183" s="17">
        <f>+'[1]Sell in ko tính KDT'!AK182</f>
        <v>0</v>
      </c>
      <c r="AS183" s="17">
        <f>+'[1]Sell in ko tính KDT'!AL182</f>
        <v>0</v>
      </c>
      <c r="AT183" s="17">
        <f>+'[1]Sell in ko tính KDT'!AM182</f>
        <v>0</v>
      </c>
      <c r="AU183" s="17">
        <v>0</v>
      </c>
      <c r="AV183" s="17">
        <f t="shared" si="129"/>
        <v>0</v>
      </c>
      <c r="AW183" s="17">
        <f>+'[1]Sell in ko tính KDT'!AO182</f>
        <v>0</v>
      </c>
      <c r="AX183" s="17">
        <f>+'[1]Sell in ko tính KDT'!AP182</f>
        <v>0</v>
      </c>
      <c r="AY183" s="17">
        <f>+'[1]Sell in ko tính KDT'!AQ182</f>
        <v>0</v>
      </c>
      <c r="AZ183" s="17">
        <v>0</v>
      </c>
      <c r="BA183" s="17">
        <f t="shared" si="130"/>
        <v>0</v>
      </c>
      <c r="BB183" s="17">
        <f>+'[1]Sell in ko tính KDT'!AS182</f>
        <v>0</v>
      </c>
      <c r="BC183" s="17">
        <f>+'[1]Sell in ko tính KDT'!AT182</f>
        <v>0</v>
      </c>
      <c r="BD183" s="17">
        <f>+'[1]Sell in ko tính KDT'!AU182</f>
        <v>0</v>
      </c>
      <c r="BE183" s="17">
        <v>0</v>
      </c>
      <c r="BF183" s="17">
        <f t="shared" si="131"/>
        <v>0</v>
      </c>
      <c r="BG183" s="17">
        <f>+'[1]Sell in ko tính KDT'!AW182</f>
        <v>0</v>
      </c>
      <c r="BH183" s="17">
        <f>+'[1]Sell in ko tính KDT'!AX182</f>
        <v>0</v>
      </c>
      <c r="BI183" s="17">
        <f>+'[1]Sell in ko tính KDT'!AY182</f>
        <v>0</v>
      </c>
      <c r="BJ183" s="17">
        <v>0</v>
      </c>
      <c r="BK183" s="17">
        <f t="shared" si="132"/>
        <v>0</v>
      </c>
      <c r="BL183" s="17">
        <f>+'[1]Sell in ko tính KDT'!BA182</f>
        <v>0</v>
      </c>
      <c r="BM183" s="17">
        <f>+'[1]Sell in ko tính KDT'!BB182</f>
        <v>0</v>
      </c>
      <c r="BN183" s="17">
        <f>+'[1]Sell in ko tính KDT'!BC182</f>
        <v>0</v>
      </c>
      <c r="BO183" s="17">
        <v>0</v>
      </c>
      <c r="BP183" s="17">
        <f t="shared" si="119"/>
        <v>0</v>
      </c>
      <c r="BQ183" s="17">
        <f t="shared" si="133"/>
        <v>0</v>
      </c>
      <c r="BR183" s="17">
        <f t="shared" si="133"/>
        <v>0</v>
      </c>
      <c r="BS183" s="17">
        <f t="shared" si="133"/>
        <v>0</v>
      </c>
      <c r="BT183" s="17">
        <f t="shared" si="133"/>
        <v>0</v>
      </c>
      <c r="BU183" s="17">
        <f t="shared" si="105"/>
        <v>0</v>
      </c>
    </row>
    <row r="184" spans="1:73" s="46" customFormat="1" hidden="1" outlineLevel="1">
      <c r="A184" s="17" t="s">
        <v>352</v>
      </c>
      <c r="B184" s="17" t="s">
        <v>473</v>
      </c>
      <c r="C184" s="16" t="s">
        <v>473</v>
      </c>
      <c r="D184" s="17"/>
      <c r="E184" s="16"/>
      <c r="F184" s="18"/>
      <c r="G184" s="16"/>
      <c r="H184" s="16"/>
      <c r="I184" s="17">
        <f>+'[1]Sell in ko tính KDT'!I183</f>
        <v>0</v>
      </c>
      <c r="J184" s="17">
        <f>+'[1]Sell in ko tính KDT'!J183</f>
        <v>0</v>
      </c>
      <c r="K184" s="17">
        <f>+'[1]Sell in ko tính KDT'!K183</f>
        <v>0</v>
      </c>
      <c r="L184" s="17">
        <v>0</v>
      </c>
      <c r="M184" s="17">
        <f t="shared" si="122"/>
        <v>0</v>
      </c>
      <c r="N184" s="17">
        <f>+'[1]Sell in ko tính KDT'!M183</f>
        <v>0</v>
      </c>
      <c r="O184" s="17">
        <f>+'[1]Sell in ko tính KDT'!N183</f>
        <v>0</v>
      </c>
      <c r="P184" s="17">
        <f>+'[1]Sell in ko tính KDT'!O183</f>
        <v>0</v>
      </c>
      <c r="Q184" s="17">
        <v>0</v>
      </c>
      <c r="R184" s="17">
        <f t="shared" si="123"/>
        <v>0</v>
      </c>
      <c r="S184" s="17">
        <f>+'[1]Sell in ko tính KDT'!Q183</f>
        <v>0</v>
      </c>
      <c r="T184" s="17">
        <f>+'[1]Sell in ko tính KDT'!R183</f>
        <v>0</v>
      </c>
      <c r="U184" s="17">
        <f>+'[1]Sell in ko tính KDT'!S183</f>
        <v>0</v>
      </c>
      <c r="V184" s="17">
        <v>0</v>
      </c>
      <c r="W184" s="17">
        <f t="shared" si="124"/>
        <v>0</v>
      </c>
      <c r="X184" s="17">
        <f>+'[1]Sell in ko tính KDT'!U183</f>
        <v>0</v>
      </c>
      <c r="Y184" s="17">
        <f>+'[1]Sell in ko tính KDT'!V183</f>
        <v>0</v>
      </c>
      <c r="Z184" s="17">
        <f>+'[1]Sell in ko tính KDT'!W183</f>
        <v>0</v>
      </c>
      <c r="AA184" s="17">
        <v>0</v>
      </c>
      <c r="AB184" s="17">
        <f t="shared" si="125"/>
        <v>0</v>
      </c>
      <c r="AC184" s="17">
        <f>+'[1]Sell in ko tính KDT'!Y183</f>
        <v>0</v>
      </c>
      <c r="AD184" s="17">
        <f>+'[1]Sell in ko tính KDT'!Z183</f>
        <v>0</v>
      </c>
      <c r="AE184" s="17">
        <f>+'[1]Sell in ko tính KDT'!AA183</f>
        <v>0</v>
      </c>
      <c r="AF184" s="17">
        <v>0</v>
      </c>
      <c r="AG184" s="17">
        <f t="shared" si="126"/>
        <v>0</v>
      </c>
      <c r="AH184" s="17">
        <f>+'[1]Sell in ko tính KDT'!AC183</f>
        <v>0</v>
      </c>
      <c r="AI184" s="17">
        <f>+'[1]Sell in ko tính KDT'!AD183</f>
        <v>0</v>
      </c>
      <c r="AJ184" s="17">
        <f>+'[1]Sell in ko tính KDT'!AE183</f>
        <v>0</v>
      </c>
      <c r="AK184" s="17">
        <v>0</v>
      </c>
      <c r="AL184" s="17">
        <f t="shared" si="127"/>
        <v>0</v>
      </c>
      <c r="AM184" s="17">
        <f>+'[1]Sell in ko tính KDT'!AG183</f>
        <v>0</v>
      </c>
      <c r="AN184" s="17">
        <f>+'[1]Sell in ko tính KDT'!AH183</f>
        <v>0</v>
      </c>
      <c r="AO184" s="17">
        <f>+'[1]Sell in ko tính KDT'!AI183</f>
        <v>0</v>
      </c>
      <c r="AP184" s="17">
        <v>0</v>
      </c>
      <c r="AQ184" s="17">
        <f t="shared" si="128"/>
        <v>0</v>
      </c>
      <c r="AR184" s="17">
        <f>+'[1]Sell in ko tính KDT'!AK183</f>
        <v>0</v>
      </c>
      <c r="AS184" s="17">
        <f>+'[1]Sell in ko tính KDT'!AL183</f>
        <v>0</v>
      </c>
      <c r="AT184" s="17">
        <f>+'[1]Sell in ko tính KDT'!AM183</f>
        <v>0</v>
      </c>
      <c r="AU184" s="17">
        <v>0</v>
      </c>
      <c r="AV184" s="17">
        <f t="shared" si="129"/>
        <v>0</v>
      </c>
      <c r="AW184" s="17">
        <f>+'[1]Sell in ko tính KDT'!AO183</f>
        <v>0</v>
      </c>
      <c r="AX184" s="17">
        <f>+'[1]Sell in ko tính KDT'!AP183</f>
        <v>0</v>
      </c>
      <c r="AY184" s="17">
        <f>+'[1]Sell in ko tính KDT'!AQ183</f>
        <v>0</v>
      </c>
      <c r="AZ184" s="17">
        <v>0</v>
      </c>
      <c r="BA184" s="17">
        <f t="shared" si="130"/>
        <v>0</v>
      </c>
      <c r="BB184" s="17">
        <f>+'[1]Sell in ko tính KDT'!AS183</f>
        <v>0</v>
      </c>
      <c r="BC184" s="17">
        <f>+'[1]Sell in ko tính KDT'!AT183</f>
        <v>0</v>
      </c>
      <c r="BD184" s="17">
        <f>+'[1]Sell in ko tính KDT'!AU183</f>
        <v>0</v>
      </c>
      <c r="BE184" s="17">
        <v>0</v>
      </c>
      <c r="BF184" s="17">
        <f t="shared" si="131"/>
        <v>0</v>
      </c>
      <c r="BG184" s="17">
        <f>+'[1]Sell in ko tính KDT'!AW183</f>
        <v>0</v>
      </c>
      <c r="BH184" s="17">
        <f>+'[1]Sell in ko tính KDT'!AX183</f>
        <v>0</v>
      </c>
      <c r="BI184" s="17">
        <f>+'[1]Sell in ko tính KDT'!AY183</f>
        <v>0</v>
      </c>
      <c r="BJ184" s="17">
        <v>0</v>
      </c>
      <c r="BK184" s="17">
        <f t="shared" si="132"/>
        <v>0</v>
      </c>
      <c r="BL184" s="17">
        <f>+'[1]Sell in ko tính KDT'!BA183</f>
        <v>0</v>
      </c>
      <c r="BM184" s="17">
        <f>+'[1]Sell in ko tính KDT'!BB183</f>
        <v>0</v>
      </c>
      <c r="BN184" s="17">
        <f>+'[1]Sell in ko tính KDT'!BC183</f>
        <v>0</v>
      </c>
      <c r="BO184" s="17">
        <v>0</v>
      </c>
      <c r="BP184" s="17">
        <f t="shared" si="119"/>
        <v>0</v>
      </c>
      <c r="BQ184" s="17">
        <f t="shared" si="133"/>
        <v>0</v>
      </c>
      <c r="BR184" s="17">
        <f t="shared" si="133"/>
        <v>0</v>
      </c>
      <c r="BS184" s="17">
        <f t="shared" si="133"/>
        <v>0</v>
      </c>
      <c r="BT184" s="17">
        <f t="shared" si="133"/>
        <v>0</v>
      </c>
      <c r="BU184" s="17">
        <f t="shared" si="105"/>
        <v>0</v>
      </c>
    </row>
    <row r="185" spans="1:73" s="46" customFormat="1" hidden="1" outlineLevel="1">
      <c r="A185" s="17" t="s">
        <v>352</v>
      </c>
      <c r="B185" s="17" t="s">
        <v>473</v>
      </c>
      <c r="C185" s="16" t="s">
        <v>473</v>
      </c>
      <c r="D185" s="17"/>
      <c r="E185" s="16"/>
      <c r="F185" s="18"/>
      <c r="G185" s="16"/>
      <c r="H185" s="16"/>
      <c r="I185" s="17">
        <f>+'[1]Sell in ko tính KDT'!I184</f>
        <v>0</v>
      </c>
      <c r="J185" s="17">
        <f>+'[1]Sell in ko tính KDT'!J184</f>
        <v>0</v>
      </c>
      <c r="K185" s="17">
        <f>+'[1]Sell in ko tính KDT'!K184</f>
        <v>0</v>
      </c>
      <c r="L185" s="17">
        <v>0</v>
      </c>
      <c r="M185" s="17">
        <f t="shared" si="122"/>
        <v>0</v>
      </c>
      <c r="N185" s="17">
        <f>+'[1]Sell in ko tính KDT'!M184</f>
        <v>0</v>
      </c>
      <c r="O185" s="17">
        <f>+'[1]Sell in ko tính KDT'!N184</f>
        <v>0</v>
      </c>
      <c r="P185" s="17">
        <f>+'[1]Sell in ko tính KDT'!O184</f>
        <v>0</v>
      </c>
      <c r="Q185" s="17">
        <v>0</v>
      </c>
      <c r="R185" s="17">
        <f t="shared" si="123"/>
        <v>0</v>
      </c>
      <c r="S185" s="17">
        <f>+'[1]Sell in ko tính KDT'!Q184</f>
        <v>0</v>
      </c>
      <c r="T185" s="17">
        <f>+'[1]Sell in ko tính KDT'!R184</f>
        <v>0</v>
      </c>
      <c r="U185" s="17">
        <f>+'[1]Sell in ko tính KDT'!S184</f>
        <v>0</v>
      </c>
      <c r="V185" s="17">
        <v>0</v>
      </c>
      <c r="W185" s="17">
        <f t="shared" si="124"/>
        <v>0</v>
      </c>
      <c r="X185" s="17">
        <f>+'[1]Sell in ko tính KDT'!U184</f>
        <v>0</v>
      </c>
      <c r="Y185" s="17">
        <f>+'[1]Sell in ko tính KDT'!V184</f>
        <v>0</v>
      </c>
      <c r="Z185" s="17">
        <f>+'[1]Sell in ko tính KDT'!W184</f>
        <v>0</v>
      </c>
      <c r="AA185" s="17">
        <v>0</v>
      </c>
      <c r="AB185" s="17">
        <f t="shared" si="125"/>
        <v>0</v>
      </c>
      <c r="AC185" s="17">
        <f>+'[1]Sell in ko tính KDT'!Y184</f>
        <v>0</v>
      </c>
      <c r="AD185" s="17">
        <f>+'[1]Sell in ko tính KDT'!Z184</f>
        <v>0</v>
      </c>
      <c r="AE185" s="17">
        <f>+'[1]Sell in ko tính KDT'!AA184</f>
        <v>0</v>
      </c>
      <c r="AF185" s="17">
        <v>0</v>
      </c>
      <c r="AG185" s="17">
        <f t="shared" si="126"/>
        <v>0</v>
      </c>
      <c r="AH185" s="17">
        <f>+'[1]Sell in ko tính KDT'!AC184</f>
        <v>0</v>
      </c>
      <c r="AI185" s="17">
        <f>+'[1]Sell in ko tính KDT'!AD184</f>
        <v>0</v>
      </c>
      <c r="AJ185" s="17">
        <f>+'[1]Sell in ko tính KDT'!AE184</f>
        <v>0</v>
      </c>
      <c r="AK185" s="17">
        <v>0</v>
      </c>
      <c r="AL185" s="17">
        <f t="shared" si="127"/>
        <v>0</v>
      </c>
      <c r="AM185" s="17">
        <f>+'[1]Sell in ko tính KDT'!AG184</f>
        <v>0</v>
      </c>
      <c r="AN185" s="17">
        <f>+'[1]Sell in ko tính KDT'!AH184</f>
        <v>0</v>
      </c>
      <c r="AO185" s="17">
        <f>+'[1]Sell in ko tính KDT'!AI184</f>
        <v>0</v>
      </c>
      <c r="AP185" s="17">
        <v>0</v>
      </c>
      <c r="AQ185" s="17">
        <f t="shared" si="128"/>
        <v>0</v>
      </c>
      <c r="AR185" s="17">
        <f>+'[1]Sell in ko tính KDT'!AK184</f>
        <v>0</v>
      </c>
      <c r="AS185" s="17">
        <f>+'[1]Sell in ko tính KDT'!AL184</f>
        <v>0</v>
      </c>
      <c r="AT185" s="17">
        <f>+'[1]Sell in ko tính KDT'!AM184</f>
        <v>0</v>
      </c>
      <c r="AU185" s="17">
        <v>0</v>
      </c>
      <c r="AV185" s="17">
        <f t="shared" si="129"/>
        <v>0</v>
      </c>
      <c r="AW185" s="17">
        <f>+'[1]Sell in ko tính KDT'!AO184</f>
        <v>0</v>
      </c>
      <c r="AX185" s="17">
        <f>+'[1]Sell in ko tính KDT'!AP184</f>
        <v>0</v>
      </c>
      <c r="AY185" s="17">
        <f>+'[1]Sell in ko tính KDT'!AQ184</f>
        <v>0</v>
      </c>
      <c r="AZ185" s="17">
        <v>0</v>
      </c>
      <c r="BA185" s="17">
        <f t="shared" si="130"/>
        <v>0</v>
      </c>
      <c r="BB185" s="17">
        <f>+'[1]Sell in ko tính KDT'!AS184</f>
        <v>0</v>
      </c>
      <c r="BC185" s="17">
        <f>+'[1]Sell in ko tính KDT'!AT184</f>
        <v>0</v>
      </c>
      <c r="BD185" s="17">
        <f>+'[1]Sell in ko tính KDT'!AU184</f>
        <v>0</v>
      </c>
      <c r="BE185" s="17">
        <v>0</v>
      </c>
      <c r="BF185" s="17">
        <f t="shared" si="131"/>
        <v>0</v>
      </c>
      <c r="BG185" s="17">
        <f>+'[1]Sell in ko tính KDT'!AW184</f>
        <v>0</v>
      </c>
      <c r="BH185" s="17">
        <f>+'[1]Sell in ko tính KDT'!AX184</f>
        <v>0</v>
      </c>
      <c r="BI185" s="17">
        <f>+'[1]Sell in ko tính KDT'!AY184</f>
        <v>0</v>
      </c>
      <c r="BJ185" s="17">
        <v>0</v>
      </c>
      <c r="BK185" s="17">
        <f t="shared" si="132"/>
        <v>0</v>
      </c>
      <c r="BL185" s="17">
        <f>+'[1]Sell in ko tính KDT'!BA184</f>
        <v>0</v>
      </c>
      <c r="BM185" s="17">
        <f>+'[1]Sell in ko tính KDT'!BB184</f>
        <v>0</v>
      </c>
      <c r="BN185" s="17">
        <f>+'[1]Sell in ko tính KDT'!BC184</f>
        <v>0</v>
      </c>
      <c r="BO185" s="17">
        <v>0</v>
      </c>
      <c r="BP185" s="17">
        <f t="shared" si="119"/>
        <v>0</v>
      </c>
      <c r="BQ185" s="17">
        <f t="shared" si="133"/>
        <v>0</v>
      </c>
      <c r="BR185" s="17">
        <f t="shared" si="133"/>
        <v>0</v>
      </c>
      <c r="BS185" s="17">
        <f t="shared" si="133"/>
        <v>0</v>
      </c>
      <c r="BT185" s="17">
        <f t="shared" si="133"/>
        <v>0</v>
      </c>
      <c r="BU185" s="17">
        <f t="shared" si="105"/>
        <v>0</v>
      </c>
    </row>
    <row r="186" spans="1:73" s="46" customFormat="1" hidden="1" outlineLevel="1">
      <c r="A186" s="17" t="s">
        <v>352</v>
      </c>
      <c r="B186" s="17" t="s">
        <v>473</v>
      </c>
      <c r="C186" s="16" t="s">
        <v>473</v>
      </c>
      <c r="D186" s="17"/>
      <c r="E186" s="16"/>
      <c r="F186" s="18"/>
      <c r="G186" s="16"/>
      <c r="H186" s="16"/>
      <c r="I186" s="17">
        <f>+'[1]Sell in ko tính KDT'!I185</f>
        <v>0</v>
      </c>
      <c r="J186" s="17">
        <f>+'[1]Sell in ko tính KDT'!J185</f>
        <v>0</v>
      </c>
      <c r="K186" s="17">
        <f>+'[1]Sell in ko tính KDT'!K185</f>
        <v>0</v>
      </c>
      <c r="L186" s="17">
        <v>0</v>
      </c>
      <c r="M186" s="17">
        <f t="shared" si="122"/>
        <v>0</v>
      </c>
      <c r="N186" s="17">
        <f>+'[1]Sell in ko tính KDT'!M185</f>
        <v>0</v>
      </c>
      <c r="O186" s="17">
        <f>+'[1]Sell in ko tính KDT'!N185</f>
        <v>0</v>
      </c>
      <c r="P186" s="17">
        <f>+'[1]Sell in ko tính KDT'!O185</f>
        <v>0</v>
      </c>
      <c r="Q186" s="17">
        <v>0</v>
      </c>
      <c r="R186" s="17">
        <f t="shared" si="123"/>
        <v>0</v>
      </c>
      <c r="S186" s="17">
        <f>+'[1]Sell in ko tính KDT'!Q185</f>
        <v>0</v>
      </c>
      <c r="T186" s="17">
        <f>+'[1]Sell in ko tính KDT'!R185</f>
        <v>0</v>
      </c>
      <c r="U186" s="17">
        <f>+'[1]Sell in ko tính KDT'!S185</f>
        <v>0</v>
      </c>
      <c r="V186" s="17">
        <v>0</v>
      </c>
      <c r="W186" s="17">
        <f t="shared" si="124"/>
        <v>0</v>
      </c>
      <c r="X186" s="17">
        <f>+'[1]Sell in ko tính KDT'!U185</f>
        <v>0</v>
      </c>
      <c r="Y186" s="17">
        <f>+'[1]Sell in ko tính KDT'!V185</f>
        <v>0</v>
      </c>
      <c r="Z186" s="17">
        <f>+'[1]Sell in ko tính KDT'!W185</f>
        <v>0</v>
      </c>
      <c r="AA186" s="17">
        <v>0</v>
      </c>
      <c r="AB186" s="17">
        <f t="shared" si="125"/>
        <v>0</v>
      </c>
      <c r="AC186" s="17">
        <f>+'[1]Sell in ko tính KDT'!Y185</f>
        <v>0</v>
      </c>
      <c r="AD186" s="17">
        <f>+'[1]Sell in ko tính KDT'!Z185</f>
        <v>0</v>
      </c>
      <c r="AE186" s="17">
        <f>+'[1]Sell in ko tính KDT'!AA185</f>
        <v>0</v>
      </c>
      <c r="AF186" s="17">
        <v>0</v>
      </c>
      <c r="AG186" s="17">
        <f t="shared" si="126"/>
        <v>0</v>
      </c>
      <c r="AH186" s="17">
        <f>+'[1]Sell in ko tính KDT'!AC185</f>
        <v>0</v>
      </c>
      <c r="AI186" s="17">
        <f>+'[1]Sell in ko tính KDT'!AD185</f>
        <v>0</v>
      </c>
      <c r="AJ186" s="17">
        <f>+'[1]Sell in ko tính KDT'!AE185</f>
        <v>0</v>
      </c>
      <c r="AK186" s="17">
        <v>0</v>
      </c>
      <c r="AL186" s="17">
        <f t="shared" si="127"/>
        <v>0</v>
      </c>
      <c r="AM186" s="17">
        <f>+'[1]Sell in ko tính KDT'!AG185</f>
        <v>0</v>
      </c>
      <c r="AN186" s="17">
        <f>+'[1]Sell in ko tính KDT'!AH185</f>
        <v>0</v>
      </c>
      <c r="AO186" s="17">
        <f>+'[1]Sell in ko tính KDT'!AI185</f>
        <v>0</v>
      </c>
      <c r="AP186" s="17">
        <v>0</v>
      </c>
      <c r="AQ186" s="17">
        <f t="shared" si="128"/>
        <v>0</v>
      </c>
      <c r="AR186" s="17">
        <f>+'[1]Sell in ko tính KDT'!AK185</f>
        <v>0</v>
      </c>
      <c r="AS186" s="17">
        <f>+'[1]Sell in ko tính KDT'!AL185</f>
        <v>0</v>
      </c>
      <c r="AT186" s="17">
        <f>+'[1]Sell in ko tính KDT'!AM185</f>
        <v>0</v>
      </c>
      <c r="AU186" s="17">
        <v>0</v>
      </c>
      <c r="AV186" s="17">
        <f t="shared" si="129"/>
        <v>0</v>
      </c>
      <c r="AW186" s="17">
        <f>+'[1]Sell in ko tính KDT'!AO185</f>
        <v>0</v>
      </c>
      <c r="AX186" s="17">
        <f>+'[1]Sell in ko tính KDT'!AP185</f>
        <v>0</v>
      </c>
      <c r="AY186" s="17">
        <f>+'[1]Sell in ko tính KDT'!AQ185</f>
        <v>0</v>
      </c>
      <c r="AZ186" s="17">
        <v>0</v>
      </c>
      <c r="BA186" s="17">
        <f t="shared" si="130"/>
        <v>0</v>
      </c>
      <c r="BB186" s="17">
        <f>+'[1]Sell in ko tính KDT'!AS185</f>
        <v>0</v>
      </c>
      <c r="BC186" s="17">
        <f>+'[1]Sell in ko tính KDT'!AT185</f>
        <v>0</v>
      </c>
      <c r="BD186" s="17">
        <f>+'[1]Sell in ko tính KDT'!AU185</f>
        <v>0</v>
      </c>
      <c r="BE186" s="17">
        <v>0</v>
      </c>
      <c r="BF186" s="17">
        <f t="shared" si="131"/>
        <v>0</v>
      </c>
      <c r="BG186" s="17">
        <f>+'[1]Sell in ko tính KDT'!AW185</f>
        <v>0</v>
      </c>
      <c r="BH186" s="17">
        <f>+'[1]Sell in ko tính KDT'!AX185</f>
        <v>0</v>
      </c>
      <c r="BI186" s="17">
        <f>+'[1]Sell in ko tính KDT'!AY185</f>
        <v>0</v>
      </c>
      <c r="BJ186" s="17">
        <v>0</v>
      </c>
      <c r="BK186" s="17">
        <f t="shared" si="132"/>
        <v>0</v>
      </c>
      <c r="BL186" s="17">
        <f>+'[1]Sell in ko tính KDT'!BA185</f>
        <v>0</v>
      </c>
      <c r="BM186" s="17">
        <f>+'[1]Sell in ko tính KDT'!BB185</f>
        <v>0</v>
      </c>
      <c r="BN186" s="17">
        <f>+'[1]Sell in ko tính KDT'!BC185</f>
        <v>0</v>
      </c>
      <c r="BO186" s="17">
        <v>0</v>
      </c>
      <c r="BP186" s="17">
        <f t="shared" si="119"/>
        <v>0</v>
      </c>
      <c r="BQ186" s="17">
        <f t="shared" si="133"/>
        <v>0</v>
      </c>
      <c r="BR186" s="17">
        <f t="shared" si="133"/>
        <v>0</v>
      </c>
      <c r="BS186" s="17">
        <f t="shared" si="133"/>
        <v>0</v>
      </c>
      <c r="BT186" s="17">
        <f t="shared" si="133"/>
        <v>0</v>
      </c>
      <c r="BU186" s="17">
        <f t="shared" si="105"/>
        <v>0</v>
      </c>
    </row>
    <row r="187" spans="1:73" s="46" customFormat="1" hidden="1" outlineLevel="1">
      <c r="A187" s="17" t="s">
        <v>352</v>
      </c>
      <c r="B187" s="17" t="s">
        <v>473</v>
      </c>
      <c r="C187" s="16" t="s">
        <v>473</v>
      </c>
      <c r="D187" s="17"/>
      <c r="E187" s="16"/>
      <c r="F187" s="18"/>
      <c r="G187" s="16"/>
      <c r="H187" s="16"/>
      <c r="I187" s="17">
        <f>+'[1]Sell in ko tính KDT'!I186</f>
        <v>0</v>
      </c>
      <c r="J187" s="17">
        <f>+'[1]Sell in ko tính KDT'!J186</f>
        <v>0</v>
      </c>
      <c r="K187" s="17">
        <f>+'[1]Sell in ko tính KDT'!K186</f>
        <v>0</v>
      </c>
      <c r="L187" s="17">
        <v>0</v>
      </c>
      <c r="M187" s="17">
        <f t="shared" si="122"/>
        <v>0</v>
      </c>
      <c r="N187" s="17">
        <f>+'[1]Sell in ko tính KDT'!M186</f>
        <v>0</v>
      </c>
      <c r="O187" s="17">
        <f>+'[1]Sell in ko tính KDT'!N186</f>
        <v>0</v>
      </c>
      <c r="P187" s="17">
        <f>+'[1]Sell in ko tính KDT'!O186</f>
        <v>0</v>
      </c>
      <c r="Q187" s="17">
        <v>0</v>
      </c>
      <c r="R187" s="17">
        <f t="shared" si="123"/>
        <v>0</v>
      </c>
      <c r="S187" s="17">
        <f>+'[1]Sell in ko tính KDT'!Q186</f>
        <v>0</v>
      </c>
      <c r="T187" s="17">
        <f>+'[1]Sell in ko tính KDT'!R186</f>
        <v>0</v>
      </c>
      <c r="U187" s="17">
        <f>+'[1]Sell in ko tính KDT'!S186</f>
        <v>0</v>
      </c>
      <c r="V187" s="17">
        <v>0</v>
      </c>
      <c r="W187" s="17">
        <f t="shared" si="124"/>
        <v>0</v>
      </c>
      <c r="X187" s="17">
        <f>+'[1]Sell in ko tính KDT'!U186</f>
        <v>0</v>
      </c>
      <c r="Y187" s="17">
        <f>+'[1]Sell in ko tính KDT'!V186</f>
        <v>0</v>
      </c>
      <c r="Z187" s="17">
        <f>+'[1]Sell in ko tính KDT'!W186</f>
        <v>0</v>
      </c>
      <c r="AA187" s="17">
        <v>0</v>
      </c>
      <c r="AB187" s="17">
        <f t="shared" si="125"/>
        <v>0</v>
      </c>
      <c r="AC187" s="17">
        <f>+'[1]Sell in ko tính KDT'!Y186</f>
        <v>0</v>
      </c>
      <c r="AD187" s="17">
        <f>+'[1]Sell in ko tính KDT'!Z186</f>
        <v>0</v>
      </c>
      <c r="AE187" s="17">
        <f>+'[1]Sell in ko tính KDT'!AA186</f>
        <v>0</v>
      </c>
      <c r="AF187" s="17">
        <v>0</v>
      </c>
      <c r="AG187" s="17">
        <f t="shared" si="126"/>
        <v>0</v>
      </c>
      <c r="AH187" s="17">
        <f>+'[1]Sell in ko tính KDT'!AC186</f>
        <v>0</v>
      </c>
      <c r="AI187" s="17">
        <f>+'[1]Sell in ko tính KDT'!AD186</f>
        <v>0</v>
      </c>
      <c r="AJ187" s="17">
        <f>+'[1]Sell in ko tính KDT'!AE186</f>
        <v>0</v>
      </c>
      <c r="AK187" s="17">
        <v>0</v>
      </c>
      <c r="AL187" s="17">
        <f t="shared" si="127"/>
        <v>0</v>
      </c>
      <c r="AM187" s="17">
        <f>+'[1]Sell in ko tính KDT'!AG186</f>
        <v>0</v>
      </c>
      <c r="AN187" s="17">
        <f>+'[1]Sell in ko tính KDT'!AH186</f>
        <v>0</v>
      </c>
      <c r="AO187" s="17">
        <f>+'[1]Sell in ko tính KDT'!AI186</f>
        <v>0</v>
      </c>
      <c r="AP187" s="17">
        <v>0</v>
      </c>
      <c r="AQ187" s="17">
        <f t="shared" si="128"/>
        <v>0</v>
      </c>
      <c r="AR187" s="17">
        <f>+'[1]Sell in ko tính KDT'!AK186</f>
        <v>0</v>
      </c>
      <c r="AS187" s="17">
        <f>+'[1]Sell in ko tính KDT'!AL186</f>
        <v>0</v>
      </c>
      <c r="AT187" s="17">
        <f>+'[1]Sell in ko tính KDT'!AM186</f>
        <v>0</v>
      </c>
      <c r="AU187" s="17">
        <v>0</v>
      </c>
      <c r="AV187" s="17">
        <f t="shared" si="129"/>
        <v>0</v>
      </c>
      <c r="AW187" s="17">
        <f>+'[1]Sell in ko tính KDT'!AO186</f>
        <v>0</v>
      </c>
      <c r="AX187" s="17">
        <f>+'[1]Sell in ko tính KDT'!AP186</f>
        <v>0</v>
      </c>
      <c r="AY187" s="17">
        <f>+'[1]Sell in ko tính KDT'!AQ186</f>
        <v>0</v>
      </c>
      <c r="AZ187" s="17">
        <v>0</v>
      </c>
      <c r="BA187" s="17">
        <f t="shared" si="130"/>
        <v>0</v>
      </c>
      <c r="BB187" s="17">
        <f>+'[1]Sell in ko tính KDT'!AS186</f>
        <v>0</v>
      </c>
      <c r="BC187" s="17">
        <f>+'[1]Sell in ko tính KDT'!AT186</f>
        <v>0</v>
      </c>
      <c r="BD187" s="17">
        <f>+'[1]Sell in ko tính KDT'!AU186</f>
        <v>0</v>
      </c>
      <c r="BE187" s="17">
        <v>0</v>
      </c>
      <c r="BF187" s="17">
        <f t="shared" si="131"/>
        <v>0</v>
      </c>
      <c r="BG187" s="17">
        <f>+'[1]Sell in ko tính KDT'!AW186</f>
        <v>0</v>
      </c>
      <c r="BH187" s="17">
        <f>+'[1]Sell in ko tính KDT'!AX186</f>
        <v>0</v>
      </c>
      <c r="BI187" s="17">
        <f>+'[1]Sell in ko tính KDT'!AY186</f>
        <v>0</v>
      </c>
      <c r="BJ187" s="17">
        <v>0</v>
      </c>
      <c r="BK187" s="17">
        <f t="shared" si="132"/>
        <v>0</v>
      </c>
      <c r="BL187" s="17">
        <f>+'[1]Sell in ko tính KDT'!BA186</f>
        <v>0</v>
      </c>
      <c r="BM187" s="17">
        <f>+'[1]Sell in ko tính KDT'!BB186</f>
        <v>0</v>
      </c>
      <c r="BN187" s="17">
        <f>+'[1]Sell in ko tính KDT'!BC186</f>
        <v>0</v>
      </c>
      <c r="BO187" s="17">
        <v>0</v>
      </c>
      <c r="BP187" s="17">
        <f t="shared" si="119"/>
        <v>0</v>
      </c>
      <c r="BQ187" s="17">
        <f t="shared" si="133"/>
        <v>0</v>
      </c>
      <c r="BR187" s="17">
        <f t="shared" si="133"/>
        <v>0</v>
      </c>
      <c r="BS187" s="17">
        <f t="shared" si="133"/>
        <v>0</v>
      </c>
      <c r="BT187" s="17">
        <f t="shared" si="133"/>
        <v>0</v>
      </c>
      <c r="BU187" s="17">
        <f t="shared" si="105"/>
        <v>0</v>
      </c>
    </row>
    <row r="188" spans="1:73" s="46" customFormat="1" hidden="1" outlineLevel="1">
      <c r="A188" s="17" t="s">
        <v>352</v>
      </c>
      <c r="B188" s="17" t="s">
        <v>473</v>
      </c>
      <c r="C188" s="16" t="s">
        <v>473</v>
      </c>
      <c r="D188" s="17"/>
      <c r="E188" s="16"/>
      <c r="F188" s="18"/>
      <c r="G188" s="16"/>
      <c r="H188" s="16"/>
      <c r="I188" s="17">
        <f>+'[1]Sell in ko tính KDT'!I187</f>
        <v>0</v>
      </c>
      <c r="J188" s="17">
        <f>+'[1]Sell in ko tính KDT'!J187</f>
        <v>0</v>
      </c>
      <c r="K188" s="17">
        <f>+'[1]Sell in ko tính KDT'!K187</f>
        <v>0</v>
      </c>
      <c r="L188" s="17">
        <v>0</v>
      </c>
      <c r="M188" s="17">
        <f t="shared" si="122"/>
        <v>0</v>
      </c>
      <c r="N188" s="17">
        <f>+'[1]Sell in ko tính KDT'!M187</f>
        <v>0</v>
      </c>
      <c r="O188" s="17">
        <f>+'[1]Sell in ko tính KDT'!N187</f>
        <v>0</v>
      </c>
      <c r="P188" s="17">
        <f>+'[1]Sell in ko tính KDT'!O187</f>
        <v>0</v>
      </c>
      <c r="Q188" s="17">
        <v>0</v>
      </c>
      <c r="R188" s="17">
        <f t="shared" si="123"/>
        <v>0</v>
      </c>
      <c r="S188" s="17">
        <f>+'[1]Sell in ko tính KDT'!Q187</f>
        <v>0</v>
      </c>
      <c r="T188" s="17">
        <f>+'[1]Sell in ko tính KDT'!R187</f>
        <v>0</v>
      </c>
      <c r="U188" s="17">
        <f>+'[1]Sell in ko tính KDT'!S187</f>
        <v>0</v>
      </c>
      <c r="V188" s="17">
        <v>0</v>
      </c>
      <c r="W188" s="17">
        <f t="shared" si="124"/>
        <v>0</v>
      </c>
      <c r="X188" s="17">
        <f>+'[1]Sell in ko tính KDT'!U187</f>
        <v>0</v>
      </c>
      <c r="Y188" s="17">
        <f>+'[1]Sell in ko tính KDT'!V187</f>
        <v>0</v>
      </c>
      <c r="Z188" s="17">
        <f>+'[1]Sell in ko tính KDT'!W187</f>
        <v>0</v>
      </c>
      <c r="AA188" s="17">
        <v>0</v>
      </c>
      <c r="AB188" s="17">
        <f t="shared" si="125"/>
        <v>0</v>
      </c>
      <c r="AC188" s="17">
        <f>+'[1]Sell in ko tính KDT'!Y187</f>
        <v>0</v>
      </c>
      <c r="AD188" s="17">
        <f>+'[1]Sell in ko tính KDT'!Z187</f>
        <v>0</v>
      </c>
      <c r="AE188" s="17">
        <f>+'[1]Sell in ko tính KDT'!AA187</f>
        <v>0</v>
      </c>
      <c r="AF188" s="17">
        <v>0</v>
      </c>
      <c r="AG188" s="17">
        <f t="shared" si="126"/>
        <v>0</v>
      </c>
      <c r="AH188" s="17">
        <f>+'[1]Sell in ko tính KDT'!AC187</f>
        <v>0</v>
      </c>
      <c r="AI188" s="17">
        <f>+'[1]Sell in ko tính KDT'!AD187</f>
        <v>0</v>
      </c>
      <c r="AJ188" s="17">
        <f>+'[1]Sell in ko tính KDT'!AE187</f>
        <v>0</v>
      </c>
      <c r="AK188" s="17">
        <v>0</v>
      </c>
      <c r="AL188" s="17">
        <f t="shared" si="127"/>
        <v>0</v>
      </c>
      <c r="AM188" s="17">
        <f>+'[1]Sell in ko tính KDT'!AG187</f>
        <v>0</v>
      </c>
      <c r="AN188" s="17">
        <f>+'[1]Sell in ko tính KDT'!AH187</f>
        <v>0</v>
      </c>
      <c r="AO188" s="17">
        <f>+'[1]Sell in ko tính KDT'!AI187</f>
        <v>0</v>
      </c>
      <c r="AP188" s="17">
        <v>0</v>
      </c>
      <c r="AQ188" s="17">
        <f t="shared" si="128"/>
        <v>0</v>
      </c>
      <c r="AR188" s="17">
        <f>+'[1]Sell in ko tính KDT'!AK187</f>
        <v>0</v>
      </c>
      <c r="AS188" s="17">
        <f>+'[1]Sell in ko tính KDT'!AL187</f>
        <v>0</v>
      </c>
      <c r="AT188" s="17">
        <f>+'[1]Sell in ko tính KDT'!AM187</f>
        <v>0</v>
      </c>
      <c r="AU188" s="17">
        <v>0</v>
      </c>
      <c r="AV188" s="17">
        <f t="shared" si="129"/>
        <v>0</v>
      </c>
      <c r="AW188" s="17">
        <f>+'[1]Sell in ko tính KDT'!AO187</f>
        <v>0</v>
      </c>
      <c r="AX188" s="17">
        <f>+'[1]Sell in ko tính KDT'!AP187</f>
        <v>0</v>
      </c>
      <c r="AY188" s="17">
        <f>+'[1]Sell in ko tính KDT'!AQ187</f>
        <v>0</v>
      </c>
      <c r="AZ188" s="17">
        <v>0</v>
      </c>
      <c r="BA188" s="17">
        <f t="shared" si="130"/>
        <v>0</v>
      </c>
      <c r="BB188" s="17">
        <f>+'[1]Sell in ko tính KDT'!AS187</f>
        <v>0</v>
      </c>
      <c r="BC188" s="17">
        <f>+'[1]Sell in ko tính KDT'!AT187</f>
        <v>0</v>
      </c>
      <c r="BD188" s="17">
        <f>+'[1]Sell in ko tính KDT'!AU187</f>
        <v>0</v>
      </c>
      <c r="BE188" s="17">
        <v>0</v>
      </c>
      <c r="BF188" s="17">
        <f t="shared" si="131"/>
        <v>0</v>
      </c>
      <c r="BG188" s="17">
        <f>+'[1]Sell in ko tính KDT'!AW187</f>
        <v>0</v>
      </c>
      <c r="BH188" s="17">
        <f>+'[1]Sell in ko tính KDT'!AX187</f>
        <v>0</v>
      </c>
      <c r="BI188" s="17">
        <f>+'[1]Sell in ko tính KDT'!AY187</f>
        <v>0</v>
      </c>
      <c r="BJ188" s="17">
        <v>0</v>
      </c>
      <c r="BK188" s="17">
        <f t="shared" si="132"/>
        <v>0</v>
      </c>
      <c r="BL188" s="17">
        <f>+'[1]Sell in ko tính KDT'!BA187</f>
        <v>0</v>
      </c>
      <c r="BM188" s="17">
        <f>+'[1]Sell in ko tính KDT'!BB187</f>
        <v>0</v>
      </c>
      <c r="BN188" s="17">
        <f>+'[1]Sell in ko tính KDT'!BC187</f>
        <v>0</v>
      </c>
      <c r="BO188" s="17">
        <v>0</v>
      </c>
      <c r="BP188" s="17">
        <f t="shared" si="119"/>
        <v>0</v>
      </c>
      <c r="BQ188" s="17">
        <f t="shared" si="133"/>
        <v>0</v>
      </c>
      <c r="BR188" s="17">
        <f t="shared" si="133"/>
        <v>0</v>
      </c>
      <c r="BS188" s="17">
        <f t="shared" si="133"/>
        <v>0</v>
      </c>
      <c r="BT188" s="17">
        <f t="shared" si="133"/>
        <v>0</v>
      </c>
      <c r="BU188" s="17">
        <f t="shared" si="105"/>
        <v>0</v>
      </c>
    </row>
    <row r="189" spans="1:73" s="46" customFormat="1" hidden="1" outlineLevel="1">
      <c r="A189" s="17" t="s">
        <v>352</v>
      </c>
      <c r="B189" s="17" t="s">
        <v>473</v>
      </c>
      <c r="C189" s="16" t="s">
        <v>473</v>
      </c>
      <c r="D189" s="17"/>
      <c r="E189" s="16"/>
      <c r="F189" s="18"/>
      <c r="G189" s="16"/>
      <c r="H189" s="16"/>
      <c r="I189" s="17">
        <f>+'[1]Sell in ko tính KDT'!I188</f>
        <v>0</v>
      </c>
      <c r="J189" s="17">
        <f>+'[1]Sell in ko tính KDT'!J188</f>
        <v>0</v>
      </c>
      <c r="K189" s="17">
        <f>+'[1]Sell in ko tính KDT'!K188</f>
        <v>0</v>
      </c>
      <c r="L189" s="17">
        <v>0</v>
      </c>
      <c r="M189" s="17">
        <f t="shared" si="122"/>
        <v>0</v>
      </c>
      <c r="N189" s="17">
        <f>+'[1]Sell in ko tính KDT'!M188</f>
        <v>0</v>
      </c>
      <c r="O189" s="17">
        <f>+'[1]Sell in ko tính KDT'!N188</f>
        <v>0</v>
      </c>
      <c r="P189" s="17">
        <f>+'[1]Sell in ko tính KDT'!O188</f>
        <v>0</v>
      </c>
      <c r="Q189" s="17">
        <v>0</v>
      </c>
      <c r="R189" s="17">
        <f t="shared" si="123"/>
        <v>0</v>
      </c>
      <c r="S189" s="17">
        <f>+'[1]Sell in ko tính KDT'!Q188</f>
        <v>0</v>
      </c>
      <c r="T189" s="17">
        <f>+'[1]Sell in ko tính KDT'!R188</f>
        <v>0</v>
      </c>
      <c r="U189" s="17">
        <f>+'[1]Sell in ko tính KDT'!S188</f>
        <v>0</v>
      </c>
      <c r="V189" s="17">
        <v>0</v>
      </c>
      <c r="W189" s="17">
        <f t="shared" si="124"/>
        <v>0</v>
      </c>
      <c r="X189" s="17">
        <f>+'[1]Sell in ko tính KDT'!U188</f>
        <v>0</v>
      </c>
      <c r="Y189" s="17">
        <f>+'[1]Sell in ko tính KDT'!V188</f>
        <v>0</v>
      </c>
      <c r="Z189" s="17">
        <f>+'[1]Sell in ko tính KDT'!W188</f>
        <v>0</v>
      </c>
      <c r="AA189" s="17">
        <v>0</v>
      </c>
      <c r="AB189" s="17">
        <f t="shared" si="125"/>
        <v>0</v>
      </c>
      <c r="AC189" s="17">
        <f>+'[1]Sell in ko tính KDT'!Y188</f>
        <v>0</v>
      </c>
      <c r="AD189" s="17">
        <f>+'[1]Sell in ko tính KDT'!Z188</f>
        <v>0</v>
      </c>
      <c r="AE189" s="17">
        <f>+'[1]Sell in ko tính KDT'!AA188</f>
        <v>0</v>
      </c>
      <c r="AF189" s="17">
        <v>0</v>
      </c>
      <c r="AG189" s="17">
        <f t="shared" si="126"/>
        <v>0</v>
      </c>
      <c r="AH189" s="17">
        <f>+'[1]Sell in ko tính KDT'!AC188</f>
        <v>0</v>
      </c>
      <c r="AI189" s="17">
        <f>+'[1]Sell in ko tính KDT'!AD188</f>
        <v>0</v>
      </c>
      <c r="AJ189" s="17">
        <f>+'[1]Sell in ko tính KDT'!AE188</f>
        <v>0</v>
      </c>
      <c r="AK189" s="17">
        <v>0</v>
      </c>
      <c r="AL189" s="17">
        <f t="shared" si="127"/>
        <v>0</v>
      </c>
      <c r="AM189" s="17">
        <f>+'[1]Sell in ko tính KDT'!AG188</f>
        <v>0</v>
      </c>
      <c r="AN189" s="17">
        <f>+'[1]Sell in ko tính KDT'!AH188</f>
        <v>0</v>
      </c>
      <c r="AO189" s="17">
        <f>+'[1]Sell in ko tính KDT'!AI188</f>
        <v>0</v>
      </c>
      <c r="AP189" s="17">
        <v>0</v>
      </c>
      <c r="AQ189" s="17">
        <f t="shared" si="128"/>
        <v>0</v>
      </c>
      <c r="AR189" s="17">
        <f>+'[1]Sell in ko tính KDT'!AK188</f>
        <v>0</v>
      </c>
      <c r="AS189" s="17">
        <f>+'[1]Sell in ko tính KDT'!AL188</f>
        <v>0</v>
      </c>
      <c r="AT189" s="17">
        <f>+'[1]Sell in ko tính KDT'!AM188</f>
        <v>0</v>
      </c>
      <c r="AU189" s="17">
        <v>0</v>
      </c>
      <c r="AV189" s="17">
        <f t="shared" si="129"/>
        <v>0</v>
      </c>
      <c r="AW189" s="17">
        <f>+'[1]Sell in ko tính KDT'!AO188</f>
        <v>0</v>
      </c>
      <c r="AX189" s="17">
        <f>+'[1]Sell in ko tính KDT'!AP188</f>
        <v>0</v>
      </c>
      <c r="AY189" s="17">
        <f>+'[1]Sell in ko tính KDT'!AQ188</f>
        <v>0</v>
      </c>
      <c r="AZ189" s="17">
        <v>0</v>
      </c>
      <c r="BA189" s="17">
        <f t="shared" si="130"/>
        <v>0</v>
      </c>
      <c r="BB189" s="17">
        <f>+'[1]Sell in ko tính KDT'!AS188</f>
        <v>0</v>
      </c>
      <c r="BC189" s="17">
        <f>+'[1]Sell in ko tính KDT'!AT188</f>
        <v>0</v>
      </c>
      <c r="BD189" s="17">
        <f>+'[1]Sell in ko tính KDT'!AU188</f>
        <v>0</v>
      </c>
      <c r="BE189" s="17">
        <v>0</v>
      </c>
      <c r="BF189" s="17">
        <f t="shared" si="131"/>
        <v>0</v>
      </c>
      <c r="BG189" s="17">
        <f>+'[1]Sell in ko tính KDT'!AW188</f>
        <v>0</v>
      </c>
      <c r="BH189" s="17">
        <f>+'[1]Sell in ko tính KDT'!AX188</f>
        <v>0</v>
      </c>
      <c r="BI189" s="17">
        <f>+'[1]Sell in ko tính KDT'!AY188</f>
        <v>0</v>
      </c>
      <c r="BJ189" s="17">
        <v>0</v>
      </c>
      <c r="BK189" s="17">
        <f t="shared" si="132"/>
        <v>0</v>
      </c>
      <c r="BL189" s="17">
        <f>+'[1]Sell in ko tính KDT'!BA188</f>
        <v>0</v>
      </c>
      <c r="BM189" s="17">
        <f>+'[1]Sell in ko tính KDT'!BB188</f>
        <v>0</v>
      </c>
      <c r="BN189" s="17">
        <f>+'[1]Sell in ko tính KDT'!BC188</f>
        <v>0</v>
      </c>
      <c r="BO189" s="17">
        <v>0</v>
      </c>
      <c r="BP189" s="17">
        <f t="shared" si="119"/>
        <v>0</v>
      </c>
      <c r="BQ189" s="17">
        <f t="shared" si="133"/>
        <v>0</v>
      </c>
      <c r="BR189" s="17">
        <f t="shared" si="133"/>
        <v>0</v>
      </c>
      <c r="BS189" s="17">
        <f t="shared" si="133"/>
        <v>0</v>
      </c>
      <c r="BT189" s="17">
        <f t="shared" si="133"/>
        <v>0</v>
      </c>
      <c r="BU189" s="17">
        <f t="shared" si="105"/>
        <v>0</v>
      </c>
    </row>
    <row r="190" spans="1:73" s="46" customFormat="1" hidden="1" outlineLevel="1">
      <c r="A190" s="17" t="s">
        <v>352</v>
      </c>
      <c r="B190" s="17" t="s">
        <v>473</v>
      </c>
      <c r="C190" s="16" t="s">
        <v>473</v>
      </c>
      <c r="D190" s="17"/>
      <c r="E190" s="16"/>
      <c r="F190" s="18"/>
      <c r="G190" s="16"/>
      <c r="H190" s="16"/>
      <c r="I190" s="17">
        <f>+'[1]Sell in ko tính KDT'!I189</f>
        <v>0</v>
      </c>
      <c r="J190" s="17">
        <f>+'[1]Sell in ko tính KDT'!J189</f>
        <v>0</v>
      </c>
      <c r="K190" s="17">
        <f>+'[1]Sell in ko tính KDT'!K189</f>
        <v>0</v>
      </c>
      <c r="L190" s="17">
        <v>0</v>
      </c>
      <c r="M190" s="17">
        <f t="shared" si="122"/>
        <v>0</v>
      </c>
      <c r="N190" s="17">
        <f>+'[1]Sell in ko tính KDT'!M189</f>
        <v>0</v>
      </c>
      <c r="O190" s="17">
        <f>+'[1]Sell in ko tính KDT'!N189</f>
        <v>0</v>
      </c>
      <c r="P190" s="17">
        <f>+'[1]Sell in ko tính KDT'!O189</f>
        <v>0</v>
      </c>
      <c r="Q190" s="17">
        <v>0</v>
      </c>
      <c r="R190" s="17">
        <f t="shared" si="123"/>
        <v>0</v>
      </c>
      <c r="S190" s="17">
        <f>+'[1]Sell in ko tính KDT'!Q189</f>
        <v>0</v>
      </c>
      <c r="T190" s="17">
        <f>+'[1]Sell in ko tính KDT'!R189</f>
        <v>0</v>
      </c>
      <c r="U190" s="17">
        <f>+'[1]Sell in ko tính KDT'!S189</f>
        <v>0</v>
      </c>
      <c r="V190" s="17">
        <v>0</v>
      </c>
      <c r="W190" s="17">
        <f t="shared" si="124"/>
        <v>0</v>
      </c>
      <c r="X190" s="17">
        <f>+'[1]Sell in ko tính KDT'!U189</f>
        <v>0</v>
      </c>
      <c r="Y190" s="17">
        <f>+'[1]Sell in ko tính KDT'!V189</f>
        <v>0</v>
      </c>
      <c r="Z190" s="17">
        <f>+'[1]Sell in ko tính KDT'!W189</f>
        <v>0</v>
      </c>
      <c r="AA190" s="17">
        <v>0</v>
      </c>
      <c r="AB190" s="17">
        <f t="shared" si="125"/>
        <v>0</v>
      </c>
      <c r="AC190" s="17">
        <f>+'[1]Sell in ko tính KDT'!Y189</f>
        <v>0</v>
      </c>
      <c r="AD190" s="17">
        <f>+'[1]Sell in ko tính KDT'!Z189</f>
        <v>0</v>
      </c>
      <c r="AE190" s="17">
        <f>+'[1]Sell in ko tính KDT'!AA189</f>
        <v>0</v>
      </c>
      <c r="AF190" s="17">
        <v>0</v>
      </c>
      <c r="AG190" s="17">
        <f t="shared" si="126"/>
        <v>0</v>
      </c>
      <c r="AH190" s="17">
        <f>+'[1]Sell in ko tính KDT'!AC189</f>
        <v>0</v>
      </c>
      <c r="AI190" s="17">
        <f>+'[1]Sell in ko tính KDT'!AD189</f>
        <v>0</v>
      </c>
      <c r="AJ190" s="17">
        <f>+'[1]Sell in ko tính KDT'!AE189</f>
        <v>0</v>
      </c>
      <c r="AK190" s="17">
        <v>0</v>
      </c>
      <c r="AL190" s="17">
        <f t="shared" si="127"/>
        <v>0</v>
      </c>
      <c r="AM190" s="17">
        <f>+'[1]Sell in ko tính KDT'!AG189</f>
        <v>0</v>
      </c>
      <c r="AN190" s="17">
        <f>+'[1]Sell in ko tính KDT'!AH189</f>
        <v>0</v>
      </c>
      <c r="AO190" s="17">
        <f>+'[1]Sell in ko tính KDT'!AI189</f>
        <v>0</v>
      </c>
      <c r="AP190" s="17">
        <v>0</v>
      </c>
      <c r="AQ190" s="17">
        <f t="shared" si="128"/>
        <v>0</v>
      </c>
      <c r="AR190" s="17">
        <f>+'[1]Sell in ko tính KDT'!AK189</f>
        <v>0</v>
      </c>
      <c r="AS190" s="17">
        <f>+'[1]Sell in ko tính KDT'!AL189</f>
        <v>0</v>
      </c>
      <c r="AT190" s="17">
        <f>+'[1]Sell in ko tính KDT'!AM189</f>
        <v>0</v>
      </c>
      <c r="AU190" s="17">
        <v>0</v>
      </c>
      <c r="AV190" s="17">
        <f t="shared" si="129"/>
        <v>0</v>
      </c>
      <c r="AW190" s="17">
        <f>+'[1]Sell in ko tính KDT'!AO189</f>
        <v>0</v>
      </c>
      <c r="AX190" s="17">
        <f>+'[1]Sell in ko tính KDT'!AP189</f>
        <v>0</v>
      </c>
      <c r="AY190" s="17">
        <f>+'[1]Sell in ko tính KDT'!AQ189</f>
        <v>0</v>
      </c>
      <c r="AZ190" s="17">
        <v>0</v>
      </c>
      <c r="BA190" s="17">
        <f t="shared" si="130"/>
        <v>0</v>
      </c>
      <c r="BB190" s="17">
        <f>+'[1]Sell in ko tính KDT'!AS189</f>
        <v>0</v>
      </c>
      <c r="BC190" s="17">
        <f>+'[1]Sell in ko tính KDT'!AT189</f>
        <v>0</v>
      </c>
      <c r="BD190" s="17">
        <f>+'[1]Sell in ko tính KDT'!AU189</f>
        <v>0</v>
      </c>
      <c r="BE190" s="17">
        <v>0</v>
      </c>
      <c r="BF190" s="17">
        <f t="shared" si="131"/>
        <v>0</v>
      </c>
      <c r="BG190" s="17">
        <f>+'[1]Sell in ko tính KDT'!AW189</f>
        <v>0</v>
      </c>
      <c r="BH190" s="17">
        <f>+'[1]Sell in ko tính KDT'!AX189</f>
        <v>0</v>
      </c>
      <c r="BI190" s="17">
        <f>+'[1]Sell in ko tính KDT'!AY189</f>
        <v>0</v>
      </c>
      <c r="BJ190" s="17">
        <v>0</v>
      </c>
      <c r="BK190" s="17">
        <f t="shared" si="132"/>
        <v>0</v>
      </c>
      <c r="BL190" s="17">
        <f>+'[1]Sell in ko tính KDT'!BA189</f>
        <v>0</v>
      </c>
      <c r="BM190" s="17">
        <f>+'[1]Sell in ko tính KDT'!BB189</f>
        <v>0</v>
      </c>
      <c r="BN190" s="17">
        <f>+'[1]Sell in ko tính KDT'!BC189</f>
        <v>0</v>
      </c>
      <c r="BO190" s="17">
        <v>0</v>
      </c>
      <c r="BP190" s="17">
        <f t="shared" si="119"/>
        <v>0</v>
      </c>
      <c r="BQ190" s="17">
        <f t="shared" si="133"/>
        <v>0</v>
      </c>
      <c r="BR190" s="17">
        <f t="shared" si="133"/>
        <v>0</v>
      </c>
      <c r="BS190" s="17">
        <f t="shared" si="133"/>
        <v>0</v>
      </c>
      <c r="BT190" s="17">
        <f t="shared" si="133"/>
        <v>0</v>
      </c>
      <c r="BU190" s="17">
        <f t="shared" si="105"/>
        <v>0</v>
      </c>
    </row>
    <row r="191" spans="1:73" s="46" customFormat="1" hidden="1" outlineLevel="1">
      <c r="A191" s="17" t="s">
        <v>352</v>
      </c>
      <c r="B191" s="17" t="s">
        <v>473</v>
      </c>
      <c r="C191" s="16" t="s">
        <v>473</v>
      </c>
      <c r="D191" s="17"/>
      <c r="E191" s="16"/>
      <c r="F191" s="18"/>
      <c r="G191" s="16"/>
      <c r="H191" s="16"/>
      <c r="I191" s="17">
        <f>+'[1]Sell in ko tính KDT'!I190</f>
        <v>0</v>
      </c>
      <c r="J191" s="17">
        <f>+'[1]Sell in ko tính KDT'!J190</f>
        <v>0</v>
      </c>
      <c r="K191" s="17">
        <f>+'[1]Sell in ko tính KDT'!K190</f>
        <v>0</v>
      </c>
      <c r="L191" s="17">
        <v>0</v>
      </c>
      <c r="M191" s="17">
        <f t="shared" si="122"/>
        <v>0</v>
      </c>
      <c r="N191" s="17">
        <f>+'[1]Sell in ko tính KDT'!M190</f>
        <v>0</v>
      </c>
      <c r="O191" s="17">
        <f>+'[1]Sell in ko tính KDT'!N190</f>
        <v>0</v>
      </c>
      <c r="P191" s="17">
        <f>+'[1]Sell in ko tính KDT'!O190</f>
        <v>0</v>
      </c>
      <c r="Q191" s="17">
        <v>0</v>
      </c>
      <c r="R191" s="17">
        <f t="shared" si="123"/>
        <v>0</v>
      </c>
      <c r="S191" s="17">
        <f>+'[1]Sell in ko tính KDT'!Q190</f>
        <v>0</v>
      </c>
      <c r="T191" s="17">
        <f>+'[1]Sell in ko tính KDT'!R190</f>
        <v>0</v>
      </c>
      <c r="U191" s="17">
        <f>+'[1]Sell in ko tính KDT'!S190</f>
        <v>0</v>
      </c>
      <c r="V191" s="17">
        <v>0</v>
      </c>
      <c r="W191" s="17">
        <f t="shared" si="124"/>
        <v>0</v>
      </c>
      <c r="X191" s="17">
        <f>+'[1]Sell in ko tính KDT'!U190</f>
        <v>0</v>
      </c>
      <c r="Y191" s="17">
        <f>+'[1]Sell in ko tính KDT'!V190</f>
        <v>0</v>
      </c>
      <c r="Z191" s="17">
        <f>+'[1]Sell in ko tính KDT'!W190</f>
        <v>0</v>
      </c>
      <c r="AA191" s="17">
        <v>0</v>
      </c>
      <c r="AB191" s="17">
        <f t="shared" si="125"/>
        <v>0</v>
      </c>
      <c r="AC191" s="17">
        <f>+'[1]Sell in ko tính KDT'!Y190</f>
        <v>0</v>
      </c>
      <c r="AD191" s="17">
        <f>+'[1]Sell in ko tính KDT'!Z190</f>
        <v>0</v>
      </c>
      <c r="AE191" s="17">
        <f>+'[1]Sell in ko tính KDT'!AA190</f>
        <v>0</v>
      </c>
      <c r="AF191" s="17">
        <v>0</v>
      </c>
      <c r="AG191" s="17">
        <f t="shared" si="126"/>
        <v>0</v>
      </c>
      <c r="AH191" s="17">
        <f>+'[1]Sell in ko tính KDT'!AC190</f>
        <v>0</v>
      </c>
      <c r="AI191" s="17">
        <f>+'[1]Sell in ko tính KDT'!AD190</f>
        <v>0</v>
      </c>
      <c r="AJ191" s="17">
        <f>+'[1]Sell in ko tính KDT'!AE190</f>
        <v>0</v>
      </c>
      <c r="AK191" s="17">
        <v>0</v>
      </c>
      <c r="AL191" s="17">
        <f t="shared" si="127"/>
        <v>0</v>
      </c>
      <c r="AM191" s="17">
        <f>+'[1]Sell in ko tính KDT'!AG190</f>
        <v>0</v>
      </c>
      <c r="AN191" s="17">
        <f>+'[1]Sell in ko tính KDT'!AH190</f>
        <v>0</v>
      </c>
      <c r="AO191" s="17">
        <f>+'[1]Sell in ko tính KDT'!AI190</f>
        <v>0</v>
      </c>
      <c r="AP191" s="17">
        <v>0</v>
      </c>
      <c r="AQ191" s="17">
        <f t="shared" si="128"/>
        <v>0</v>
      </c>
      <c r="AR191" s="17">
        <f>+'[1]Sell in ko tính KDT'!AK190</f>
        <v>0</v>
      </c>
      <c r="AS191" s="17">
        <f>+'[1]Sell in ko tính KDT'!AL190</f>
        <v>0</v>
      </c>
      <c r="AT191" s="17">
        <f>+'[1]Sell in ko tính KDT'!AM190</f>
        <v>0</v>
      </c>
      <c r="AU191" s="17">
        <v>0</v>
      </c>
      <c r="AV191" s="17">
        <f t="shared" si="129"/>
        <v>0</v>
      </c>
      <c r="AW191" s="17">
        <f>+'[1]Sell in ko tính KDT'!AO190</f>
        <v>0</v>
      </c>
      <c r="AX191" s="17">
        <f>+'[1]Sell in ko tính KDT'!AP190</f>
        <v>0</v>
      </c>
      <c r="AY191" s="17">
        <f>+'[1]Sell in ko tính KDT'!AQ190</f>
        <v>0</v>
      </c>
      <c r="AZ191" s="17">
        <v>0</v>
      </c>
      <c r="BA191" s="17">
        <f t="shared" si="130"/>
        <v>0</v>
      </c>
      <c r="BB191" s="17">
        <f>+'[1]Sell in ko tính KDT'!AS190</f>
        <v>0</v>
      </c>
      <c r="BC191" s="17">
        <f>+'[1]Sell in ko tính KDT'!AT190</f>
        <v>0</v>
      </c>
      <c r="BD191" s="17">
        <f>+'[1]Sell in ko tính KDT'!AU190</f>
        <v>0</v>
      </c>
      <c r="BE191" s="17">
        <v>0</v>
      </c>
      <c r="BF191" s="17">
        <f t="shared" si="131"/>
        <v>0</v>
      </c>
      <c r="BG191" s="17">
        <f>+'[1]Sell in ko tính KDT'!AW190</f>
        <v>0</v>
      </c>
      <c r="BH191" s="17">
        <f>+'[1]Sell in ko tính KDT'!AX190</f>
        <v>0</v>
      </c>
      <c r="BI191" s="17">
        <f>+'[1]Sell in ko tính KDT'!AY190</f>
        <v>0</v>
      </c>
      <c r="BJ191" s="17">
        <v>0</v>
      </c>
      <c r="BK191" s="17">
        <f t="shared" si="132"/>
        <v>0</v>
      </c>
      <c r="BL191" s="17">
        <f>+'[1]Sell in ko tính KDT'!BA190</f>
        <v>0</v>
      </c>
      <c r="BM191" s="17">
        <f>+'[1]Sell in ko tính KDT'!BB190</f>
        <v>0</v>
      </c>
      <c r="BN191" s="17">
        <f>+'[1]Sell in ko tính KDT'!BC190</f>
        <v>0</v>
      </c>
      <c r="BO191" s="17">
        <v>0</v>
      </c>
      <c r="BP191" s="17">
        <f t="shared" si="119"/>
        <v>0</v>
      </c>
      <c r="BQ191" s="17">
        <f t="shared" si="133"/>
        <v>0</v>
      </c>
      <c r="BR191" s="17">
        <f t="shared" si="133"/>
        <v>0</v>
      </c>
      <c r="BS191" s="17">
        <f t="shared" si="133"/>
        <v>0</v>
      </c>
      <c r="BT191" s="17">
        <f t="shared" si="133"/>
        <v>0</v>
      </c>
      <c r="BU191" s="17">
        <f t="shared" si="105"/>
        <v>0</v>
      </c>
    </row>
    <row r="192" spans="1:73" s="46" customFormat="1" hidden="1" outlineLevel="1">
      <c r="A192" s="17" t="s">
        <v>352</v>
      </c>
      <c r="B192" s="17" t="s">
        <v>473</v>
      </c>
      <c r="C192" s="16" t="s">
        <v>473</v>
      </c>
      <c r="D192" s="16"/>
      <c r="E192" s="16"/>
      <c r="F192" s="18"/>
      <c r="G192" s="16"/>
      <c r="H192" s="16"/>
      <c r="I192" s="17">
        <f>+'[1]Sell in ko tính KDT'!I191</f>
        <v>0</v>
      </c>
      <c r="J192" s="17">
        <f>+'[1]Sell in ko tính KDT'!J191</f>
        <v>0</v>
      </c>
      <c r="K192" s="17">
        <f>+'[1]Sell in ko tính KDT'!K191</f>
        <v>0</v>
      </c>
      <c r="L192" s="17">
        <v>0</v>
      </c>
      <c r="M192" s="17">
        <f t="shared" si="122"/>
        <v>0</v>
      </c>
      <c r="N192" s="17">
        <f>+'[1]Sell in ko tính KDT'!M191</f>
        <v>0</v>
      </c>
      <c r="O192" s="17">
        <f>+'[1]Sell in ko tính KDT'!N191</f>
        <v>0</v>
      </c>
      <c r="P192" s="17">
        <f>+'[1]Sell in ko tính KDT'!O191</f>
        <v>0</v>
      </c>
      <c r="Q192" s="17">
        <v>0</v>
      </c>
      <c r="R192" s="17">
        <f t="shared" si="123"/>
        <v>0</v>
      </c>
      <c r="S192" s="17">
        <f>+'[1]Sell in ko tính KDT'!Q191</f>
        <v>0</v>
      </c>
      <c r="T192" s="17">
        <f>+'[1]Sell in ko tính KDT'!R191</f>
        <v>0</v>
      </c>
      <c r="U192" s="17">
        <f>+'[1]Sell in ko tính KDT'!S191</f>
        <v>0</v>
      </c>
      <c r="V192" s="17">
        <v>0</v>
      </c>
      <c r="W192" s="17">
        <f t="shared" si="124"/>
        <v>0</v>
      </c>
      <c r="X192" s="17">
        <f>+'[1]Sell in ko tính KDT'!U191</f>
        <v>0</v>
      </c>
      <c r="Y192" s="17">
        <f>+'[1]Sell in ko tính KDT'!V191</f>
        <v>0</v>
      </c>
      <c r="Z192" s="17">
        <f>+'[1]Sell in ko tính KDT'!W191</f>
        <v>0</v>
      </c>
      <c r="AA192" s="17">
        <v>0</v>
      </c>
      <c r="AB192" s="17">
        <f t="shared" si="125"/>
        <v>0</v>
      </c>
      <c r="AC192" s="17">
        <f>+'[1]Sell in ko tính KDT'!Y191</f>
        <v>0</v>
      </c>
      <c r="AD192" s="17">
        <f>+'[1]Sell in ko tính KDT'!Z191</f>
        <v>0</v>
      </c>
      <c r="AE192" s="17">
        <f>+'[1]Sell in ko tính KDT'!AA191</f>
        <v>0</v>
      </c>
      <c r="AF192" s="17">
        <v>0</v>
      </c>
      <c r="AG192" s="17">
        <f t="shared" si="126"/>
        <v>0</v>
      </c>
      <c r="AH192" s="17">
        <f>+'[1]Sell in ko tính KDT'!AC191</f>
        <v>0</v>
      </c>
      <c r="AI192" s="17">
        <f>+'[1]Sell in ko tính KDT'!AD191</f>
        <v>0</v>
      </c>
      <c r="AJ192" s="17">
        <f>+'[1]Sell in ko tính KDT'!AE191</f>
        <v>0</v>
      </c>
      <c r="AK192" s="17">
        <v>0</v>
      </c>
      <c r="AL192" s="17">
        <f t="shared" si="127"/>
        <v>0</v>
      </c>
      <c r="AM192" s="17">
        <f>+'[1]Sell in ko tính KDT'!AG191</f>
        <v>0</v>
      </c>
      <c r="AN192" s="17">
        <f>+'[1]Sell in ko tính KDT'!AH191</f>
        <v>0</v>
      </c>
      <c r="AO192" s="17">
        <f>+'[1]Sell in ko tính KDT'!AI191</f>
        <v>0</v>
      </c>
      <c r="AP192" s="17">
        <v>0</v>
      </c>
      <c r="AQ192" s="17">
        <f t="shared" si="128"/>
        <v>0</v>
      </c>
      <c r="AR192" s="17">
        <f>+'[1]Sell in ko tính KDT'!AK191</f>
        <v>0</v>
      </c>
      <c r="AS192" s="17">
        <f>+'[1]Sell in ko tính KDT'!AL191</f>
        <v>0</v>
      </c>
      <c r="AT192" s="17">
        <f>+'[1]Sell in ko tính KDT'!AM191</f>
        <v>0</v>
      </c>
      <c r="AU192" s="17">
        <v>0</v>
      </c>
      <c r="AV192" s="17">
        <f t="shared" si="129"/>
        <v>0</v>
      </c>
      <c r="AW192" s="17">
        <f>+'[1]Sell in ko tính KDT'!AO191</f>
        <v>0</v>
      </c>
      <c r="AX192" s="17">
        <f>+'[1]Sell in ko tính KDT'!AP191</f>
        <v>0</v>
      </c>
      <c r="AY192" s="17">
        <f>+'[1]Sell in ko tính KDT'!AQ191</f>
        <v>0</v>
      </c>
      <c r="AZ192" s="17">
        <v>0</v>
      </c>
      <c r="BA192" s="17">
        <f t="shared" si="130"/>
        <v>0</v>
      </c>
      <c r="BB192" s="17">
        <f>+'[1]Sell in ko tính KDT'!AS191</f>
        <v>0</v>
      </c>
      <c r="BC192" s="17">
        <f>+'[1]Sell in ko tính KDT'!AT191</f>
        <v>0</v>
      </c>
      <c r="BD192" s="17">
        <f>+'[1]Sell in ko tính KDT'!AU191</f>
        <v>0</v>
      </c>
      <c r="BE192" s="17">
        <v>0</v>
      </c>
      <c r="BF192" s="17">
        <f t="shared" si="131"/>
        <v>0</v>
      </c>
      <c r="BG192" s="17">
        <f>+'[1]Sell in ko tính KDT'!AW191</f>
        <v>0</v>
      </c>
      <c r="BH192" s="17">
        <f>+'[1]Sell in ko tính KDT'!AX191</f>
        <v>0</v>
      </c>
      <c r="BI192" s="17">
        <f>+'[1]Sell in ko tính KDT'!AY191</f>
        <v>0</v>
      </c>
      <c r="BJ192" s="17">
        <v>0</v>
      </c>
      <c r="BK192" s="17">
        <f t="shared" si="132"/>
        <v>0</v>
      </c>
      <c r="BL192" s="17">
        <f>+'[1]Sell in ko tính KDT'!BA191</f>
        <v>0</v>
      </c>
      <c r="BM192" s="17">
        <f>+'[1]Sell in ko tính KDT'!BB191</f>
        <v>0</v>
      </c>
      <c r="BN192" s="17">
        <f>+'[1]Sell in ko tính KDT'!BC191</f>
        <v>0</v>
      </c>
      <c r="BO192" s="17">
        <v>0</v>
      </c>
      <c r="BP192" s="17">
        <f t="shared" si="119"/>
        <v>0</v>
      </c>
      <c r="BQ192" s="17">
        <f t="shared" si="133"/>
        <v>0</v>
      </c>
      <c r="BR192" s="17">
        <f t="shared" si="133"/>
        <v>0</v>
      </c>
      <c r="BS192" s="17">
        <f t="shared" si="133"/>
        <v>0</v>
      </c>
      <c r="BT192" s="17">
        <f t="shared" si="133"/>
        <v>0</v>
      </c>
      <c r="BU192" s="17">
        <f t="shared" si="105"/>
        <v>0</v>
      </c>
    </row>
    <row r="193" spans="1:73" s="46" customFormat="1" hidden="1" outlineLevel="1">
      <c r="A193" s="17" t="s">
        <v>352</v>
      </c>
      <c r="B193" s="17" t="s">
        <v>473</v>
      </c>
      <c r="C193" s="16" t="s">
        <v>473</v>
      </c>
      <c r="D193" s="16"/>
      <c r="E193" s="16"/>
      <c r="F193" s="18"/>
      <c r="G193" s="16"/>
      <c r="H193" s="16"/>
      <c r="I193" s="17">
        <f>+'[1]Sell in ko tính KDT'!I192</f>
        <v>0</v>
      </c>
      <c r="J193" s="17">
        <f>+'[1]Sell in ko tính KDT'!J192</f>
        <v>0</v>
      </c>
      <c r="K193" s="17">
        <f>+'[1]Sell in ko tính KDT'!K192</f>
        <v>0</v>
      </c>
      <c r="L193" s="17">
        <v>0</v>
      </c>
      <c r="M193" s="17">
        <f t="shared" si="122"/>
        <v>0</v>
      </c>
      <c r="N193" s="17">
        <f>+'[1]Sell in ko tính KDT'!M192</f>
        <v>0</v>
      </c>
      <c r="O193" s="17">
        <f>+'[1]Sell in ko tính KDT'!N192</f>
        <v>0</v>
      </c>
      <c r="P193" s="17">
        <f>+'[1]Sell in ko tính KDT'!O192</f>
        <v>0</v>
      </c>
      <c r="Q193" s="17">
        <v>0</v>
      </c>
      <c r="R193" s="17">
        <f t="shared" si="123"/>
        <v>0</v>
      </c>
      <c r="S193" s="17">
        <f>+'[1]Sell in ko tính KDT'!Q192</f>
        <v>0</v>
      </c>
      <c r="T193" s="17">
        <f>+'[1]Sell in ko tính KDT'!R192</f>
        <v>0</v>
      </c>
      <c r="U193" s="17">
        <f>+'[1]Sell in ko tính KDT'!S192</f>
        <v>0</v>
      </c>
      <c r="V193" s="17">
        <v>0</v>
      </c>
      <c r="W193" s="17">
        <f t="shared" si="124"/>
        <v>0</v>
      </c>
      <c r="X193" s="17">
        <f>+'[1]Sell in ko tính KDT'!U192</f>
        <v>0</v>
      </c>
      <c r="Y193" s="17">
        <f>+'[1]Sell in ko tính KDT'!V192</f>
        <v>0</v>
      </c>
      <c r="Z193" s="17">
        <f>+'[1]Sell in ko tính KDT'!W192</f>
        <v>0</v>
      </c>
      <c r="AA193" s="17">
        <v>0</v>
      </c>
      <c r="AB193" s="17">
        <f t="shared" si="125"/>
        <v>0</v>
      </c>
      <c r="AC193" s="17">
        <f>+'[1]Sell in ko tính KDT'!Y192</f>
        <v>0</v>
      </c>
      <c r="AD193" s="17">
        <f>+'[1]Sell in ko tính KDT'!Z192</f>
        <v>0</v>
      </c>
      <c r="AE193" s="17">
        <f>+'[1]Sell in ko tính KDT'!AA192</f>
        <v>0</v>
      </c>
      <c r="AF193" s="17">
        <v>0</v>
      </c>
      <c r="AG193" s="17">
        <f t="shared" si="126"/>
        <v>0</v>
      </c>
      <c r="AH193" s="17">
        <f>+'[1]Sell in ko tính KDT'!AC192</f>
        <v>0</v>
      </c>
      <c r="AI193" s="17">
        <f>+'[1]Sell in ko tính KDT'!AD192</f>
        <v>0</v>
      </c>
      <c r="AJ193" s="17">
        <f>+'[1]Sell in ko tính KDT'!AE192</f>
        <v>0</v>
      </c>
      <c r="AK193" s="17">
        <v>0</v>
      </c>
      <c r="AL193" s="17">
        <f t="shared" si="127"/>
        <v>0</v>
      </c>
      <c r="AM193" s="17">
        <f>+'[1]Sell in ko tính KDT'!AG192</f>
        <v>0</v>
      </c>
      <c r="AN193" s="17">
        <f>+'[1]Sell in ko tính KDT'!AH192</f>
        <v>0</v>
      </c>
      <c r="AO193" s="17">
        <f>+'[1]Sell in ko tính KDT'!AI192</f>
        <v>0</v>
      </c>
      <c r="AP193" s="17">
        <v>0</v>
      </c>
      <c r="AQ193" s="17">
        <f t="shared" si="128"/>
        <v>0</v>
      </c>
      <c r="AR193" s="17">
        <f>+'[1]Sell in ko tính KDT'!AK192</f>
        <v>0</v>
      </c>
      <c r="AS193" s="17">
        <f>+'[1]Sell in ko tính KDT'!AL192</f>
        <v>0</v>
      </c>
      <c r="AT193" s="17">
        <f>+'[1]Sell in ko tính KDT'!AM192</f>
        <v>0</v>
      </c>
      <c r="AU193" s="17">
        <v>0</v>
      </c>
      <c r="AV193" s="17">
        <f t="shared" si="129"/>
        <v>0</v>
      </c>
      <c r="AW193" s="17">
        <f>+'[1]Sell in ko tính KDT'!AO192</f>
        <v>0</v>
      </c>
      <c r="AX193" s="17">
        <f>+'[1]Sell in ko tính KDT'!AP192</f>
        <v>0</v>
      </c>
      <c r="AY193" s="17">
        <f>+'[1]Sell in ko tính KDT'!AQ192</f>
        <v>0</v>
      </c>
      <c r="AZ193" s="17">
        <v>0</v>
      </c>
      <c r="BA193" s="17">
        <f t="shared" si="130"/>
        <v>0</v>
      </c>
      <c r="BB193" s="17">
        <f>+'[1]Sell in ko tính KDT'!AS192</f>
        <v>0</v>
      </c>
      <c r="BC193" s="17">
        <f>+'[1]Sell in ko tính KDT'!AT192</f>
        <v>0</v>
      </c>
      <c r="BD193" s="17">
        <f>+'[1]Sell in ko tính KDT'!AU192</f>
        <v>0</v>
      </c>
      <c r="BE193" s="17">
        <v>0</v>
      </c>
      <c r="BF193" s="17">
        <f t="shared" si="131"/>
        <v>0</v>
      </c>
      <c r="BG193" s="17">
        <f>+'[1]Sell in ko tính KDT'!AW192</f>
        <v>0</v>
      </c>
      <c r="BH193" s="17">
        <f>+'[1]Sell in ko tính KDT'!AX192</f>
        <v>0</v>
      </c>
      <c r="BI193" s="17">
        <f>+'[1]Sell in ko tính KDT'!AY192</f>
        <v>0</v>
      </c>
      <c r="BJ193" s="17">
        <v>0</v>
      </c>
      <c r="BK193" s="17">
        <f t="shared" si="132"/>
        <v>0</v>
      </c>
      <c r="BL193" s="17">
        <f>+'[1]Sell in ko tính KDT'!BA192</f>
        <v>0</v>
      </c>
      <c r="BM193" s="17">
        <f>+'[1]Sell in ko tính KDT'!BB192</f>
        <v>0</v>
      </c>
      <c r="BN193" s="17">
        <f>+'[1]Sell in ko tính KDT'!BC192</f>
        <v>0</v>
      </c>
      <c r="BO193" s="17">
        <v>0</v>
      </c>
      <c r="BP193" s="17">
        <f t="shared" si="119"/>
        <v>0</v>
      </c>
      <c r="BQ193" s="17">
        <f t="shared" si="133"/>
        <v>0</v>
      </c>
      <c r="BR193" s="17">
        <f t="shared" si="133"/>
        <v>0</v>
      </c>
      <c r="BS193" s="17">
        <f t="shared" si="133"/>
        <v>0</v>
      </c>
      <c r="BT193" s="17">
        <f t="shared" si="133"/>
        <v>0</v>
      </c>
      <c r="BU193" s="17">
        <f t="shared" si="105"/>
        <v>0</v>
      </c>
    </row>
    <row r="194" spans="1:73" s="46" customFormat="1" hidden="1" outlineLevel="1">
      <c r="A194" s="17" t="s">
        <v>352</v>
      </c>
      <c r="B194" s="17" t="s">
        <v>473</v>
      </c>
      <c r="C194" s="16" t="s">
        <v>473</v>
      </c>
      <c r="D194" s="16"/>
      <c r="E194" s="16"/>
      <c r="F194" s="18"/>
      <c r="G194" s="16"/>
      <c r="H194" s="16"/>
      <c r="I194" s="17">
        <f>+'[1]Sell in ko tính KDT'!I193</f>
        <v>0</v>
      </c>
      <c r="J194" s="17">
        <f>+'[1]Sell in ko tính KDT'!J193</f>
        <v>0</v>
      </c>
      <c r="K194" s="17">
        <f>+'[1]Sell in ko tính KDT'!K193</f>
        <v>0</v>
      </c>
      <c r="L194" s="17">
        <v>0</v>
      </c>
      <c r="M194" s="17">
        <f t="shared" si="122"/>
        <v>0</v>
      </c>
      <c r="N194" s="17">
        <f>+'[1]Sell in ko tính KDT'!M193</f>
        <v>0</v>
      </c>
      <c r="O194" s="17">
        <f>+'[1]Sell in ko tính KDT'!N193</f>
        <v>0</v>
      </c>
      <c r="P194" s="17">
        <f>+'[1]Sell in ko tính KDT'!O193</f>
        <v>0</v>
      </c>
      <c r="Q194" s="17">
        <v>0</v>
      </c>
      <c r="R194" s="17">
        <f t="shared" si="123"/>
        <v>0</v>
      </c>
      <c r="S194" s="17">
        <f>+'[1]Sell in ko tính KDT'!Q193</f>
        <v>0</v>
      </c>
      <c r="T194" s="17">
        <f>+'[1]Sell in ko tính KDT'!R193</f>
        <v>0</v>
      </c>
      <c r="U194" s="17">
        <f>+'[1]Sell in ko tính KDT'!S193</f>
        <v>0</v>
      </c>
      <c r="V194" s="17">
        <v>0</v>
      </c>
      <c r="W194" s="17">
        <f t="shared" si="124"/>
        <v>0</v>
      </c>
      <c r="X194" s="17">
        <f>+'[1]Sell in ko tính KDT'!U193</f>
        <v>0</v>
      </c>
      <c r="Y194" s="17">
        <f>+'[1]Sell in ko tính KDT'!V193</f>
        <v>0</v>
      </c>
      <c r="Z194" s="17">
        <f>+'[1]Sell in ko tính KDT'!W193</f>
        <v>0</v>
      </c>
      <c r="AA194" s="17">
        <v>0</v>
      </c>
      <c r="AB194" s="17">
        <f t="shared" si="125"/>
        <v>0</v>
      </c>
      <c r="AC194" s="17">
        <f>+'[1]Sell in ko tính KDT'!Y193</f>
        <v>0</v>
      </c>
      <c r="AD194" s="17">
        <f>+'[1]Sell in ko tính KDT'!Z193</f>
        <v>0</v>
      </c>
      <c r="AE194" s="17">
        <f>+'[1]Sell in ko tính KDT'!AA193</f>
        <v>0</v>
      </c>
      <c r="AF194" s="17">
        <v>0</v>
      </c>
      <c r="AG194" s="17">
        <f t="shared" si="126"/>
        <v>0</v>
      </c>
      <c r="AH194" s="17">
        <f>+'[1]Sell in ko tính KDT'!AC193</f>
        <v>0</v>
      </c>
      <c r="AI194" s="17">
        <f>+'[1]Sell in ko tính KDT'!AD193</f>
        <v>0</v>
      </c>
      <c r="AJ194" s="17">
        <f>+'[1]Sell in ko tính KDT'!AE193</f>
        <v>0</v>
      </c>
      <c r="AK194" s="17">
        <v>0</v>
      </c>
      <c r="AL194" s="17">
        <f t="shared" si="127"/>
        <v>0</v>
      </c>
      <c r="AM194" s="17">
        <f>+'[1]Sell in ko tính KDT'!AG193</f>
        <v>0</v>
      </c>
      <c r="AN194" s="17">
        <f>+'[1]Sell in ko tính KDT'!AH193</f>
        <v>0</v>
      </c>
      <c r="AO194" s="17">
        <f>+'[1]Sell in ko tính KDT'!AI193</f>
        <v>0</v>
      </c>
      <c r="AP194" s="17">
        <v>0</v>
      </c>
      <c r="AQ194" s="17">
        <f t="shared" si="128"/>
        <v>0</v>
      </c>
      <c r="AR194" s="17">
        <f>+'[1]Sell in ko tính KDT'!AK193</f>
        <v>0</v>
      </c>
      <c r="AS194" s="17">
        <f>+'[1]Sell in ko tính KDT'!AL193</f>
        <v>0</v>
      </c>
      <c r="AT194" s="17">
        <f>+'[1]Sell in ko tính KDT'!AM193</f>
        <v>0</v>
      </c>
      <c r="AU194" s="17">
        <v>0</v>
      </c>
      <c r="AV194" s="17">
        <f t="shared" si="129"/>
        <v>0</v>
      </c>
      <c r="AW194" s="17">
        <f>+'[1]Sell in ko tính KDT'!AO193</f>
        <v>0</v>
      </c>
      <c r="AX194" s="17">
        <f>+'[1]Sell in ko tính KDT'!AP193</f>
        <v>0</v>
      </c>
      <c r="AY194" s="17">
        <f>+'[1]Sell in ko tính KDT'!AQ193</f>
        <v>0</v>
      </c>
      <c r="AZ194" s="17">
        <v>0</v>
      </c>
      <c r="BA194" s="17">
        <f t="shared" si="130"/>
        <v>0</v>
      </c>
      <c r="BB194" s="17">
        <f>+'[1]Sell in ko tính KDT'!AS193</f>
        <v>0</v>
      </c>
      <c r="BC194" s="17">
        <f>+'[1]Sell in ko tính KDT'!AT193</f>
        <v>0</v>
      </c>
      <c r="BD194" s="17">
        <f>+'[1]Sell in ko tính KDT'!AU193</f>
        <v>0</v>
      </c>
      <c r="BE194" s="17">
        <v>0</v>
      </c>
      <c r="BF194" s="17">
        <f t="shared" si="131"/>
        <v>0</v>
      </c>
      <c r="BG194" s="17">
        <f>+'[1]Sell in ko tính KDT'!AW193</f>
        <v>0</v>
      </c>
      <c r="BH194" s="17">
        <f>+'[1]Sell in ko tính KDT'!AX193</f>
        <v>0</v>
      </c>
      <c r="BI194" s="17">
        <f>+'[1]Sell in ko tính KDT'!AY193</f>
        <v>0</v>
      </c>
      <c r="BJ194" s="17">
        <v>0</v>
      </c>
      <c r="BK194" s="17">
        <f t="shared" si="132"/>
        <v>0</v>
      </c>
      <c r="BL194" s="17">
        <f>+'[1]Sell in ko tính KDT'!BA193</f>
        <v>0</v>
      </c>
      <c r="BM194" s="17">
        <f>+'[1]Sell in ko tính KDT'!BB193</f>
        <v>0</v>
      </c>
      <c r="BN194" s="17">
        <f>+'[1]Sell in ko tính KDT'!BC193</f>
        <v>0</v>
      </c>
      <c r="BO194" s="17">
        <v>0</v>
      </c>
      <c r="BP194" s="17">
        <f t="shared" si="119"/>
        <v>0</v>
      </c>
      <c r="BQ194" s="17">
        <f t="shared" si="133"/>
        <v>0</v>
      </c>
      <c r="BR194" s="17">
        <f t="shared" si="133"/>
        <v>0</v>
      </c>
      <c r="BS194" s="17">
        <f t="shared" si="133"/>
        <v>0</v>
      </c>
      <c r="BT194" s="17">
        <f t="shared" si="133"/>
        <v>0</v>
      </c>
      <c r="BU194" s="17">
        <f t="shared" si="105"/>
        <v>0</v>
      </c>
    </row>
    <row r="195" spans="1:73" s="46" customFormat="1" hidden="1" outlineLevel="1">
      <c r="A195" s="17" t="s">
        <v>352</v>
      </c>
      <c r="B195" s="17" t="s">
        <v>473</v>
      </c>
      <c r="C195" s="16" t="s">
        <v>473</v>
      </c>
      <c r="D195" s="16"/>
      <c r="E195" s="16"/>
      <c r="F195" s="18"/>
      <c r="G195" s="16"/>
      <c r="H195" s="16"/>
      <c r="I195" s="17">
        <f>+'[1]Sell in ko tính KDT'!I194</f>
        <v>0</v>
      </c>
      <c r="J195" s="17">
        <f>+'[1]Sell in ko tính KDT'!J194</f>
        <v>0</v>
      </c>
      <c r="K195" s="17">
        <f>+'[1]Sell in ko tính KDT'!K194</f>
        <v>0</v>
      </c>
      <c r="L195" s="17">
        <v>0</v>
      </c>
      <c r="M195" s="17">
        <f t="shared" si="122"/>
        <v>0</v>
      </c>
      <c r="N195" s="17">
        <f>+'[1]Sell in ko tính KDT'!M194</f>
        <v>0</v>
      </c>
      <c r="O195" s="17">
        <f>+'[1]Sell in ko tính KDT'!N194</f>
        <v>0</v>
      </c>
      <c r="P195" s="17">
        <f>+'[1]Sell in ko tính KDT'!O194</f>
        <v>0</v>
      </c>
      <c r="Q195" s="17">
        <v>0</v>
      </c>
      <c r="R195" s="17">
        <f t="shared" si="123"/>
        <v>0</v>
      </c>
      <c r="S195" s="17">
        <f>+'[1]Sell in ko tính KDT'!Q194</f>
        <v>0</v>
      </c>
      <c r="T195" s="17">
        <f>+'[1]Sell in ko tính KDT'!R194</f>
        <v>0</v>
      </c>
      <c r="U195" s="17">
        <f>+'[1]Sell in ko tính KDT'!S194</f>
        <v>0</v>
      </c>
      <c r="V195" s="17">
        <v>0</v>
      </c>
      <c r="W195" s="17">
        <f t="shared" si="124"/>
        <v>0</v>
      </c>
      <c r="X195" s="17">
        <f>+'[1]Sell in ko tính KDT'!U194</f>
        <v>0</v>
      </c>
      <c r="Y195" s="17">
        <f>+'[1]Sell in ko tính KDT'!V194</f>
        <v>0</v>
      </c>
      <c r="Z195" s="17">
        <f>+'[1]Sell in ko tính KDT'!W194</f>
        <v>0</v>
      </c>
      <c r="AA195" s="17">
        <v>0</v>
      </c>
      <c r="AB195" s="17">
        <f t="shared" si="125"/>
        <v>0</v>
      </c>
      <c r="AC195" s="17">
        <f>+'[1]Sell in ko tính KDT'!Y194</f>
        <v>0</v>
      </c>
      <c r="AD195" s="17">
        <f>+'[1]Sell in ko tính KDT'!Z194</f>
        <v>0</v>
      </c>
      <c r="AE195" s="17">
        <f>+'[1]Sell in ko tính KDT'!AA194</f>
        <v>0</v>
      </c>
      <c r="AF195" s="17">
        <v>0</v>
      </c>
      <c r="AG195" s="17">
        <f t="shared" si="126"/>
        <v>0</v>
      </c>
      <c r="AH195" s="17">
        <f>+'[1]Sell in ko tính KDT'!AC194</f>
        <v>0</v>
      </c>
      <c r="AI195" s="17">
        <f>+'[1]Sell in ko tính KDT'!AD194</f>
        <v>0</v>
      </c>
      <c r="AJ195" s="17">
        <f>+'[1]Sell in ko tính KDT'!AE194</f>
        <v>0</v>
      </c>
      <c r="AK195" s="17">
        <v>0</v>
      </c>
      <c r="AL195" s="17">
        <f t="shared" si="127"/>
        <v>0</v>
      </c>
      <c r="AM195" s="17">
        <f>+'[1]Sell in ko tính KDT'!AG194</f>
        <v>0</v>
      </c>
      <c r="AN195" s="17">
        <f>+'[1]Sell in ko tính KDT'!AH194</f>
        <v>0</v>
      </c>
      <c r="AO195" s="17">
        <f>+'[1]Sell in ko tính KDT'!AI194</f>
        <v>0</v>
      </c>
      <c r="AP195" s="17">
        <v>0</v>
      </c>
      <c r="AQ195" s="17">
        <f t="shared" si="128"/>
        <v>0</v>
      </c>
      <c r="AR195" s="17">
        <f>+'[1]Sell in ko tính KDT'!AK194</f>
        <v>0</v>
      </c>
      <c r="AS195" s="17">
        <f>+'[1]Sell in ko tính KDT'!AL194</f>
        <v>0</v>
      </c>
      <c r="AT195" s="17">
        <f>+'[1]Sell in ko tính KDT'!AM194</f>
        <v>0</v>
      </c>
      <c r="AU195" s="17">
        <v>0</v>
      </c>
      <c r="AV195" s="17">
        <f t="shared" si="129"/>
        <v>0</v>
      </c>
      <c r="AW195" s="17">
        <f>+'[1]Sell in ko tính KDT'!AO194</f>
        <v>0</v>
      </c>
      <c r="AX195" s="17">
        <f>+'[1]Sell in ko tính KDT'!AP194</f>
        <v>0</v>
      </c>
      <c r="AY195" s="17">
        <f>+'[1]Sell in ko tính KDT'!AQ194</f>
        <v>0</v>
      </c>
      <c r="AZ195" s="17">
        <v>0</v>
      </c>
      <c r="BA195" s="17">
        <f t="shared" si="130"/>
        <v>0</v>
      </c>
      <c r="BB195" s="17">
        <f>+'[1]Sell in ko tính KDT'!AS194</f>
        <v>0</v>
      </c>
      <c r="BC195" s="17">
        <f>+'[1]Sell in ko tính KDT'!AT194</f>
        <v>0</v>
      </c>
      <c r="BD195" s="17">
        <f>+'[1]Sell in ko tính KDT'!AU194</f>
        <v>0</v>
      </c>
      <c r="BE195" s="17">
        <v>0</v>
      </c>
      <c r="BF195" s="17">
        <f t="shared" si="131"/>
        <v>0</v>
      </c>
      <c r="BG195" s="17">
        <f>+'[1]Sell in ko tính KDT'!AW194</f>
        <v>0</v>
      </c>
      <c r="BH195" s="17">
        <f>+'[1]Sell in ko tính KDT'!AX194</f>
        <v>0</v>
      </c>
      <c r="BI195" s="17">
        <f>+'[1]Sell in ko tính KDT'!AY194</f>
        <v>0</v>
      </c>
      <c r="BJ195" s="17">
        <v>0</v>
      </c>
      <c r="BK195" s="17">
        <f t="shared" si="132"/>
        <v>0</v>
      </c>
      <c r="BL195" s="17">
        <f>+'[1]Sell in ko tính KDT'!BA194</f>
        <v>0</v>
      </c>
      <c r="BM195" s="17">
        <f>+'[1]Sell in ko tính KDT'!BB194</f>
        <v>0</v>
      </c>
      <c r="BN195" s="17">
        <f>+'[1]Sell in ko tính KDT'!BC194</f>
        <v>0</v>
      </c>
      <c r="BO195" s="17">
        <v>0</v>
      </c>
      <c r="BP195" s="17">
        <f t="shared" si="119"/>
        <v>0</v>
      </c>
      <c r="BQ195" s="17">
        <f t="shared" si="133"/>
        <v>0</v>
      </c>
      <c r="BR195" s="17">
        <f t="shared" si="133"/>
        <v>0</v>
      </c>
      <c r="BS195" s="17">
        <f t="shared" si="133"/>
        <v>0</v>
      </c>
      <c r="BT195" s="17">
        <f t="shared" si="133"/>
        <v>0</v>
      </c>
      <c r="BU195" s="17">
        <f t="shared" si="105"/>
        <v>0</v>
      </c>
    </row>
    <row r="196" spans="1:73" s="38" customFormat="1" collapsed="1">
      <c r="A196" s="25" t="s">
        <v>352</v>
      </c>
      <c r="B196" s="25" t="s">
        <v>491</v>
      </c>
      <c r="C196" s="24"/>
      <c r="D196" s="24"/>
      <c r="E196" s="24"/>
      <c r="F196" s="24"/>
      <c r="G196" s="24" t="s">
        <v>491</v>
      </c>
      <c r="H196" s="24"/>
      <c r="I196" s="25">
        <f>SUM(I177:I195)</f>
        <v>687.2</v>
      </c>
      <c r="J196" s="25">
        <f t="shared" ref="J196:BU196" si="134">SUM(J177:J195)</f>
        <v>437.8</v>
      </c>
      <c r="K196" s="25">
        <f t="shared" si="134"/>
        <v>0</v>
      </c>
      <c r="L196" s="25">
        <f t="shared" si="134"/>
        <v>0</v>
      </c>
      <c r="M196" s="25">
        <f t="shared" si="134"/>
        <v>1125</v>
      </c>
      <c r="N196" s="25">
        <f t="shared" si="134"/>
        <v>672.2</v>
      </c>
      <c r="O196" s="25">
        <f t="shared" si="134"/>
        <v>377.8</v>
      </c>
      <c r="P196" s="25">
        <f t="shared" si="134"/>
        <v>0</v>
      </c>
      <c r="Q196" s="25">
        <f t="shared" si="134"/>
        <v>0</v>
      </c>
      <c r="R196" s="25">
        <f t="shared" si="134"/>
        <v>1050</v>
      </c>
      <c r="S196" s="25">
        <f t="shared" si="134"/>
        <v>967.8</v>
      </c>
      <c r="T196" s="25">
        <f t="shared" si="134"/>
        <v>274.2</v>
      </c>
      <c r="U196" s="25">
        <f t="shared" si="134"/>
        <v>0</v>
      </c>
      <c r="V196" s="25">
        <f t="shared" si="134"/>
        <v>0</v>
      </c>
      <c r="W196" s="25">
        <f t="shared" si="134"/>
        <v>1242</v>
      </c>
      <c r="X196" s="25">
        <f t="shared" si="134"/>
        <v>707.50000000000011</v>
      </c>
      <c r="Y196" s="25">
        <f t="shared" si="134"/>
        <v>457.5</v>
      </c>
      <c r="Z196" s="25">
        <f t="shared" si="134"/>
        <v>0</v>
      </c>
      <c r="AA196" s="25">
        <f t="shared" si="134"/>
        <v>0</v>
      </c>
      <c r="AB196" s="25">
        <f t="shared" si="134"/>
        <v>1165</v>
      </c>
      <c r="AC196" s="25">
        <f t="shared" si="134"/>
        <v>1032.4000000000001</v>
      </c>
      <c r="AD196" s="25">
        <f t="shared" si="134"/>
        <v>357.6</v>
      </c>
      <c r="AE196" s="25">
        <f t="shared" si="134"/>
        <v>0</v>
      </c>
      <c r="AF196" s="25">
        <f t="shared" si="134"/>
        <v>0</v>
      </c>
      <c r="AG196" s="25">
        <f t="shared" si="134"/>
        <v>1390</v>
      </c>
      <c r="AH196" s="25">
        <f t="shared" si="134"/>
        <v>700</v>
      </c>
      <c r="AI196" s="25">
        <f t="shared" si="134"/>
        <v>308</v>
      </c>
      <c r="AJ196" s="25">
        <f t="shared" si="134"/>
        <v>0</v>
      </c>
      <c r="AK196" s="25">
        <f t="shared" si="134"/>
        <v>0</v>
      </c>
      <c r="AL196" s="25">
        <f t="shared" si="134"/>
        <v>1008</v>
      </c>
      <c r="AM196" s="25">
        <f t="shared" si="134"/>
        <v>700</v>
      </c>
      <c r="AN196" s="25">
        <f t="shared" si="134"/>
        <v>314</v>
      </c>
      <c r="AO196" s="25">
        <f t="shared" si="134"/>
        <v>0</v>
      </c>
      <c r="AP196" s="25">
        <f t="shared" si="134"/>
        <v>0</v>
      </c>
      <c r="AQ196" s="25">
        <f t="shared" si="134"/>
        <v>1014</v>
      </c>
      <c r="AR196" s="25">
        <f t="shared" si="134"/>
        <v>720</v>
      </c>
      <c r="AS196" s="25">
        <f t="shared" si="134"/>
        <v>330</v>
      </c>
      <c r="AT196" s="25">
        <f t="shared" si="134"/>
        <v>0</v>
      </c>
      <c r="AU196" s="25">
        <f t="shared" si="134"/>
        <v>0</v>
      </c>
      <c r="AV196" s="25">
        <f t="shared" si="134"/>
        <v>1050</v>
      </c>
      <c r="AW196" s="25">
        <f t="shared" si="134"/>
        <v>910</v>
      </c>
      <c r="AX196" s="25">
        <f t="shared" si="134"/>
        <v>350</v>
      </c>
      <c r="AY196" s="25">
        <f t="shared" si="134"/>
        <v>0</v>
      </c>
      <c r="AZ196" s="25">
        <f t="shared" si="134"/>
        <v>0</v>
      </c>
      <c r="BA196" s="25">
        <f t="shared" si="134"/>
        <v>1260</v>
      </c>
      <c r="BB196" s="25">
        <f t="shared" si="134"/>
        <v>910</v>
      </c>
      <c r="BC196" s="25">
        <f t="shared" si="134"/>
        <v>350</v>
      </c>
      <c r="BD196" s="25">
        <f t="shared" si="134"/>
        <v>0</v>
      </c>
      <c r="BE196" s="25">
        <f t="shared" si="134"/>
        <v>0</v>
      </c>
      <c r="BF196" s="25">
        <f t="shared" si="134"/>
        <v>1260</v>
      </c>
      <c r="BG196" s="25">
        <f t="shared" si="134"/>
        <v>910</v>
      </c>
      <c r="BH196" s="25">
        <f t="shared" si="134"/>
        <v>350</v>
      </c>
      <c r="BI196" s="25">
        <f t="shared" si="134"/>
        <v>0</v>
      </c>
      <c r="BJ196" s="25">
        <f t="shared" si="134"/>
        <v>0</v>
      </c>
      <c r="BK196" s="25">
        <f t="shared" si="134"/>
        <v>1260</v>
      </c>
      <c r="BL196" s="25">
        <f t="shared" si="134"/>
        <v>910</v>
      </c>
      <c r="BM196" s="25">
        <f t="shared" si="134"/>
        <v>350</v>
      </c>
      <c r="BN196" s="25">
        <f t="shared" si="134"/>
        <v>0</v>
      </c>
      <c r="BO196" s="25">
        <f t="shared" si="134"/>
        <v>0</v>
      </c>
      <c r="BP196" s="25">
        <f t="shared" si="134"/>
        <v>1260</v>
      </c>
      <c r="BQ196" s="25">
        <f>SUM(BQ177:BQ195)</f>
        <v>9827.1</v>
      </c>
      <c r="BR196" s="25">
        <f t="shared" si="134"/>
        <v>4256.8999999999996</v>
      </c>
      <c r="BS196" s="25">
        <f t="shared" si="134"/>
        <v>0</v>
      </c>
      <c r="BT196" s="25">
        <f t="shared" si="134"/>
        <v>0</v>
      </c>
      <c r="BU196" s="25">
        <f t="shared" si="134"/>
        <v>14084</v>
      </c>
    </row>
    <row r="197" spans="1:73" s="38" customFormat="1">
      <c r="A197" s="34" t="s">
        <v>352</v>
      </c>
      <c r="B197" s="34" t="s">
        <v>492</v>
      </c>
      <c r="C197" s="43"/>
      <c r="D197" s="43"/>
      <c r="E197" s="43"/>
      <c r="F197" s="43"/>
      <c r="G197" s="43" t="s">
        <v>492</v>
      </c>
      <c r="H197" s="43"/>
      <c r="I197" s="34">
        <f>I196+I176+I160+I140</f>
        <v>2194.8000000000002</v>
      </c>
      <c r="J197" s="34">
        <f t="shared" ref="J197:BU197" si="135">J196+J176+J160+J140</f>
        <v>1195.2</v>
      </c>
      <c r="K197" s="34">
        <f t="shared" si="135"/>
        <v>0</v>
      </c>
      <c r="L197" s="34">
        <f t="shared" si="135"/>
        <v>0</v>
      </c>
      <c r="M197" s="34">
        <f t="shared" si="135"/>
        <v>3390</v>
      </c>
      <c r="N197" s="34">
        <f t="shared" si="135"/>
        <v>2220.3000000000002</v>
      </c>
      <c r="O197" s="34">
        <f t="shared" si="135"/>
        <v>1077.1999999999998</v>
      </c>
      <c r="P197" s="34">
        <f t="shared" si="135"/>
        <v>0</v>
      </c>
      <c r="Q197" s="34">
        <f t="shared" si="135"/>
        <v>0</v>
      </c>
      <c r="R197" s="34">
        <f t="shared" si="135"/>
        <v>3297.5</v>
      </c>
      <c r="S197" s="34">
        <f t="shared" si="135"/>
        <v>2609.1</v>
      </c>
      <c r="T197" s="34">
        <f t="shared" si="135"/>
        <v>991.30000000000007</v>
      </c>
      <c r="U197" s="34">
        <f t="shared" si="135"/>
        <v>0</v>
      </c>
      <c r="V197" s="34">
        <f t="shared" si="135"/>
        <v>0</v>
      </c>
      <c r="W197" s="34">
        <f t="shared" si="135"/>
        <v>3600.4</v>
      </c>
      <c r="X197" s="34">
        <f t="shared" si="135"/>
        <v>2309.5499999999997</v>
      </c>
      <c r="Y197" s="34">
        <f t="shared" si="135"/>
        <v>1282.95</v>
      </c>
      <c r="Z197" s="34">
        <f t="shared" si="135"/>
        <v>0</v>
      </c>
      <c r="AA197" s="34">
        <f t="shared" si="135"/>
        <v>0</v>
      </c>
      <c r="AB197" s="34">
        <f t="shared" si="135"/>
        <v>3592.5</v>
      </c>
      <c r="AC197" s="34">
        <f t="shared" si="135"/>
        <v>2712.85</v>
      </c>
      <c r="AD197" s="34">
        <f t="shared" si="135"/>
        <v>1175.3</v>
      </c>
      <c r="AE197" s="34">
        <f t="shared" si="135"/>
        <v>0</v>
      </c>
      <c r="AF197" s="34">
        <f t="shared" si="135"/>
        <v>0</v>
      </c>
      <c r="AG197" s="34">
        <f t="shared" si="135"/>
        <v>3888.15</v>
      </c>
      <c r="AH197" s="34">
        <f t="shared" si="135"/>
        <v>1740</v>
      </c>
      <c r="AI197" s="34">
        <f t="shared" si="135"/>
        <v>688</v>
      </c>
      <c r="AJ197" s="34">
        <f t="shared" si="135"/>
        <v>0</v>
      </c>
      <c r="AK197" s="34">
        <f t="shared" si="135"/>
        <v>0</v>
      </c>
      <c r="AL197" s="34">
        <f t="shared" si="135"/>
        <v>2428</v>
      </c>
      <c r="AM197" s="34">
        <f t="shared" si="135"/>
        <v>2050</v>
      </c>
      <c r="AN197" s="34">
        <f t="shared" si="135"/>
        <v>788</v>
      </c>
      <c r="AO197" s="34">
        <f t="shared" si="135"/>
        <v>0</v>
      </c>
      <c r="AP197" s="34">
        <f t="shared" si="135"/>
        <v>0</v>
      </c>
      <c r="AQ197" s="34">
        <f t="shared" si="135"/>
        <v>2838</v>
      </c>
      <c r="AR197" s="34">
        <f t="shared" si="135"/>
        <v>2355</v>
      </c>
      <c r="AS197" s="34">
        <f t="shared" si="135"/>
        <v>940</v>
      </c>
      <c r="AT197" s="34">
        <f t="shared" si="135"/>
        <v>0</v>
      </c>
      <c r="AU197" s="34">
        <f t="shared" si="135"/>
        <v>0</v>
      </c>
      <c r="AV197" s="34">
        <f t="shared" si="135"/>
        <v>3295</v>
      </c>
      <c r="AW197" s="34">
        <f t="shared" si="135"/>
        <v>2585</v>
      </c>
      <c r="AX197" s="34">
        <f t="shared" si="135"/>
        <v>987</v>
      </c>
      <c r="AY197" s="34">
        <f t="shared" si="135"/>
        <v>0</v>
      </c>
      <c r="AZ197" s="34">
        <f t="shared" si="135"/>
        <v>0</v>
      </c>
      <c r="BA197" s="34">
        <f t="shared" si="135"/>
        <v>3572</v>
      </c>
      <c r="BB197" s="34">
        <f t="shared" si="135"/>
        <v>2670</v>
      </c>
      <c r="BC197" s="34">
        <f t="shared" si="135"/>
        <v>1005</v>
      </c>
      <c r="BD197" s="34">
        <f t="shared" si="135"/>
        <v>0</v>
      </c>
      <c r="BE197" s="34">
        <f t="shared" si="135"/>
        <v>0</v>
      </c>
      <c r="BF197" s="34">
        <f t="shared" si="135"/>
        <v>3675</v>
      </c>
      <c r="BG197" s="34">
        <f t="shared" si="135"/>
        <v>2775</v>
      </c>
      <c r="BH197" s="34">
        <f t="shared" si="135"/>
        <v>1025</v>
      </c>
      <c r="BI197" s="34">
        <f t="shared" si="135"/>
        <v>0</v>
      </c>
      <c r="BJ197" s="34">
        <f t="shared" si="135"/>
        <v>0</v>
      </c>
      <c r="BK197" s="34">
        <f t="shared" si="135"/>
        <v>3800</v>
      </c>
      <c r="BL197" s="34">
        <f t="shared" si="135"/>
        <v>2825</v>
      </c>
      <c r="BM197" s="34">
        <f t="shared" si="135"/>
        <v>1017</v>
      </c>
      <c r="BN197" s="34">
        <f t="shared" si="135"/>
        <v>0</v>
      </c>
      <c r="BO197" s="34">
        <f t="shared" si="135"/>
        <v>0</v>
      </c>
      <c r="BP197" s="34">
        <f t="shared" si="135"/>
        <v>3842</v>
      </c>
      <c r="BQ197" s="34">
        <f t="shared" si="135"/>
        <v>29046.6</v>
      </c>
      <c r="BR197" s="34">
        <f t="shared" si="135"/>
        <v>12171.949999999999</v>
      </c>
      <c r="BS197" s="34">
        <f t="shared" si="135"/>
        <v>0</v>
      </c>
      <c r="BT197" s="34">
        <f t="shared" si="135"/>
        <v>0</v>
      </c>
      <c r="BU197" s="34">
        <f t="shared" si="135"/>
        <v>41218.549999999996</v>
      </c>
    </row>
    <row r="198" spans="1:73" s="46" customFormat="1" hidden="1" outlineLevel="1">
      <c r="A198" s="16" t="s">
        <v>493</v>
      </c>
      <c r="B198" s="17" t="s">
        <v>494</v>
      </c>
      <c r="C198" s="17" t="s">
        <v>495</v>
      </c>
      <c r="D198" s="17" t="s">
        <v>496</v>
      </c>
      <c r="E198" s="31" t="s">
        <v>497</v>
      </c>
      <c r="F198" s="18" t="s">
        <v>498</v>
      </c>
      <c r="G198" s="17" t="s">
        <v>499</v>
      </c>
      <c r="H198" s="17" t="s">
        <v>357</v>
      </c>
      <c r="I198" s="17">
        <f>+'[1]Sell in ko tính KDT'!I197</f>
        <v>18.196818164282028</v>
      </c>
      <c r="J198" s="17">
        <f>+'[1]Sell in ko tính KDT'!J197</f>
        <v>22.515071780533901</v>
      </c>
      <c r="K198" s="17">
        <f>+'[1]Sell in ko tính KDT'!K197</f>
        <v>0</v>
      </c>
      <c r="L198" s="17">
        <v>0</v>
      </c>
      <c r="M198" s="17">
        <f t="shared" ref="M198:M227" si="136">I198+J198+L198+K198</f>
        <v>40.71188994481593</v>
      </c>
      <c r="N198" s="17">
        <f>+'[1]Sell in ko tính KDT'!M197</f>
        <v>24.275481563604146</v>
      </c>
      <c r="O198" s="17">
        <f>+'[1]Sell in ko tính KDT'!N197</f>
        <v>18.515072</v>
      </c>
      <c r="P198" s="17">
        <f>+'[1]Sell in ko tính KDT'!O197</f>
        <v>0</v>
      </c>
      <c r="Q198" s="17">
        <v>0</v>
      </c>
      <c r="R198" s="17">
        <f t="shared" ref="R198:R227" si="137">N198+O198+Q198+P198</f>
        <v>42.790553563604149</v>
      </c>
      <c r="S198" s="17">
        <f>+'[1]Sell in ko tính KDT'!Q197</f>
        <v>22.196908164282018</v>
      </c>
      <c r="T198" s="17">
        <f>+'[1]Sell in ko tính KDT'!R197</f>
        <v>18.849871780533917</v>
      </c>
      <c r="U198" s="17">
        <f>+'[1]Sell in ko tính KDT'!S197</f>
        <v>0</v>
      </c>
      <c r="V198" s="17">
        <v>0</v>
      </c>
      <c r="W198" s="17">
        <f t="shared" ref="W198:W227" si="138">S198+T198+V198+U198</f>
        <v>41.046779944815938</v>
      </c>
      <c r="X198" s="17">
        <f>+'[1]Sell in ko tính KDT'!U197</f>
        <v>21.196818164282025</v>
      </c>
      <c r="Y198" s="17">
        <f>+'[1]Sell in ko tính KDT'!V197</f>
        <v>19.515071780533916</v>
      </c>
      <c r="Z198" s="17">
        <f>+'[1]Sell in ko tính KDT'!W197</f>
        <v>0</v>
      </c>
      <c r="AA198" s="17">
        <v>0</v>
      </c>
      <c r="AB198" s="17">
        <f t="shared" ref="AB198:AB227" si="139">X198+Y198+AA198+Z198</f>
        <v>40.711889944815937</v>
      </c>
      <c r="AC198" s="17">
        <f>+'[1]Sell in ko tính KDT'!Y197</f>
        <v>21.256818164282027</v>
      </c>
      <c r="AD198" s="17">
        <f>+'[1]Sell in ko tính KDT'!Z197</f>
        <v>18.515071780533908</v>
      </c>
      <c r="AE198" s="17">
        <f>+'[1]Sell in ko tính KDT'!AA197</f>
        <v>0</v>
      </c>
      <c r="AF198" s="17">
        <v>0</v>
      </c>
      <c r="AG198" s="17">
        <f t="shared" ref="AG198:AG227" si="140">AC198+AD198+AF198+AE198</f>
        <v>39.771889944815939</v>
      </c>
      <c r="AH198" s="17">
        <f>+'[1]Sell in ko tính KDT'!AC197</f>
        <v>22</v>
      </c>
      <c r="AI198" s="17">
        <f>+'[1]Sell in ko tính KDT'!AD197</f>
        <v>18</v>
      </c>
      <c r="AJ198" s="17">
        <f>+'[1]Sell in ko tính KDT'!AE197</f>
        <v>0</v>
      </c>
      <c r="AK198" s="17">
        <v>0</v>
      </c>
      <c r="AL198" s="17">
        <f t="shared" ref="AL198:AL227" si="141">AH198+AI198+AK198+AJ198</f>
        <v>40</v>
      </c>
      <c r="AM198" s="17">
        <f>+'[1]Sell in ko tính KDT'!AG197</f>
        <v>22</v>
      </c>
      <c r="AN198" s="17">
        <f>+'[1]Sell in ko tính KDT'!AH197</f>
        <v>18</v>
      </c>
      <c r="AO198" s="17">
        <f>+'[1]Sell in ko tính KDT'!AI197</f>
        <v>0</v>
      </c>
      <c r="AP198" s="17">
        <v>0</v>
      </c>
      <c r="AQ198" s="17">
        <f t="shared" ref="AQ198:AQ227" si="142">AM198+AN198+AP198+AO198</f>
        <v>40</v>
      </c>
      <c r="AR198" s="17">
        <f>+'[1]Sell in ko tính KDT'!AK197</f>
        <v>22</v>
      </c>
      <c r="AS198" s="17">
        <f>+'[1]Sell in ko tính KDT'!AL197</f>
        <v>18</v>
      </c>
      <c r="AT198" s="17">
        <f>+'[1]Sell in ko tính KDT'!AM197</f>
        <v>0</v>
      </c>
      <c r="AU198" s="17">
        <v>0</v>
      </c>
      <c r="AV198" s="17">
        <f t="shared" ref="AV198:AV227" si="143">AR198+AS198+AU198+AT198</f>
        <v>40</v>
      </c>
      <c r="AW198" s="17">
        <f>+'[1]Sell in ko tính KDT'!AO197</f>
        <v>22</v>
      </c>
      <c r="AX198" s="17">
        <f>+'[1]Sell in ko tính KDT'!AP197</f>
        <v>18</v>
      </c>
      <c r="AY198" s="17">
        <f>+'[1]Sell in ko tính KDT'!AQ197</f>
        <v>0</v>
      </c>
      <c r="AZ198" s="17">
        <v>0</v>
      </c>
      <c r="BA198" s="17">
        <f t="shared" ref="BA198:BA227" si="144">AW198+AX198+AZ198+AY198</f>
        <v>40</v>
      </c>
      <c r="BB198" s="17">
        <f>+'[1]Sell in ko tính KDT'!AS197</f>
        <v>22</v>
      </c>
      <c r="BC198" s="17">
        <f>+'[1]Sell in ko tính KDT'!AT197</f>
        <v>18</v>
      </c>
      <c r="BD198" s="17">
        <f>+'[1]Sell in ko tính KDT'!AU197</f>
        <v>0</v>
      </c>
      <c r="BE198" s="17">
        <v>0</v>
      </c>
      <c r="BF198" s="17">
        <f t="shared" ref="BF198:BF227" si="145">BB198+BC198+BE198+BD198</f>
        <v>40</v>
      </c>
      <c r="BG198" s="17">
        <f>+'[1]Sell in ko tính KDT'!AW197</f>
        <v>22</v>
      </c>
      <c r="BH198" s="17">
        <f>+'[1]Sell in ko tính KDT'!AX197</f>
        <v>18</v>
      </c>
      <c r="BI198" s="17">
        <f>+'[1]Sell in ko tính KDT'!AY197</f>
        <v>0</v>
      </c>
      <c r="BJ198" s="17">
        <v>0</v>
      </c>
      <c r="BK198" s="17">
        <f t="shared" ref="BK198:BK227" si="146">BG198+BH198+BJ198+BI198</f>
        <v>40</v>
      </c>
      <c r="BL198" s="17">
        <f>+'[1]Sell in ko tính KDT'!BA197</f>
        <v>22</v>
      </c>
      <c r="BM198" s="17">
        <f>+'[1]Sell in ko tính KDT'!BB197</f>
        <v>18</v>
      </c>
      <c r="BN198" s="17">
        <f>+'[1]Sell in ko tính KDT'!BC197</f>
        <v>0</v>
      </c>
      <c r="BO198" s="17">
        <v>0</v>
      </c>
      <c r="BP198" s="17">
        <f t="shared" ref="BP198:BP227" si="147">BL198+BM198+BO198+BN198</f>
        <v>40</v>
      </c>
      <c r="BQ198" s="17">
        <f t="shared" ref="BQ198:BT218" si="148">BL198+BG198+BB198+AW198+AR198+AM198+AH198+AC198+X198+S198+N198+I198</f>
        <v>261.12284422073225</v>
      </c>
      <c r="BR198" s="17">
        <f t="shared" si="148"/>
        <v>223.91015912213564</v>
      </c>
      <c r="BS198" s="17">
        <f t="shared" si="148"/>
        <v>0</v>
      </c>
      <c r="BT198" s="17">
        <f t="shared" si="148"/>
        <v>0</v>
      </c>
      <c r="BU198" s="17">
        <f t="shared" ref="BU198:BU227" si="149">BQ198+BR198+BT198+BS198</f>
        <v>485.03300334286791</v>
      </c>
    </row>
    <row r="199" spans="1:73" s="46" customFormat="1" hidden="1" outlineLevel="1">
      <c r="A199" s="16" t="s">
        <v>493</v>
      </c>
      <c r="B199" s="17" t="s">
        <v>494</v>
      </c>
      <c r="C199" s="17" t="s">
        <v>495</v>
      </c>
      <c r="D199" s="17" t="s">
        <v>496</v>
      </c>
      <c r="E199" s="31" t="s">
        <v>497</v>
      </c>
      <c r="F199" s="18" t="s">
        <v>500</v>
      </c>
      <c r="G199" s="17" t="s">
        <v>501</v>
      </c>
      <c r="H199" s="17" t="s">
        <v>357</v>
      </c>
      <c r="I199" s="17">
        <f>+'[1]Sell in ko tính KDT'!I198</f>
        <v>38.369564507351917</v>
      </c>
      <c r="J199" s="17">
        <f>+'[1]Sell in ko tính KDT'!J198</f>
        <v>2</v>
      </c>
      <c r="K199" s="17">
        <f>+'[1]Sell in ko tính KDT'!K198</f>
        <v>0</v>
      </c>
      <c r="L199" s="17">
        <v>0</v>
      </c>
      <c r="M199" s="17">
        <f t="shared" si="136"/>
        <v>40.369564507351917</v>
      </c>
      <c r="N199" s="17">
        <f>+'[1]Sell in ko tính KDT'!M198</f>
        <v>36.869564507351917</v>
      </c>
      <c r="O199" s="17">
        <f>+'[1]Sell in ko tính KDT'!N198</f>
        <v>3.5</v>
      </c>
      <c r="P199" s="17">
        <f>+'[1]Sell in ko tính KDT'!O198</f>
        <v>0</v>
      </c>
      <c r="Q199" s="17">
        <v>0</v>
      </c>
      <c r="R199" s="66">
        <f t="shared" si="137"/>
        <v>40.369564507351917</v>
      </c>
      <c r="S199" s="17">
        <f>+'[1]Sell in ko tính KDT'!Q198</f>
        <v>40.369564507351917</v>
      </c>
      <c r="T199" s="17">
        <f>+'[1]Sell in ko tính KDT'!R198</f>
        <v>0</v>
      </c>
      <c r="U199" s="17">
        <f>+'[1]Sell in ko tính KDT'!S198</f>
        <v>0</v>
      </c>
      <c r="V199" s="17">
        <v>0</v>
      </c>
      <c r="W199" s="17">
        <f t="shared" si="138"/>
        <v>40.369564507351917</v>
      </c>
      <c r="X199" s="17">
        <f>+'[1]Sell in ko tính KDT'!U198</f>
        <v>40.369564507351917</v>
      </c>
      <c r="Y199" s="17">
        <f>+'[1]Sell in ko tính KDT'!V198</f>
        <v>0</v>
      </c>
      <c r="Z199" s="17">
        <f>+'[1]Sell in ko tính KDT'!W198</f>
        <v>0</v>
      </c>
      <c r="AA199" s="17">
        <v>0</v>
      </c>
      <c r="AB199" s="17">
        <f t="shared" si="139"/>
        <v>40.369564507351917</v>
      </c>
      <c r="AC199" s="17">
        <f>+'[1]Sell in ko tính KDT'!Y198</f>
        <v>40.369564507351917</v>
      </c>
      <c r="AD199" s="17">
        <f>+'[1]Sell in ko tính KDT'!Z198</f>
        <v>0</v>
      </c>
      <c r="AE199" s="17">
        <f>+'[1]Sell in ko tính KDT'!AA198</f>
        <v>0</v>
      </c>
      <c r="AF199" s="17">
        <v>0</v>
      </c>
      <c r="AG199" s="17">
        <f t="shared" si="140"/>
        <v>40.369564507351917</v>
      </c>
      <c r="AH199" s="17">
        <f>+'[1]Sell in ko tính KDT'!AC198</f>
        <v>22</v>
      </c>
      <c r="AI199" s="17">
        <f>+'[1]Sell in ko tính KDT'!AD198</f>
        <v>18</v>
      </c>
      <c r="AJ199" s="17">
        <f>+'[1]Sell in ko tính KDT'!AE198</f>
        <v>0</v>
      </c>
      <c r="AK199" s="17">
        <v>0</v>
      </c>
      <c r="AL199" s="17">
        <f t="shared" si="141"/>
        <v>40</v>
      </c>
      <c r="AM199" s="17">
        <f>+'[1]Sell in ko tính KDT'!AG198</f>
        <v>22</v>
      </c>
      <c r="AN199" s="17">
        <f>+'[1]Sell in ko tính KDT'!AH198</f>
        <v>18</v>
      </c>
      <c r="AO199" s="17">
        <f>+'[1]Sell in ko tính KDT'!AI198</f>
        <v>0</v>
      </c>
      <c r="AP199" s="17">
        <v>0</v>
      </c>
      <c r="AQ199" s="17">
        <f t="shared" si="142"/>
        <v>40</v>
      </c>
      <c r="AR199" s="17">
        <f>+'[1]Sell in ko tính KDT'!AK198</f>
        <v>22</v>
      </c>
      <c r="AS199" s="17">
        <f>+'[1]Sell in ko tính KDT'!AL198</f>
        <v>18</v>
      </c>
      <c r="AT199" s="17">
        <f>+'[1]Sell in ko tính KDT'!AM198</f>
        <v>0</v>
      </c>
      <c r="AU199" s="17">
        <v>0</v>
      </c>
      <c r="AV199" s="17">
        <f t="shared" si="143"/>
        <v>40</v>
      </c>
      <c r="AW199" s="17">
        <f>+'[1]Sell in ko tính KDT'!AO198</f>
        <v>22</v>
      </c>
      <c r="AX199" s="17">
        <f>+'[1]Sell in ko tính KDT'!AP198</f>
        <v>18</v>
      </c>
      <c r="AY199" s="17">
        <f>+'[1]Sell in ko tính KDT'!AQ198</f>
        <v>0</v>
      </c>
      <c r="AZ199" s="17">
        <v>0</v>
      </c>
      <c r="BA199" s="17">
        <f t="shared" si="144"/>
        <v>40</v>
      </c>
      <c r="BB199" s="17">
        <f>+'[1]Sell in ko tính KDT'!AS198</f>
        <v>22</v>
      </c>
      <c r="BC199" s="17">
        <f>+'[1]Sell in ko tính KDT'!AT198</f>
        <v>18</v>
      </c>
      <c r="BD199" s="17">
        <f>+'[1]Sell in ko tính KDT'!AU198</f>
        <v>0</v>
      </c>
      <c r="BE199" s="17">
        <v>0</v>
      </c>
      <c r="BF199" s="17">
        <f t="shared" si="145"/>
        <v>40</v>
      </c>
      <c r="BG199" s="17">
        <f>+'[1]Sell in ko tính KDT'!AW198</f>
        <v>22</v>
      </c>
      <c r="BH199" s="17">
        <f>+'[1]Sell in ko tính KDT'!AX198</f>
        <v>18</v>
      </c>
      <c r="BI199" s="17">
        <f>+'[1]Sell in ko tính KDT'!AY198</f>
        <v>0</v>
      </c>
      <c r="BJ199" s="17">
        <v>0</v>
      </c>
      <c r="BK199" s="17">
        <f t="shared" si="146"/>
        <v>40</v>
      </c>
      <c r="BL199" s="17">
        <f>+'[1]Sell in ko tính KDT'!BA198</f>
        <v>22</v>
      </c>
      <c r="BM199" s="17">
        <f>+'[1]Sell in ko tính KDT'!BB198</f>
        <v>18</v>
      </c>
      <c r="BN199" s="17">
        <f>+'[1]Sell in ko tính KDT'!BC198</f>
        <v>0</v>
      </c>
      <c r="BO199" s="17">
        <v>0</v>
      </c>
      <c r="BP199" s="17">
        <f t="shared" si="147"/>
        <v>40</v>
      </c>
      <c r="BQ199" s="17">
        <f t="shared" si="148"/>
        <v>350.34782253675962</v>
      </c>
      <c r="BR199" s="17">
        <f t="shared" si="148"/>
        <v>131.5</v>
      </c>
      <c r="BS199" s="17">
        <f t="shared" si="148"/>
        <v>0</v>
      </c>
      <c r="BT199" s="17">
        <f t="shared" si="148"/>
        <v>0</v>
      </c>
      <c r="BU199" s="17">
        <f t="shared" si="149"/>
        <v>481.84782253675962</v>
      </c>
    </row>
    <row r="200" spans="1:73" s="46" customFormat="1" hidden="1" outlineLevel="1">
      <c r="A200" s="16" t="s">
        <v>493</v>
      </c>
      <c r="B200" s="17" t="s">
        <v>494</v>
      </c>
      <c r="C200" s="17" t="s">
        <v>495</v>
      </c>
      <c r="D200" s="17" t="s">
        <v>496</v>
      </c>
      <c r="E200" s="31" t="s">
        <v>497</v>
      </c>
      <c r="F200" s="18" t="s">
        <v>502</v>
      </c>
      <c r="G200" s="17" t="s">
        <v>503</v>
      </c>
      <c r="H200" s="17" t="s">
        <v>357</v>
      </c>
      <c r="I200" s="17">
        <f>+'[1]Sell in ko tính KDT'!I199</f>
        <v>31.322653294796961</v>
      </c>
      <c r="J200" s="17">
        <f>+'[1]Sell in ko tính KDT'!J199</f>
        <v>9.8910744122344312</v>
      </c>
      <c r="K200" s="17">
        <f>+'[1]Sell in ko tính KDT'!K199</f>
        <v>0</v>
      </c>
      <c r="L200" s="17">
        <v>0</v>
      </c>
      <c r="M200" s="17">
        <f t="shared" si="136"/>
        <v>41.213727707031396</v>
      </c>
      <c r="N200" s="17">
        <f>+'[1]Sell in ko tính KDT'!M199</f>
        <v>31.322653294796961</v>
      </c>
      <c r="O200" s="17">
        <f>+'[1]Sell in ko tính KDT'!N199</f>
        <v>9.8910744122344294</v>
      </c>
      <c r="P200" s="17">
        <f>+'[1]Sell in ko tính KDT'!O199</f>
        <v>0</v>
      </c>
      <c r="Q200" s="17">
        <v>0</v>
      </c>
      <c r="R200" s="17">
        <f t="shared" si="137"/>
        <v>41.213727707031389</v>
      </c>
      <c r="S200" s="17">
        <f>+'[1]Sell in ko tính KDT'!Q199</f>
        <v>31.322653294796961</v>
      </c>
      <c r="T200" s="17">
        <f>+'[1]Sell in ko tính KDT'!R199</f>
        <v>9.8910744122344312</v>
      </c>
      <c r="U200" s="17">
        <f>+'[1]Sell in ko tính KDT'!S199</f>
        <v>0</v>
      </c>
      <c r="V200" s="17">
        <v>0</v>
      </c>
      <c r="W200" s="17">
        <f t="shared" si="138"/>
        <v>41.213727707031396</v>
      </c>
      <c r="X200" s="17">
        <f>+'[1]Sell in ko tính KDT'!U199</f>
        <v>42.322653294796993</v>
      </c>
      <c r="Y200" s="17">
        <f>+'[1]Sell in ko tính KDT'!V199</f>
        <v>14.891074412234429</v>
      </c>
      <c r="Z200" s="17">
        <f>+'[1]Sell in ko tính KDT'!W199</f>
        <v>0</v>
      </c>
      <c r="AA200" s="17">
        <v>0</v>
      </c>
      <c r="AB200" s="17">
        <f t="shared" si="139"/>
        <v>57.213727707031424</v>
      </c>
      <c r="AC200" s="17">
        <f>+'[1]Sell in ko tính KDT'!Y199</f>
        <v>66.322653294796993</v>
      </c>
      <c r="AD200" s="17">
        <f>+'[1]Sell in ko tính KDT'!Z199</f>
        <v>9.8910744122344312</v>
      </c>
      <c r="AE200" s="17">
        <f>+'[1]Sell in ko tính KDT'!AA199</f>
        <v>0</v>
      </c>
      <c r="AF200" s="17">
        <v>0</v>
      </c>
      <c r="AG200" s="17">
        <f t="shared" si="140"/>
        <v>76.213727707031424</v>
      </c>
      <c r="AH200" s="17">
        <f>+'[1]Sell in ko tính KDT'!AC199</f>
        <v>22</v>
      </c>
      <c r="AI200" s="17">
        <f>+'[1]Sell in ko tính KDT'!AD199</f>
        <v>18</v>
      </c>
      <c r="AJ200" s="17">
        <f>+'[1]Sell in ko tính KDT'!AE199</f>
        <v>0</v>
      </c>
      <c r="AK200" s="17">
        <v>0</v>
      </c>
      <c r="AL200" s="17">
        <f t="shared" si="141"/>
        <v>40</v>
      </c>
      <c r="AM200" s="17">
        <f>+'[1]Sell in ko tính KDT'!AG199</f>
        <v>22</v>
      </c>
      <c r="AN200" s="17">
        <f>+'[1]Sell in ko tính KDT'!AH199</f>
        <v>18</v>
      </c>
      <c r="AO200" s="17">
        <f>+'[1]Sell in ko tính KDT'!AI199</f>
        <v>0</v>
      </c>
      <c r="AP200" s="17">
        <v>0</v>
      </c>
      <c r="AQ200" s="17">
        <f t="shared" si="142"/>
        <v>40</v>
      </c>
      <c r="AR200" s="17">
        <f>+'[1]Sell in ko tính KDT'!AK199</f>
        <v>22</v>
      </c>
      <c r="AS200" s="17">
        <f>+'[1]Sell in ko tính KDT'!AL199</f>
        <v>18</v>
      </c>
      <c r="AT200" s="17">
        <f>+'[1]Sell in ko tính KDT'!AM199</f>
        <v>0</v>
      </c>
      <c r="AU200" s="17">
        <v>0</v>
      </c>
      <c r="AV200" s="17">
        <f t="shared" si="143"/>
        <v>40</v>
      </c>
      <c r="AW200" s="17">
        <f>+'[1]Sell in ko tính KDT'!AO199</f>
        <v>22</v>
      </c>
      <c r="AX200" s="17">
        <f>+'[1]Sell in ko tính KDT'!AP199</f>
        <v>18</v>
      </c>
      <c r="AY200" s="17">
        <f>+'[1]Sell in ko tính KDT'!AQ199</f>
        <v>0</v>
      </c>
      <c r="AZ200" s="17">
        <v>0</v>
      </c>
      <c r="BA200" s="17">
        <f t="shared" si="144"/>
        <v>40</v>
      </c>
      <c r="BB200" s="17">
        <f>+'[1]Sell in ko tính KDT'!AS199</f>
        <v>22</v>
      </c>
      <c r="BC200" s="17">
        <f>+'[1]Sell in ko tính KDT'!AT199</f>
        <v>18</v>
      </c>
      <c r="BD200" s="17">
        <f>+'[1]Sell in ko tính KDT'!AU199</f>
        <v>0</v>
      </c>
      <c r="BE200" s="17">
        <v>0</v>
      </c>
      <c r="BF200" s="17">
        <f t="shared" si="145"/>
        <v>40</v>
      </c>
      <c r="BG200" s="17">
        <f>+'[1]Sell in ko tính KDT'!AW199</f>
        <v>22</v>
      </c>
      <c r="BH200" s="17">
        <f>+'[1]Sell in ko tính KDT'!AX199</f>
        <v>18</v>
      </c>
      <c r="BI200" s="17">
        <f>+'[1]Sell in ko tính KDT'!AY199</f>
        <v>0</v>
      </c>
      <c r="BJ200" s="17">
        <v>0</v>
      </c>
      <c r="BK200" s="17">
        <f t="shared" si="146"/>
        <v>40</v>
      </c>
      <c r="BL200" s="17">
        <f>+'[1]Sell in ko tính KDT'!BA199</f>
        <v>22</v>
      </c>
      <c r="BM200" s="17">
        <f>+'[1]Sell in ko tính KDT'!BB199</f>
        <v>18</v>
      </c>
      <c r="BN200" s="17">
        <f>+'[1]Sell in ko tính KDT'!BC199</f>
        <v>0</v>
      </c>
      <c r="BO200" s="17">
        <v>0</v>
      </c>
      <c r="BP200" s="17">
        <f t="shared" si="147"/>
        <v>40</v>
      </c>
      <c r="BQ200" s="17">
        <f t="shared" si="148"/>
        <v>356.61326647398488</v>
      </c>
      <c r="BR200" s="17">
        <f t="shared" si="148"/>
        <v>180.45537206117211</v>
      </c>
      <c r="BS200" s="17">
        <f t="shared" si="148"/>
        <v>0</v>
      </c>
      <c r="BT200" s="17">
        <f t="shared" si="148"/>
        <v>0</v>
      </c>
      <c r="BU200" s="17">
        <f t="shared" si="149"/>
        <v>537.06863853515699</v>
      </c>
    </row>
    <row r="201" spans="1:73" s="46" customFormat="1" hidden="1" outlineLevel="1">
      <c r="A201" s="16" t="s">
        <v>493</v>
      </c>
      <c r="B201" s="17" t="s">
        <v>494</v>
      </c>
      <c r="C201" s="17" t="s">
        <v>495</v>
      </c>
      <c r="D201" s="17" t="s">
        <v>496</v>
      </c>
      <c r="E201" s="17"/>
      <c r="F201" s="18" t="s">
        <v>504</v>
      </c>
      <c r="G201" s="17" t="s">
        <v>505</v>
      </c>
      <c r="H201" s="17" t="s">
        <v>39</v>
      </c>
      <c r="I201" s="17">
        <f>+'[1]Sell in ko tính KDT'!I200</f>
        <v>2.1955939258525103</v>
      </c>
      <c r="J201" s="17">
        <f>+'[1]Sell in ko tính KDT'!J200</f>
        <v>67</v>
      </c>
      <c r="K201" s="17">
        <f>+'[1]Sell in ko tính KDT'!K200</f>
        <v>0</v>
      </c>
      <c r="L201" s="17">
        <v>0</v>
      </c>
      <c r="M201" s="17">
        <f t="shared" si="136"/>
        <v>69.195593925852506</v>
      </c>
      <c r="N201" s="17">
        <f>+'[1]Sell in ko tính KDT'!M200</f>
        <v>2.1955939258525103</v>
      </c>
      <c r="O201" s="17">
        <f>+'[1]Sell in ko tính KDT'!N200</f>
        <v>73.5</v>
      </c>
      <c r="P201" s="17">
        <f>+'[1]Sell in ko tính KDT'!O200</f>
        <v>0</v>
      </c>
      <c r="Q201" s="17">
        <v>0</v>
      </c>
      <c r="R201" s="67">
        <f t="shared" si="137"/>
        <v>75.695593925852506</v>
      </c>
      <c r="S201" s="17">
        <f>+'[1]Sell in ko tính KDT'!Q200</f>
        <v>0.89559392585251019</v>
      </c>
      <c r="T201" s="17">
        <f>+'[1]Sell in ko tính KDT'!R200</f>
        <v>79</v>
      </c>
      <c r="U201" s="17">
        <f>+'[1]Sell in ko tính KDT'!S200</f>
        <v>0</v>
      </c>
      <c r="V201" s="17">
        <v>0</v>
      </c>
      <c r="W201" s="17">
        <f t="shared" si="138"/>
        <v>79.895593925852509</v>
      </c>
      <c r="X201" s="17">
        <f>+'[1]Sell in ko tính KDT'!U200</f>
        <v>2.1955939258525103</v>
      </c>
      <c r="Y201" s="17">
        <f>+'[1]Sell in ko tính KDT'!V200</f>
        <v>75</v>
      </c>
      <c r="Z201" s="17">
        <f>+'[1]Sell in ko tính KDT'!W200</f>
        <v>0</v>
      </c>
      <c r="AA201" s="17">
        <v>0</v>
      </c>
      <c r="AB201" s="17">
        <f t="shared" si="139"/>
        <v>77.195593925852506</v>
      </c>
      <c r="AC201" s="17">
        <f>+'[1]Sell in ko tính KDT'!Y200</f>
        <v>2.1955939258525103</v>
      </c>
      <c r="AD201" s="17">
        <f>+'[1]Sell in ko tính KDT'!Z200</f>
        <v>79</v>
      </c>
      <c r="AE201" s="17">
        <f>+'[1]Sell in ko tính KDT'!AA200</f>
        <v>0</v>
      </c>
      <c r="AF201" s="17">
        <v>0</v>
      </c>
      <c r="AG201" s="17">
        <f t="shared" si="140"/>
        <v>81.195593925852506</v>
      </c>
      <c r="AH201" s="17">
        <f>+'[1]Sell in ko tính KDT'!AC200</f>
        <v>0</v>
      </c>
      <c r="AI201" s="17">
        <f>+'[1]Sell in ko tính KDT'!AD200</f>
        <v>0</v>
      </c>
      <c r="AJ201" s="17">
        <f>+'[1]Sell in ko tính KDT'!AE200</f>
        <v>0</v>
      </c>
      <c r="AK201" s="17">
        <v>0</v>
      </c>
      <c r="AL201" s="17">
        <f t="shared" si="141"/>
        <v>0</v>
      </c>
      <c r="AM201" s="17">
        <f>+'[1]Sell in ko tính KDT'!AG200</f>
        <v>0</v>
      </c>
      <c r="AN201" s="17">
        <f>+'[1]Sell in ko tính KDT'!AH200</f>
        <v>0</v>
      </c>
      <c r="AO201" s="17">
        <f>+'[1]Sell in ko tính KDT'!AI200</f>
        <v>0</v>
      </c>
      <c r="AP201" s="17">
        <v>0</v>
      </c>
      <c r="AQ201" s="17">
        <f t="shared" si="142"/>
        <v>0</v>
      </c>
      <c r="AR201" s="17">
        <f>+'[1]Sell in ko tính KDT'!AK200</f>
        <v>0</v>
      </c>
      <c r="AS201" s="17">
        <f>+'[1]Sell in ko tính KDT'!AL200</f>
        <v>0</v>
      </c>
      <c r="AT201" s="17">
        <f>+'[1]Sell in ko tính KDT'!AM200</f>
        <v>0</v>
      </c>
      <c r="AU201" s="17">
        <v>0</v>
      </c>
      <c r="AV201" s="17">
        <f t="shared" si="143"/>
        <v>0</v>
      </c>
      <c r="AW201" s="17">
        <f>+'[1]Sell in ko tính KDT'!AO200</f>
        <v>0</v>
      </c>
      <c r="AX201" s="17">
        <f>+'[1]Sell in ko tính KDT'!AP200</f>
        <v>0</v>
      </c>
      <c r="AY201" s="17">
        <f>+'[1]Sell in ko tính KDT'!AQ200</f>
        <v>0</v>
      </c>
      <c r="AZ201" s="17">
        <v>0</v>
      </c>
      <c r="BA201" s="17">
        <f t="shared" si="144"/>
        <v>0</v>
      </c>
      <c r="BB201" s="17">
        <f>+'[1]Sell in ko tính KDT'!AS200</f>
        <v>0</v>
      </c>
      <c r="BC201" s="17">
        <f>+'[1]Sell in ko tính KDT'!AT200</f>
        <v>0</v>
      </c>
      <c r="BD201" s="17">
        <f>+'[1]Sell in ko tính KDT'!AU200</f>
        <v>0</v>
      </c>
      <c r="BE201" s="17">
        <v>0</v>
      </c>
      <c r="BF201" s="17">
        <f t="shared" si="145"/>
        <v>0</v>
      </c>
      <c r="BG201" s="17">
        <f>+'[1]Sell in ko tính KDT'!AW200</f>
        <v>0</v>
      </c>
      <c r="BH201" s="17">
        <f>+'[1]Sell in ko tính KDT'!AX200</f>
        <v>0</v>
      </c>
      <c r="BI201" s="17">
        <f>+'[1]Sell in ko tính KDT'!AY200</f>
        <v>0</v>
      </c>
      <c r="BJ201" s="17">
        <v>0</v>
      </c>
      <c r="BK201" s="17">
        <f t="shared" si="146"/>
        <v>0</v>
      </c>
      <c r="BL201" s="17">
        <f>+'[1]Sell in ko tính KDT'!BA200</f>
        <v>0</v>
      </c>
      <c r="BM201" s="17">
        <f>+'[1]Sell in ko tính KDT'!BB200</f>
        <v>0</v>
      </c>
      <c r="BN201" s="17">
        <f>+'[1]Sell in ko tính KDT'!BC200</f>
        <v>0</v>
      </c>
      <c r="BO201" s="17">
        <v>0</v>
      </c>
      <c r="BP201" s="17">
        <f t="shared" si="147"/>
        <v>0</v>
      </c>
      <c r="BQ201" s="17">
        <f>BL201+BG201+BB201+AW201+AR201+AM201+AH201+AC201+X201+S201+N201+I201</f>
        <v>9.6779696292625506</v>
      </c>
      <c r="BR201" s="17">
        <f t="shared" si="148"/>
        <v>373.5</v>
      </c>
      <c r="BS201" s="17">
        <f t="shared" si="148"/>
        <v>0</v>
      </c>
      <c r="BT201" s="17">
        <f t="shared" si="148"/>
        <v>0</v>
      </c>
      <c r="BU201" s="17">
        <f t="shared" si="149"/>
        <v>383.17796962926258</v>
      </c>
    </row>
    <row r="202" spans="1:73" s="46" customFormat="1" hidden="1" outlineLevel="1">
      <c r="A202" s="16" t="s">
        <v>493</v>
      </c>
      <c r="B202" s="17" t="s">
        <v>494</v>
      </c>
      <c r="C202" s="17" t="s">
        <v>495</v>
      </c>
      <c r="D202" s="17" t="s">
        <v>496</v>
      </c>
      <c r="E202" s="17"/>
      <c r="F202" s="18" t="s">
        <v>506</v>
      </c>
      <c r="G202" s="17" t="s">
        <v>507</v>
      </c>
      <c r="H202" s="17" t="s">
        <v>508</v>
      </c>
      <c r="I202" s="17">
        <f>+'[1]Sell in ko tính KDT'!I201</f>
        <v>12.627000000000001</v>
      </c>
      <c r="J202" s="17">
        <f>+'[1]Sell in ko tính KDT'!J201</f>
        <v>26.125</v>
      </c>
      <c r="K202" s="17">
        <f>+'[1]Sell in ko tính KDT'!K201</f>
        <v>0.81799999999999995</v>
      </c>
      <c r="L202" s="17">
        <v>0</v>
      </c>
      <c r="M202" s="17">
        <f t="shared" si="136"/>
        <v>39.57</v>
      </c>
      <c r="N202" s="17">
        <f>+'[1]Sell in ko tính KDT'!M201</f>
        <v>12.627000000000001</v>
      </c>
      <c r="O202" s="17">
        <f>+'[1]Sell in ko tính KDT'!N201</f>
        <v>26.125</v>
      </c>
      <c r="P202" s="17">
        <f>+'[1]Sell in ko tính KDT'!O201</f>
        <v>1.089377</v>
      </c>
      <c r="Q202" s="17">
        <v>0</v>
      </c>
      <c r="R202" s="17">
        <f t="shared" si="137"/>
        <v>39.841377000000001</v>
      </c>
      <c r="S202" s="17">
        <f>+'[1]Sell in ko tính KDT'!Q201</f>
        <v>12.627000000000001</v>
      </c>
      <c r="T202" s="17">
        <f>+'[1]Sell in ko tính KDT'!R201</f>
        <v>25.125</v>
      </c>
      <c r="U202" s="17">
        <f>+'[1]Sell in ko tính KDT'!S201</f>
        <v>0.81799999999999995</v>
      </c>
      <c r="V202" s="17">
        <v>0</v>
      </c>
      <c r="W202" s="17">
        <f t="shared" si="138"/>
        <v>38.57</v>
      </c>
      <c r="X202" s="17">
        <f>+'[1]Sell in ko tính KDT'!U201</f>
        <v>12.827</v>
      </c>
      <c r="Y202" s="17">
        <f>+'[1]Sell in ko tính KDT'!V201</f>
        <v>26.125</v>
      </c>
      <c r="Z202" s="17">
        <f>+'[1]Sell in ko tính KDT'!W201</f>
        <v>0.81799999999999995</v>
      </c>
      <c r="AA202" s="17">
        <v>0</v>
      </c>
      <c r="AB202" s="17">
        <f t="shared" si="139"/>
        <v>39.769999999999996</v>
      </c>
      <c r="AC202" s="17">
        <f>+'[1]Sell in ko tính KDT'!Y201</f>
        <v>12.627000000000001</v>
      </c>
      <c r="AD202" s="17">
        <f>+'[1]Sell in ko tính KDT'!Z201</f>
        <v>26.125</v>
      </c>
      <c r="AE202" s="17">
        <f>+'[1]Sell in ko tính KDT'!AA201</f>
        <v>0.81799999999999995</v>
      </c>
      <c r="AF202" s="17">
        <v>0</v>
      </c>
      <c r="AG202" s="17">
        <f t="shared" si="140"/>
        <v>39.57</v>
      </c>
      <c r="AH202" s="17">
        <f>+'[1]Sell in ko tính KDT'!AC201</f>
        <v>0</v>
      </c>
      <c r="AI202" s="17">
        <f>+'[1]Sell in ko tính KDT'!AD201</f>
        <v>0</v>
      </c>
      <c r="AJ202" s="17">
        <f>+'[1]Sell in ko tính KDT'!AE201</f>
        <v>0</v>
      </c>
      <c r="AK202" s="17">
        <v>0</v>
      </c>
      <c r="AL202" s="17">
        <f t="shared" si="141"/>
        <v>0</v>
      </c>
      <c r="AM202" s="17">
        <f>+'[1]Sell in ko tính KDT'!AG201</f>
        <v>0</v>
      </c>
      <c r="AN202" s="17">
        <f>+'[1]Sell in ko tính KDT'!AH201</f>
        <v>0</v>
      </c>
      <c r="AO202" s="17">
        <f>+'[1]Sell in ko tính KDT'!AI201</f>
        <v>0</v>
      </c>
      <c r="AP202" s="17">
        <v>0</v>
      </c>
      <c r="AQ202" s="17">
        <f t="shared" si="142"/>
        <v>0</v>
      </c>
      <c r="AR202" s="17">
        <f>+'[1]Sell in ko tính KDT'!AK201</f>
        <v>0</v>
      </c>
      <c r="AS202" s="17">
        <f>+'[1]Sell in ko tính KDT'!AL201</f>
        <v>0</v>
      </c>
      <c r="AT202" s="17">
        <f>+'[1]Sell in ko tính KDT'!AM201</f>
        <v>0</v>
      </c>
      <c r="AU202" s="17">
        <v>0</v>
      </c>
      <c r="AV202" s="17">
        <f t="shared" si="143"/>
        <v>0</v>
      </c>
      <c r="AW202" s="17">
        <f>+'[1]Sell in ko tính KDT'!AO201</f>
        <v>0</v>
      </c>
      <c r="AX202" s="17">
        <f>+'[1]Sell in ko tính KDT'!AP201</f>
        <v>0</v>
      </c>
      <c r="AY202" s="17">
        <f>+'[1]Sell in ko tính KDT'!AQ201</f>
        <v>0</v>
      </c>
      <c r="AZ202" s="17">
        <v>0</v>
      </c>
      <c r="BA202" s="17">
        <f t="shared" si="144"/>
        <v>0</v>
      </c>
      <c r="BB202" s="17">
        <f>+'[1]Sell in ko tính KDT'!AS201</f>
        <v>0</v>
      </c>
      <c r="BC202" s="17">
        <f>+'[1]Sell in ko tính KDT'!AT201</f>
        <v>0</v>
      </c>
      <c r="BD202" s="17">
        <f>+'[1]Sell in ko tính KDT'!AU201</f>
        <v>0</v>
      </c>
      <c r="BE202" s="17">
        <v>0</v>
      </c>
      <c r="BF202" s="17">
        <f t="shared" si="145"/>
        <v>0</v>
      </c>
      <c r="BG202" s="17">
        <f>+'[1]Sell in ko tính KDT'!AW201</f>
        <v>0</v>
      </c>
      <c r="BH202" s="17">
        <f>+'[1]Sell in ko tính KDT'!AX201</f>
        <v>0</v>
      </c>
      <c r="BI202" s="17">
        <f>+'[1]Sell in ko tính KDT'!AY201</f>
        <v>0</v>
      </c>
      <c r="BJ202" s="17">
        <v>0</v>
      </c>
      <c r="BK202" s="17">
        <f t="shared" si="146"/>
        <v>0</v>
      </c>
      <c r="BL202" s="17">
        <f>+'[1]Sell in ko tính KDT'!BA201</f>
        <v>0</v>
      </c>
      <c r="BM202" s="17">
        <f>+'[1]Sell in ko tính KDT'!BB201</f>
        <v>0</v>
      </c>
      <c r="BN202" s="17">
        <f>+'[1]Sell in ko tính KDT'!BC201</f>
        <v>0</v>
      </c>
      <c r="BO202" s="17">
        <v>0</v>
      </c>
      <c r="BP202" s="17">
        <f t="shared" si="147"/>
        <v>0</v>
      </c>
      <c r="BQ202" s="17">
        <f t="shared" si="148"/>
        <v>63.335000000000008</v>
      </c>
      <c r="BR202" s="17">
        <f t="shared" si="148"/>
        <v>129.625</v>
      </c>
      <c r="BS202" s="17">
        <f t="shared" si="148"/>
        <v>4.3613769999999992</v>
      </c>
      <c r="BT202" s="17">
        <f t="shared" si="148"/>
        <v>0</v>
      </c>
      <c r="BU202" s="17">
        <f t="shared" si="149"/>
        <v>197.32137700000001</v>
      </c>
    </row>
    <row r="203" spans="1:73" s="46" customFormat="1" hidden="1" outlineLevel="1">
      <c r="A203" s="16" t="s">
        <v>493</v>
      </c>
      <c r="B203" s="17" t="s">
        <v>494</v>
      </c>
      <c r="C203" s="17" t="s">
        <v>495</v>
      </c>
      <c r="D203" s="17" t="s">
        <v>496</v>
      </c>
      <c r="E203" s="17"/>
      <c r="F203" s="18" t="s">
        <v>509</v>
      </c>
      <c r="G203" s="17" t="s">
        <v>510</v>
      </c>
      <c r="H203" s="17" t="s">
        <v>357</v>
      </c>
      <c r="I203" s="17">
        <f>+'[1]Sell in ko tính KDT'!I202</f>
        <v>13.683342539651306</v>
      </c>
      <c r="J203" s="17">
        <f>+'[1]Sell in ko tính KDT'!J202</f>
        <v>26.1528198481396</v>
      </c>
      <c r="K203" s="17">
        <f>+'[1]Sell in ko tính KDT'!K202</f>
        <v>0</v>
      </c>
      <c r="L203" s="17">
        <v>0</v>
      </c>
      <c r="M203" s="17">
        <f t="shared" si="136"/>
        <v>39.836162387790907</v>
      </c>
      <c r="N203" s="17">
        <f>+'[1]Sell in ko tính KDT'!M202</f>
        <v>13.683342539651306</v>
      </c>
      <c r="O203" s="17">
        <f>+'[1]Sell in ko tính KDT'!N202</f>
        <v>26.6528198481396</v>
      </c>
      <c r="P203" s="17">
        <f>+'[1]Sell in ko tính KDT'!O202</f>
        <v>0</v>
      </c>
      <c r="Q203" s="17">
        <v>0</v>
      </c>
      <c r="R203" s="67">
        <f t="shared" si="137"/>
        <v>40.336162387790907</v>
      </c>
      <c r="S203" s="17">
        <f>+'[1]Sell in ko tính KDT'!Q202</f>
        <v>13.683342539651306</v>
      </c>
      <c r="T203" s="17">
        <f>+'[1]Sell in ko tính KDT'!R202</f>
        <v>22.152819848139583</v>
      </c>
      <c r="U203" s="17">
        <f>+'[1]Sell in ko tính KDT'!S202</f>
        <v>0</v>
      </c>
      <c r="V203" s="17">
        <v>0</v>
      </c>
      <c r="W203" s="17">
        <f t="shared" si="138"/>
        <v>35.836162387790893</v>
      </c>
      <c r="X203" s="17">
        <f>+'[1]Sell in ko tính KDT'!U202</f>
        <v>13.683342539651306</v>
      </c>
      <c r="Y203" s="17">
        <f>+'[1]Sell in ko tính KDT'!V202</f>
        <v>22.152819848139583</v>
      </c>
      <c r="Z203" s="17">
        <f>+'[1]Sell in ko tính KDT'!W202</f>
        <v>0</v>
      </c>
      <c r="AA203" s="17">
        <v>0</v>
      </c>
      <c r="AB203" s="17">
        <f t="shared" si="139"/>
        <v>35.836162387790893</v>
      </c>
      <c r="AC203" s="17">
        <f>+'[1]Sell in ko tính KDT'!Y202</f>
        <v>13.683342539651306</v>
      </c>
      <c r="AD203" s="17">
        <f>+'[1]Sell in ko tính KDT'!Z202</f>
        <v>22.152819848139583</v>
      </c>
      <c r="AE203" s="17">
        <f>+'[1]Sell in ko tính KDT'!AA202</f>
        <v>0</v>
      </c>
      <c r="AF203" s="17">
        <v>0</v>
      </c>
      <c r="AG203" s="17">
        <f t="shared" si="140"/>
        <v>35.836162387790893</v>
      </c>
      <c r="AH203" s="17">
        <f>+'[1]Sell in ko tính KDT'!AC202</f>
        <v>0</v>
      </c>
      <c r="AI203" s="17">
        <f>+'[1]Sell in ko tính KDT'!AD202</f>
        <v>0</v>
      </c>
      <c r="AJ203" s="17">
        <f>+'[1]Sell in ko tính KDT'!AE202</f>
        <v>0</v>
      </c>
      <c r="AK203" s="17">
        <v>0</v>
      </c>
      <c r="AL203" s="17">
        <f t="shared" si="141"/>
        <v>0</v>
      </c>
      <c r="AM203" s="17">
        <f>+'[1]Sell in ko tính KDT'!AG202</f>
        <v>0</v>
      </c>
      <c r="AN203" s="17">
        <f>+'[1]Sell in ko tính KDT'!AH202</f>
        <v>0</v>
      </c>
      <c r="AO203" s="17">
        <f>+'[1]Sell in ko tính KDT'!AI202</f>
        <v>0</v>
      </c>
      <c r="AP203" s="17">
        <v>0</v>
      </c>
      <c r="AQ203" s="17">
        <f t="shared" si="142"/>
        <v>0</v>
      </c>
      <c r="AR203" s="17">
        <f>+'[1]Sell in ko tính KDT'!AK202</f>
        <v>0</v>
      </c>
      <c r="AS203" s="17">
        <f>+'[1]Sell in ko tính KDT'!AL202</f>
        <v>0</v>
      </c>
      <c r="AT203" s="17">
        <f>+'[1]Sell in ko tính KDT'!AM202</f>
        <v>0</v>
      </c>
      <c r="AU203" s="17">
        <v>0</v>
      </c>
      <c r="AV203" s="17">
        <f t="shared" si="143"/>
        <v>0</v>
      </c>
      <c r="AW203" s="17">
        <f>+'[1]Sell in ko tính KDT'!AO202</f>
        <v>0</v>
      </c>
      <c r="AX203" s="17">
        <f>+'[1]Sell in ko tính KDT'!AP202</f>
        <v>0</v>
      </c>
      <c r="AY203" s="17">
        <f>+'[1]Sell in ko tính KDT'!AQ202</f>
        <v>0</v>
      </c>
      <c r="AZ203" s="17">
        <v>0</v>
      </c>
      <c r="BA203" s="17">
        <f t="shared" si="144"/>
        <v>0</v>
      </c>
      <c r="BB203" s="17">
        <f>+'[1]Sell in ko tính KDT'!AS202</f>
        <v>0</v>
      </c>
      <c r="BC203" s="17">
        <f>+'[1]Sell in ko tính KDT'!AT202</f>
        <v>0</v>
      </c>
      <c r="BD203" s="17">
        <f>+'[1]Sell in ko tính KDT'!AU202</f>
        <v>0</v>
      </c>
      <c r="BE203" s="17">
        <v>0</v>
      </c>
      <c r="BF203" s="17">
        <f t="shared" si="145"/>
        <v>0</v>
      </c>
      <c r="BG203" s="17">
        <f>+'[1]Sell in ko tính KDT'!AW202</f>
        <v>0</v>
      </c>
      <c r="BH203" s="17">
        <f>+'[1]Sell in ko tính KDT'!AX202</f>
        <v>0</v>
      </c>
      <c r="BI203" s="17">
        <f>+'[1]Sell in ko tính KDT'!AY202</f>
        <v>0</v>
      </c>
      <c r="BJ203" s="17">
        <v>0</v>
      </c>
      <c r="BK203" s="17">
        <f t="shared" si="146"/>
        <v>0</v>
      </c>
      <c r="BL203" s="17">
        <f>+'[1]Sell in ko tính KDT'!BA202</f>
        <v>0</v>
      </c>
      <c r="BM203" s="17">
        <f>+'[1]Sell in ko tính KDT'!BB202</f>
        <v>0</v>
      </c>
      <c r="BN203" s="17">
        <f>+'[1]Sell in ko tính KDT'!BC202</f>
        <v>0</v>
      </c>
      <c r="BO203" s="17">
        <v>0</v>
      </c>
      <c r="BP203" s="17">
        <f t="shared" si="147"/>
        <v>0</v>
      </c>
      <c r="BQ203" s="17">
        <f t="shared" si="148"/>
        <v>68.416712698256532</v>
      </c>
      <c r="BR203" s="17">
        <f t="shared" si="148"/>
        <v>119.26409924069794</v>
      </c>
      <c r="BS203" s="17">
        <f t="shared" si="148"/>
        <v>0</v>
      </c>
      <c r="BT203" s="17">
        <f t="shared" si="148"/>
        <v>0</v>
      </c>
      <c r="BU203" s="17">
        <f t="shared" si="149"/>
        <v>187.68081193895449</v>
      </c>
    </row>
    <row r="204" spans="1:73" s="46" customFormat="1" hidden="1" outlineLevel="1">
      <c r="A204" s="16" t="s">
        <v>493</v>
      </c>
      <c r="B204" s="17" t="s">
        <v>494</v>
      </c>
      <c r="C204" s="17" t="s">
        <v>495</v>
      </c>
      <c r="D204" s="17" t="s">
        <v>496</v>
      </c>
      <c r="E204" s="68" t="s">
        <v>511</v>
      </c>
      <c r="F204" s="68" t="s">
        <v>512</v>
      </c>
      <c r="G204" s="68" t="s">
        <v>513</v>
      </c>
      <c r="H204" s="17" t="s">
        <v>45</v>
      </c>
      <c r="I204" s="17">
        <f>+'[1]Sell in ko tính KDT'!I203</f>
        <v>132.43427178080097</v>
      </c>
      <c r="J204" s="17">
        <f>+'[1]Sell in ko tính KDT'!J203</f>
        <v>169.23591234883884</v>
      </c>
      <c r="K204" s="17">
        <f>+'[1]Sell in ko tính KDT'!K203</f>
        <v>0</v>
      </c>
      <c r="L204" s="17">
        <v>0</v>
      </c>
      <c r="M204" s="17">
        <f t="shared" si="136"/>
        <v>301.67018412963978</v>
      </c>
      <c r="N204" s="17">
        <f>+'[1]Sell in ko tính KDT'!M203</f>
        <v>128.434271780801</v>
      </c>
      <c r="O204" s="17">
        <f>+'[1]Sell in ko tính KDT'!N203</f>
        <v>173.23591234883884</v>
      </c>
      <c r="P204" s="17">
        <f>+'[1]Sell in ko tính KDT'!O203</f>
        <v>0</v>
      </c>
      <c r="Q204" s="17">
        <v>0</v>
      </c>
      <c r="R204" s="17">
        <f t="shared" si="137"/>
        <v>301.67018412963984</v>
      </c>
      <c r="S204" s="17">
        <f>+'[1]Sell in ko tính KDT'!Q203</f>
        <v>164.64996802711536</v>
      </c>
      <c r="T204" s="17">
        <f>+'[1]Sell in ko tính KDT'!R203</f>
        <v>135.45215341601744</v>
      </c>
      <c r="U204" s="17">
        <f>+'[1]Sell in ko tính KDT'!S203</f>
        <v>0</v>
      </c>
      <c r="V204" s="17">
        <v>0</v>
      </c>
      <c r="W204" s="17">
        <f t="shared" si="138"/>
        <v>300.10212144313277</v>
      </c>
      <c r="X204" s="17">
        <f>+'[1]Sell in ko tính KDT'!U203</f>
        <v>164.64996802711536</v>
      </c>
      <c r="Y204" s="17">
        <f>+'[1]Sell in ko tính KDT'!V203</f>
        <v>135.45215341601744</v>
      </c>
      <c r="Z204" s="17">
        <f>+'[1]Sell in ko tính KDT'!W203</f>
        <v>0</v>
      </c>
      <c r="AA204" s="17">
        <v>0</v>
      </c>
      <c r="AB204" s="17">
        <f t="shared" si="139"/>
        <v>300.10212144313277</v>
      </c>
      <c r="AC204" s="17">
        <f>+'[1]Sell in ko tính KDT'!Y203</f>
        <v>164.64996802711536</v>
      </c>
      <c r="AD204" s="17">
        <f>+'[1]Sell in ko tính KDT'!Z203</f>
        <v>135.45215341601744</v>
      </c>
      <c r="AE204" s="17">
        <f>+'[1]Sell in ko tính KDT'!AA203</f>
        <v>0</v>
      </c>
      <c r="AF204" s="17">
        <v>0</v>
      </c>
      <c r="AG204" s="17">
        <f t="shared" si="140"/>
        <v>300.10212144313277</v>
      </c>
      <c r="AH204" s="17">
        <f>+'[1]Sell in ko tính KDT'!AC203</f>
        <v>55</v>
      </c>
      <c r="AI204" s="17">
        <f>+'[1]Sell in ko tính KDT'!AD203</f>
        <v>45</v>
      </c>
      <c r="AJ204" s="17">
        <f>+'[1]Sell in ko tính KDT'!AE203</f>
        <v>0</v>
      </c>
      <c r="AK204" s="17">
        <v>0</v>
      </c>
      <c r="AL204" s="17">
        <f t="shared" si="141"/>
        <v>100</v>
      </c>
      <c r="AM204" s="17">
        <f>+'[1]Sell in ko tính KDT'!AG203</f>
        <v>165</v>
      </c>
      <c r="AN204" s="17">
        <f>+'[1]Sell in ko tính KDT'!AH203</f>
        <v>135</v>
      </c>
      <c r="AO204" s="17">
        <f>+'[1]Sell in ko tính KDT'!AI203</f>
        <v>0</v>
      </c>
      <c r="AP204" s="17">
        <v>0</v>
      </c>
      <c r="AQ204" s="17">
        <f t="shared" si="142"/>
        <v>300</v>
      </c>
      <c r="AR204" s="17">
        <f>+'[1]Sell in ko tính KDT'!AK203</f>
        <v>165</v>
      </c>
      <c r="AS204" s="17">
        <f>+'[1]Sell in ko tính KDT'!AL203</f>
        <v>135</v>
      </c>
      <c r="AT204" s="17">
        <f>+'[1]Sell in ko tính KDT'!AM203</f>
        <v>0</v>
      </c>
      <c r="AU204" s="17">
        <v>0</v>
      </c>
      <c r="AV204" s="17">
        <f t="shared" si="143"/>
        <v>300</v>
      </c>
      <c r="AW204" s="17">
        <f>+'[1]Sell in ko tính KDT'!AO203</f>
        <v>165</v>
      </c>
      <c r="AX204" s="17">
        <f>+'[1]Sell in ko tính KDT'!AP203</f>
        <v>135</v>
      </c>
      <c r="AY204" s="17">
        <f>+'[1]Sell in ko tính KDT'!AQ203</f>
        <v>0</v>
      </c>
      <c r="AZ204" s="17">
        <v>0</v>
      </c>
      <c r="BA204" s="17">
        <f t="shared" si="144"/>
        <v>300</v>
      </c>
      <c r="BB204" s="17">
        <f>+'[1]Sell in ko tính KDT'!AS203</f>
        <v>165</v>
      </c>
      <c r="BC204" s="17">
        <f>+'[1]Sell in ko tính KDT'!AT203</f>
        <v>135</v>
      </c>
      <c r="BD204" s="17">
        <f>+'[1]Sell in ko tính KDT'!AU203</f>
        <v>0</v>
      </c>
      <c r="BE204" s="17">
        <v>0</v>
      </c>
      <c r="BF204" s="17">
        <f t="shared" si="145"/>
        <v>300</v>
      </c>
      <c r="BG204" s="17">
        <f>+'[1]Sell in ko tính KDT'!AW203</f>
        <v>165</v>
      </c>
      <c r="BH204" s="17">
        <f>+'[1]Sell in ko tính KDT'!AX203</f>
        <v>135</v>
      </c>
      <c r="BI204" s="17">
        <f>+'[1]Sell in ko tính KDT'!AY203</f>
        <v>0</v>
      </c>
      <c r="BJ204" s="17">
        <v>0</v>
      </c>
      <c r="BK204" s="17">
        <f t="shared" si="146"/>
        <v>300</v>
      </c>
      <c r="BL204" s="17">
        <f>+'[1]Sell in ko tính KDT'!BA203</f>
        <v>165</v>
      </c>
      <c r="BM204" s="17">
        <f>+'[1]Sell in ko tính KDT'!BB203</f>
        <v>135</v>
      </c>
      <c r="BN204" s="17">
        <f>+'[1]Sell in ko tính KDT'!BC203</f>
        <v>0</v>
      </c>
      <c r="BO204" s="17">
        <v>0</v>
      </c>
      <c r="BP204" s="17">
        <f t="shared" si="147"/>
        <v>300</v>
      </c>
      <c r="BQ204" s="17">
        <f t="shared" si="148"/>
        <v>1799.8184476429483</v>
      </c>
      <c r="BR204" s="17">
        <f t="shared" si="148"/>
        <v>1603.8282849457298</v>
      </c>
      <c r="BS204" s="17">
        <f t="shared" si="148"/>
        <v>0</v>
      </c>
      <c r="BT204" s="17">
        <f t="shared" si="148"/>
        <v>0</v>
      </c>
      <c r="BU204" s="17">
        <f t="shared" si="149"/>
        <v>3403.6467325886779</v>
      </c>
    </row>
    <row r="205" spans="1:73" s="46" customFormat="1" hidden="1" outlineLevel="1">
      <c r="A205" s="16" t="s">
        <v>493</v>
      </c>
      <c r="B205" s="17" t="s">
        <v>494</v>
      </c>
      <c r="C205" s="17" t="s">
        <v>495</v>
      </c>
      <c r="D205" s="17" t="s">
        <v>496</v>
      </c>
      <c r="E205" s="68" t="s">
        <v>514</v>
      </c>
      <c r="F205" s="69" t="s">
        <v>515</v>
      </c>
      <c r="G205" s="69" t="s">
        <v>516</v>
      </c>
      <c r="H205" s="17" t="s">
        <v>45</v>
      </c>
      <c r="I205" s="17">
        <f>+'[1]Sell in ko tính KDT'!I204</f>
        <v>137.00776582679995</v>
      </c>
      <c r="J205" s="17">
        <f>+'[1]Sell in ko tính KDT'!J204</f>
        <v>163.44559845532743</v>
      </c>
      <c r="K205" s="17">
        <f>+'[1]Sell in ko tính KDT'!K204</f>
        <v>0</v>
      </c>
      <c r="L205" s="17">
        <v>0</v>
      </c>
      <c r="M205" s="17">
        <f t="shared" si="136"/>
        <v>300.45336428212738</v>
      </c>
      <c r="N205" s="17">
        <f>+'[1]Sell in ko tính KDT'!M204</f>
        <v>140.00776582679995</v>
      </c>
      <c r="O205" s="17">
        <f>+'[1]Sell in ko tính KDT'!N204</f>
        <v>160.4455984553274</v>
      </c>
      <c r="P205" s="17">
        <f>+'[1]Sell in ko tính KDT'!O204</f>
        <v>0</v>
      </c>
      <c r="Q205" s="17">
        <v>0</v>
      </c>
      <c r="R205" s="17">
        <f t="shared" si="137"/>
        <v>300.45336428212738</v>
      </c>
      <c r="S205" s="17">
        <f>+'[1]Sell in ko tính KDT'!Q204</f>
        <v>147.88736002711536</v>
      </c>
      <c r="T205" s="17">
        <f>+'[1]Sell in ko tính KDT'!R204</f>
        <v>152.42200985494961</v>
      </c>
      <c r="U205" s="17">
        <f>+'[1]Sell in ko tính KDT'!S204</f>
        <v>0</v>
      </c>
      <c r="V205" s="17">
        <v>0</v>
      </c>
      <c r="W205" s="17">
        <f t="shared" si="138"/>
        <v>300.30936988206497</v>
      </c>
      <c r="X205" s="17">
        <f>+'[1]Sell in ko tính KDT'!U204</f>
        <v>147.88736002711536</v>
      </c>
      <c r="Y205" s="17">
        <f>+'[1]Sell in ko tính KDT'!V204</f>
        <v>152.42200985494961</v>
      </c>
      <c r="Z205" s="17">
        <f>+'[1]Sell in ko tính KDT'!W204</f>
        <v>0</v>
      </c>
      <c r="AA205" s="17">
        <v>0</v>
      </c>
      <c r="AB205" s="17">
        <f t="shared" si="139"/>
        <v>300.30936988206497</v>
      </c>
      <c r="AC205" s="17">
        <f>+'[1]Sell in ko tính KDT'!Y204</f>
        <v>148.88736002711536</v>
      </c>
      <c r="AD205" s="17">
        <f>+'[1]Sell in ko tính KDT'!Z204</f>
        <v>152.42200985494961</v>
      </c>
      <c r="AE205" s="17">
        <f>+'[1]Sell in ko tính KDT'!AA204</f>
        <v>0</v>
      </c>
      <c r="AF205" s="17">
        <v>0</v>
      </c>
      <c r="AG205" s="17">
        <f t="shared" si="140"/>
        <v>301.30936988206497</v>
      </c>
      <c r="AH205" s="17">
        <f>+'[1]Sell in ko tính KDT'!AC204</f>
        <v>85</v>
      </c>
      <c r="AI205" s="17">
        <f>+'[1]Sell in ko tính KDT'!AD204</f>
        <v>65</v>
      </c>
      <c r="AJ205" s="17">
        <f>+'[1]Sell in ko tính KDT'!AE204</f>
        <v>0</v>
      </c>
      <c r="AK205" s="17">
        <v>0</v>
      </c>
      <c r="AL205" s="17">
        <f t="shared" si="141"/>
        <v>150</v>
      </c>
      <c r="AM205" s="17">
        <f>+'[1]Sell in ko tính KDT'!AG204</f>
        <v>165</v>
      </c>
      <c r="AN205" s="17">
        <f>+'[1]Sell in ko tính KDT'!AH204</f>
        <v>135</v>
      </c>
      <c r="AO205" s="17">
        <f>+'[1]Sell in ko tính KDT'!AI204</f>
        <v>0</v>
      </c>
      <c r="AP205" s="17">
        <v>0</v>
      </c>
      <c r="AQ205" s="17">
        <f t="shared" si="142"/>
        <v>300</v>
      </c>
      <c r="AR205" s="17">
        <f>+'[1]Sell in ko tính KDT'!AK204</f>
        <v>165</v>
      </c>
      <c r="AS205" s="17">
        <f>+'[1]Sell in ko tính KDT'!AL204</f>
        <v>135</v>
      </c>
      <c r="AT205" s="17">
        <f>+'[1]Sell in ko tính KDT'!AM204</f>
        <v>0</v>
      </c>
      <c r="AU205" s="17">
        <v>0</v>
      </c>
      <c r="AV205" s="17">
        <f t="shared" si="143"/>
        <v>300</v>
      </c>
      <c r="AW205" s="17">
        <f>+'[1]Sell in ko tính KDT'!AO204</f>
        <v>165</v>
      </c>
      <c r="AX205" s="17">
        <f>+'[1]Sell in ko tính KDT'!AP204</f>
        <v>135</v>
      </c>
      <c r="AY205" s="17">
        <f>+'[1]Sell in ko tính KDT'!AQ204</f>
        <v>0</v>
      </c>
      <c r="AZ205" s="17">
        <v>0</v>
      </c>
      <c r="BA205" s="17">
        <f t="shared" si="144"/>
        <v>300</v>
      </c>
      <c r="BB205" s="17">
        <f>+'[1]Sell in ko tính KDT'!AS204</f>
        <v>165</v>
      </c>
      <c r="BC205" s="17">
        <f>+'[1]Sell in ko tính KDT'!AT204</f>
        <v>135</v>
      </c>
      <c r="BD205" s="17">
        <f>+'[1]Sell in ko tính KDT'!AU204</f>
        <v>0</v>
      </c>
      <c r="BE205" s="17">
        <v>0</v>
      </c>
      <c r="BF205" s="17">
        <f t="shared" si="145"/>
        <v>300</v>
      </c>
      <c r="BG205" s="17">
        <f>+'[1]Sell in ko tính KDT'!AW204</f>
        <v>165</v>
      </c>
      <c r="BH205" s="17">
        <f>+'[1]Sell in ko tính KDT'!AX204</f>
        <v>135</v>
      </c>
      <c r="BI205" s="17">
        <f>+'[1]Sell in ko tính KDT'!AY204</f>
        <v>0</v>
      </c>
      <c r="BJ205" s="17">
        <v>0</v>
      </c>
      <c r="BK205" s="17">
        <f t="shared" si="146"/>
        <v>300</v>
      </c>
      <c r="BL205" s="17">
        <f>+'[1]Sell in ko tính KDT'!BA204</f>
        <v>165</v>
      </c>
      <c r="BM205" s="17">
        <f>+'[1]Sell in ko tính KDT'!BB204</f>
        <v>135</v>
      </c>
      <c r="BN205" s="17">
        <f>+'[1]Sell in ko tính KDT'!BC204</f>
        <v>0</v>
      </c>
      <c r="BO205" s="17">
        <v>0</v>
      </c>
      <c r="BP205" s="17">
        <f t="shared" si="147"/>
        <v>300</v>
      </c>
      <c r="BQ205" s="17">
        <f t="shared" si="148"/>
        <v>1796.6776117349459</v>
      </c>
      <c r="BR205" s="17">
        <f t="shared" si="148"/>
        <v>1656.1572264755039</v>
      </c>
      <c r="BS205" s="17">
        <f t="shared" si="148"/>
        <v>0</v>
      </c>
      <c r="BT205" s="17">
        <f t="shared" si="148"/>
        <v>0</v>
      </c>
      <c r="BU205" s="17">
        <f t="shared" si="149"/>
        <v>3452.8348382104496</v>
      </c>
    </row>
    <row r="206" spans="1:73" s="46" customFormat="1" hidden="1" outlineLevel="1">
      <c r="A206" s="16" t="s">
        <v>493</v>
      </c>
      <c r="B206" s="17" t="s">
        <v>494</v>
      </c>
      <c r="C206" s="17" t="s">
        <v>495</v>
      </c>
      <c r="D206" s="17" t="s">
        <v>496</v>
      </c>
      <c r="E206" s="17"/>
      <c r="F206" s="18" t="s">
        <v>517</v>
      </c>
      <c r="G206" s="17" t="s">
        <v>518</v>
      </c>
      <c r="H206" s="17" t="s">
        <v>519</v>
      </c>
      <c r="I206" s="17">
        <f>+'[1]Sell in ko tính KDT'!I205</f>
        <v>67.5</v>
      </c>
      <c r="J206" s="17">
        <f>+'[1]Sell in ko tính KDT'!J205</f>
        <v>0</v>
      </c>
      <c r="K206" s="17">
        <f>+'[1]Sell in ko tính KDT'!K205</f>
        <v>0</v>
      </c>
      <c r="L206" s="17">
        <v>0</v>
      </c>
      <c r="M206" s="17">
        <f t="shared" si="136"/>
        <v>67.5</v>
      </c>
      <c r="N206" s="17">
        <f>+'[1]Sell in ko tính KDT'!M205</f>
        <v>67.5</v>
      </c>
      <c r="O206" s="17">
        <f>+'[1]Sell in ko tính KDT'!N205</f>
        <v>0</v>
      </c>
      <c r="P206" s="17">
        <f>+'[1]Sell in ko tính KDT'!O205</f>
        <v>0</v>
      </c>
      <c r="Q206" s="17">
        <v>0</v>
      </c>
      <c r="R206" s="17">
        <f t="shared" si="137"/>
        <v>67.5</v>
      </c>
      <c r="S206" s="17">
        <f>+'[1]Sell in ko tính KDT'!Q205</f>
        <v>67.5</v>
      </c>
      <c r="T206" s="17">
        <f>+'[1]Sell in ko tính KDT'!R205</f>
        <v>0</v>
      </c>
      <c r="U206" s="17">
        <f>+'[1]Sell in ko tính KDT'!S205</f>
        <v>0</v>
      </c>
      <c r="V206" s="17">
        <v>0</v>
      </c>
      <c r="W206" s="17">
        <f t="shared" si="138"/>
        <v>67.5</v>
      </c>
      <c r="X206" s="17">
        <f>+'[1]Sell in ko tính KDT'!U205</f>
        <v>67.5</v>
      </c>
      <c r="Y206" s="17">
        <f>+'[1]Sell in ko tính KDT'!V205</f>
        <v>0</v>
      </c>
      <c r="Z206" s="17">
        <f>+'[1]Sell in ko tính KDT'!W205</f>
        <v>0</v>
      </c>
      <c r="AA206" s="17">
        <v>0</v>
      </c>
      <c r="AB206" s="17">
        <f t="shared" si="139"/>
        <v>67.5</v>
      </c>
      <c r="AC206" s="17">
        <f>+'[1]Sell in ko tính KDT'!Y205</f>
        <v>67.5</v>
      </c>
      <c r="AD206" s="17">
        <f>+'[1]Sell in ko tính KDT'!Z205</f>
        <v>0</v>
      </c>
      <c r="AE206" s="17">
        <f>+'[1]Sell in ko tính KDT'!AA205</f>
        <v>0</v>
      </c>
      <c r="AF206" s="17">
        <v>0</v>
      </c>
      <c r="AG206" s="17">
        <f t="shared" si="140"/>
        <v>67.5</v>
      </c>
      <c r="AH206" s="17">
        <f>+'[1]Sell in ko tính KDT'!AC205</f>
        <v>15</v>
      </c>
      <c r="AI206" s="17">
        <f>+'[1]Sell in ko tính KDT'!AD205</f>
        <v>0</v>
      </c>
      <c r="AJ206" s="17">
        <f>+'[1]Sell in ko tính KDT'!AE205</f>
        <v>0</v>
      </c>
      <c r="AK206" s="17">
        <v>0</v>
      </c>
      <c r="AL206" s="17">
        <f t="shared" si="141"/>
        <v>15</v>
      </c>
      <c r="AM206" s="17">
        <f>+'[1]Sell in ko tính KDT'!AG205</f>
        <v>15</v>
      </c>
      <c r="AN206" s="17">
        <f>+'[1]Sell in ko tính KDT'!AH205</f>
        <v>0</v>
      </c>
      <c r="AO206" s="17">
        <f>+'[1]Sell in ko tính KDT'!AI205</f>
        <v>0</v>
      </c>
      <c r="AP206" s="17">
        <v>0</v>
      </c>
      <c r="AQ206" s="17">
        <f t="shared" si="142"/>
        <v>15</v>
      </c>
      <c r="AR206" s="17">
        <f>+'[1]Sell in ko tính KDT'!AK205</f>
        <v>15</v>
      </c>
      <c r="AS206" s="17">
        <f>+'[1]Sell in ko tính KDT'!AL205</f>
        <v>0</v>
      </c>
      <c r="AT206" s="17">
        <f>+'[1]Sell in ko tính KDT'!AM205</f>
        <v>0</v>
      </c>
      <c r="AU206" s="17">
        <v>0</v>
      </c>
      <c r="AV206" s="17">
        <f t="shared" si="143"/>
        <v>15</v>
      </c>
      <c r="AW206" s="17">
        <f>+'[1]Sell in ko tính KDT'!AO205</f>
        <v>10</v>
      </c>
      <c r="AX206" s="17">
        <f>+'[1]Sell in ko tính KDT'!AP205</f>
        <v>0</v>
      </c>
      <c r="AY206" s="17">
        <f>+'[1]Sell in ko tính KDT'!AQ205</f>
        <v>0</v>
      </c>
      <c r="AZ206" s="17">
        <v>0</v>
      </c>
      <c r="BA206" s="17">
        <f t="shared" si="144"/>
        <v>10</v>
      </c>
      <c r="BB206" s="17">
        <f>+'[1]Sell in ko tính KDT'!AS205</f>
        <v>10</v>
      </c>
      <c r="BC206" s="17">
        <f>+'[1]Sell in ko tính KDT'!AT205</f>
        <v>0</v>
      </c>
      <c r="BD206" s="17">
        <f>+'[1]Sell in ko tính KDT'!AU205</f>
        <v>0</v>
      </c>
      <c r="BE206" s="17">
        <v>0</v>
      </c>
      <c r="BF206" s="17">
        <f t="shared" si="145"/>
        <v>10</v>
      </c>
      <c r="BG206" s="17">
        <f>+'[1]Sell in ko tính KDT'!AW205</f>
        <v>10</v>
      </c>
      <c r="BH206" s="17">
        <f>+'[1]Sell in ko tính KDT'!AX205</f>
        <v>0</v>
      </c>
      <c r="BI206" s="17">
        <f>+'[1]Sell in ko tính KDT'!AY205</f>
        <v>0</v>
      </c>
      <c r="BJ206" s="17">
        <v>0</v>
      </c>
      <c r="BK206" s="17">
        <f t="shared" si="146"/>
        <v>10</v>
      </c>
      <c r="BL206" s="17">
        <f>+'[1]Sell in ko tính KDT'!BA205</f>
        <v>10</v>
      </c>
      <c r="BM206" s="17">
        <f>+'[1]Sell in ko tính KDT'!BB205</f>
        <v>0</v>
      </c>
      <c r="BN206" s="17">
        <f>+'[1]Sell in ko tính KDT'!BC205</f>
        <v>0</v>
      </c>
      <c r="BO206" s="17">
        <v>0</v>
      </c>
      <c r="BP206" s="17">
        <f t="shared" si="147"/>
        <v>10</v>
      </c>
      <c r="BQ206" s="17">
        <f t="shared" si="148"/>
        <v>422.5</v>
      </c>
      <c r="BR206" s="17">
        <f t="shared" si="148"/>
        <v>0</v>
      </c>
      <c r="BS206" s="17">
        <f t="shared" si="148"/>
        <v>0</v>
      </c>
      <c r="BT206" s="17">
        <f t="shared" si="148"/>
        <v>0</v>
      </c>
      <c r="BU206" s="17">
        <f t="shared" si="149"/>
        <v>422.5</v>
      </c>
    </row>
    <row r="207" spans="1:73" s="46" customFormat="1" hidden="1" outlineLevel="1">
      <c r="A207" s="16" t="s">
        <v>493</v>
      </c>
      <c r="B207" s="17" t="s">
        <v>494</v>
      </c>
      <c r="C207" s="17" t="s">
        <v>495</v>
      </c>
      <c r="D207" s="17" t="s">
        <v>496</v>
      </c>
      <c r="E207" s="31" t="s">
        <v>497</v>
      </c>
      <c r="F207" s="18" t="s">
        <v>520</v>
      </c>
      <c r="G207" s="17" t="s">
        <v>521</v>
      </c>
      <c r="H207" s="17" t="s">
        <v>357</v>
      </c>
      <c r="I207" s="17">
        <f>+'[1]Sell in ko tính KDT'!I206</f>
        <v>54</v>
      </c>
      <c r="J207" s="17">
        <f>+'[1]Sell in ko tính KDT'!J206</f>
        <v>0</v>
      </c>
      <c r="K207" s="17">
        <f>+'[1]Sell in ko tính KDT'!K206</f>
        <v>0</v>
      </c>
      <c r="L207" s="17">
        <v>0</v>
      </c>
      <c r="M207" s="17">
        <f t="shared" si="136"/>
        <v>54</v>
      </c>
      <c r="N207" s="17">
        <f>+'[1]Sell in ko tính KDT'!M206</f>
        <v>54</v>
      </c>
      <c r="O207" s="17">
        <f>+'[1]Sell in ko tính KDT'!N206</f>
        <v>0</v>
      </c>
      <c r="P207" s="17">
        <f>+'[1]Sell in ko tính KDT'!O206</f>
        <v>0</v>
      </c>
      <c r="Q207" s="17">
        <v>0</v>
      </c>
      <c r="R207" s="17">
        <f t="shared" si="137"/>
        <v>54</v>
      </c>
      <c r="S207" s="17">
        <f>+'[1]Sell in ko tính KDT'!Q206</f>
        <v>54</v>
      </c>
      <c r="T207" s="17">
        <f>+'[1]Sell in ko tính KDT'!R206</f>
        <v>0</v>
      </c>
      <c r="U207" s="17">
        <f>+'[1]Sell in ko tính KDT'!S206</f>
        <v>0</v>
      </c>
      <c r="V207" s="17">
        <v>0</v>
      </c>
      <c r="W207" s="17">
        <f t="shared" si="138"/>
        <v>54</v>
      </c>
      <c r="X207" s="17">
        <f>+'[1]Sell in ko tính KDT'!U206</f>
        <v>54</v>
      </c>
      <c r="Y207" s="17">
        <f>+'[1]Sell in ko tính KDT'!V206</f>
        <v>0</v>
      </c>
      <c r="Z207" s="17">
        <f>+'[1]Sell in ko tính KDT'!W206</f>
        <v>0</v>
      </c>
      <c r="AA207" s="17">
        <v>0</v>
      </c>
      <c r="AB207" s="17">
        <f t="shared" si="139"/>
        <v>54</v>
      </c>
      <c r="AC207" s="17">
        <f>+'[1]Sell in ko tính KDT'!Y206</f>
        <v>54</v>
      </c>
      <c r="AD207" s="17">
        <f>+'[1]Sell in ko tính KDT'!Z206</f>
        <v>0</v>
      </c>
      <c r="AE207" s="17">
        <f>+'[1]Sell in ko tính KDT'!AA206</f>
        <v>0</v>
      </c>
      <c r="AF207" s="17">
        <v>0</v>
      </c>
      <c r="AG207" s="17">
        <f t="shared" si="140"/>
        <v>54</v>
      </c>
      <c r="AH207" s="17">
        <f>+'[1]Sell in ko tính KDT'!AC206</f>
        <v>16</v>
      </c>
      <c r="AI207" s="17">
        <f>+'[1]Sell in ko tính KDT'!AD206</f>
        <v>24</v>
      </c>
      <c r="AJ207" s="17">
        <f>+'[1]Sell in ko tính KDT'!AE206</f>
        <v>0</v>
      </c>
      <c r="AK207" s="17">
        <v>0</v>
      </c>
      <c r="AL207" s="17">
        <f t="shared" si="141"/>
        <v>40</v>
      </c>
      <c r="AM207" s="17">
        <f>+'[1]Sell in ko tính KDT'!AG206</f>
        <v>16</v>
      </c>
      <c r="AN207" s="17">
        <f>+'[1]Sell in ko tính KDT'!AH206</f>
        <v>24</v>
      </c>
      <c r="AO207" s="17">
        <f>+'[1]Sell in ko tính KDT'!AI206</f>
        <v>0</v>
      </c>
      <c r="AP207" s="17">
        <v>0</v>
      </c>
      <c r="AQ207" s="17">
        <f t="shared" si="142"/>
        <v>40</v>
      </c>
      <c r="AR207" s="17">
        <f>+'[1]Sell in ko tính KDT'!AK206</f>
        <v>16</v>
      </c>
      <c r="AS207" s="17">
        <f>+'[1]Sell in ko tính KDT'!AL206</f>
        <v>24</v>
      </c>
      <c r="AT207" s="17">
        <f>+'[1]Sell in ko tính KDT'!AM206</f>
        <v>0</v>
      </c>
      <c r="AU207" s="17">
        <v>0</v>
      </c>
      <c r="AV207" s="17">
        <f t="shared" si="143"/>
        <v>40</v>
      </c>
      <c r="AW207" s="17">
        <f>+'[1]Sell in ko tính KDT'!AO206</f>
        <v>16</v>
      </c>
      <c r="AX207" s="17">
        <f>+'[1]Sell in ko tính KDT'!AP206</f>
        <v>24</v>
      </c>
      <c r="AY207" s="17">
        <f>+'[1]Sell in ko tính KDT'!AQ206</f>
        <v>0</v>
      </c>
      <c r="AZ207" s="17">
        <v>0</v>
      </c>
      <c r="BA207" s="17">
        <f t="shared" si="144"/>
        <v>40</v>
      </c>
      <c r="BB207" s="17">
        <f>+'[1]Sell in ko tính KDT'!AS206</f>
        <v>16</v>
      </c>
      <c r="BC207" s="17">
        <f>+'[1]Sell in ko tính KDT'!AT206</f>
        <v>24</v>
      </c>
      <c r="BD207" s="17">
        <f>+'[1]Sell in ko tính KDT'!AU206</f>
        <v>0</v>
      </c>
      <c r="BE207" s="17">
        <v>0</v>
      </c>
      <c r="BF207" s="17">
        <f t="shared" si="145"/>
        <v>40</v>
      </c>
      <c r="BG207" s="17">
        <f>+'[1]Sell in ko tính KDT'!AW206</f>
        <v>16</v>
      </c>
      <c r="BH207" s="17">
        <f>+'[1]Sell in ko tính KDT'!AX206</f>
        <v>24</v>
      </c>
      <c r="BI207" s="17">
        <f>+'[1]Sell in ko tính KDT'!AY206</f>
        <v>0</v>
      </c>
      <c r="BJ207" s="17">
        <v>0</v>
      </c>
      <c r="BK207" s="17">
        <f t="shared" si="146"/>
        <v>40</v>
      </c>
      <c r="BL207" s="17">
        <f>+'[1]Sell in ko tính KDT'!BA206</f>
        <v>16</v>
      </c>
      <c r="BM207" s="17">
        <f>+'[1]Sell in ko tính KDT'!BB206</f>
        <v>24</v>
      </c>
      <c r="BN207" s="17">
        <f>+'[1]Sell in ko tính KDT'!BC206</f>
        <v>0</v>
      </c>
      <c r="BO207" s="17">
        <v>0</v>
      </c>
      <c r="BP207" s="17">
        <f t="shared" si="147"/>
        <v>40</v>
      </c>
      <c r="BQ207" s="17">
        <f t="shared" si="148"/>
        <v>382</v>
      </c>
      <c r="BR207" s="17">
        <f t="shared" si="148"/>
        <v>168</v>
      </c>
      <c r="BS207" s="17">
        <f t="shared" si="148"/>
        <v>0</v>
      </c>
      <c r="BT207" s="17">
        <f t="shared" si="148"/>
        <v>0</v>
      </c>
      <c r="BU207" s="17">
        <f t="shared" si="149"/>
        <v>550</v>
      </c>
    </row>
    <row r="208" spans="1:73" s="46" customFormat="1" hidden="1" outlineLevel="1">
      <c r="A208" s="16" t="s">
        <v>493</v>
      </c>
      <c r="B208" s="17" t="s">
        <v>494</v>
      </c>
      <c r="C208" s="17" t="s">
        <v>495</v>
      </c>
      <c r="D208" s="17" t="s">
        <v>496</v>
      </c>
      <c r="E208" s="17"/>
      <c r="F208" s="18" t="s">
        <v>522</v>
      </c>
      <c r="G208" s="17" t="s">
        <v>523</v>
      </c>
      <c r="H208" s="17" t="s">
        <v>508</v>
      </c>
      <c r="I208" s="17">
        <f>+'[1]Sell in ko tính KDT'!I207</f>
        <v>37.019432618079499</v>
      </c>
      <c r="J208" s="17">
        <f>+'[1]Sell in ko tính KDT'!J207</f>
        <v>7.5104623476092902</v>
      </c>
      <c r="K208" s="17">
        <f>+'[1]Sell in ko tính KDT'!K207</f>
        <v>0</v>
      </c>
      <c r="L208" s="17">
        <v>0</v>
      </c>
      <c r="M208" s="17">
        <f t="shared" si="136"/>
        <v>44.52989496568879</v>
      </c>
      <c r="N208" s="17">
        <f>+'[1]Sell in ko tính KDT'!M207</f>
        <v>36.973987583234063</v>
      </c>
      <c r="O208" s="17">
        <f>+'[1]Sell in ko tính KDT'!N207</f>
        <v>6.7024474378518111</v>
      </c>
      <c r="P208" s="17">
        <f>+'[1]Sell in ko tính KDT'!O207</f>
        <v>0</v>
      </c>
      <c r="Q208" s="17">
        <v>0</v>
      </c>
      <c r="R208" s="17">
        <f t="shared" si="137"/>
        <v>43.676435021085872</v>
      </c>
      <c r="S208" s="17">
        <f>+'[1]Sell in ko tính KDT'!Q207</f>
        <v>36.828153104953103</v>
      </c>
      <c r="T208" s="17">
        <f>+'[1]Sell in ko tính KDT'!R207</f>
        <v>7.6940121671137902</v>
      </c>
      <c r="U208" s="17">
        <f>+'[1]Sell in ko tính KDT'!S207</f>
        <v>0</v>
      </c>
      <c r="V208" s="17">
        <v>0</v>
      </c>
      <c r="W208" s="17">
        <f t="shared" si="138"/>
        <v>44.522165272066893</v>
      </c>
      <c r="X208" s="17">
        <f>+'[1]Sell in ko tính KDT'!U207</f>
        <v>29.9797272368994</v>
      </c>
      <c r="Y208" s="17">
        <f>+'[1]Sell in ko tính KDT'!V207</f>
        <v>6.5811577334277302</v>
      </c>
      <c r="Z208" s="17">
        <f>+'[1]Sell in ko tính KDT'!W207</f>
        <v>0</v>
      </c>
      <c r="AA208" s="17">
        <v>0</v>
      </c>
      <c r="AB208" s="17">
        <f t="shared" si="139"/>
        <v>36.56088497032713</v>
      </c>
      <c r="AC208" s="17">
        <f>+'[1]Sell in ko tính KDT'!Y207</f>
        <v>34.656875699708998</v>
      </c>
      <c r="AD208" s="17">
        <f>+'[1]Sell in ko tính KDT'!Z207</f>
        <v>6.5811577334277302</v>
      </c>
      <c r="AE208" s="17">
        <f>+'[1]Sell in ko tính KDT'!AA207</f>
        <v>0</v>
      </c>
      <c r="AF208" s="17">
        <v>0</v>
      </c>
      <c r="AG208" s="17">
        <f t="shared" si="140"/>
        <v>41.238033433136728</v>
      </c>
      <c r="AH208" s="17">
        <f>+'[1]Sell in ko tính KDT'!AC207</f>
        <v>0</v>
      </c>
      <c r="AI208" s="17">
        <f>+'[1]Sell in ko tính KDT'!AD207</f>
        <v>0</v>
      </c>
      <c r="AJ208" s="17">
        <f>+'[1]Sell in ko tính KDT'!AE207</f>
        <v>0</v>
      </c>
      <c r="AK208" s="17">
        <v>0</v>
      </c>
      <c r="AL208" s="17">
        <f t="shared" si="141"/>
        <v>0</v>
      </c>
      <c r="AM208" s="17">
        <f>+'[1]Sell in ko tính KDT'!AG207</f>
        <v>0</v>
      </c>
      <c r="AN208" s="17">
        <f>+'[1]Sell in ko tính KDT'!AH207</f>
        <v>0</v>
      </c>
      <c r="AO208" s="17">
        <f>+'[1]Sell in ko tính KDT'!AI207</f>
        <v>0</v>
      </c>
      <c r="AP208" s="17">
        <v>0</v>
      </c>
      <c r="AQ208" s="17">
        <f t="shared" si="142"/>
        <v>0</v>
      </c>
      <c r="AR208" s="17">
        <f>+'[1]Sell in ko tính KDT'!AK207</f>
        <v>0</v>
      </c>
      <c r="AS208" s="17">
        <f>+'[1]Sell in ko tính KDT'!AL207</f>
        <v>0</v>
      </c>
      <c r="AT208" s="17">
        <f>+'[1]Sell in ko tính KDT'!AM207</f>
        <v>0</v>
      </c>
      <c r="AU208" s="17">
        <v>0</v>
      </c>
      <c r="AV208" s="17">
        <f t="shared" si="143"/>
        <v>0</v>
      </c>
      <c r="AW208" s="17">
        <f>+'[1]Sell in ko tính KDT'!AO207</f>
        <v>0</v>
      </c>
      <c r="AX208" s="17">
        <f>+'[1]Sell in ko tính KDT'!AP207</f>
        <v>0</v>
      </c>
      <c r="AY208" s="17">
        <f>+'[1]Sell in ko tính KDT'!AQ207</f>
        <v>0</v>
      </c>
      <c r="AZ208" s="17">
        <v>0</v>
      </c>
      <c r="BA208" s="17">
        <f t="shared" si="144"/>
        <v>0</v>
      </c>
      <c r="BB208" s="17">
        <f>+'[1]Sell in ko tính KDT'!AS207</f>
        <v>0</v>
      </c>
      <c r="BC208" s="17">
        <f>+'[1]Sell in ko tính KDT'!AT207</f>
        <v>0</v>
      </c>
      <c r="BD208" s="17">
        <f>+'[1]Sell in ko tính KDT'!AU207</f>
        <v>0</v>
      </c>
      <c r="BE208" s="17">
        <v>0</v>
      </c>
      <c r="BF208" s="17">
        <f t="shared" si="145"/>
        <v>0</v>
      </c>
      <c r="BG208" s="17">
        <f>+'[1]Sell in ko tính KDT'!AW207</f>
        <v>0</v>
      </c>
      <c r="BH208" s="17">
        <f>+'[1]Sell in ko tính KDT'!AX207</f>
        <v>0</v>
      </c>
      <c r="BI208" s="17">
        <f>+'[1]Sell in ko tính KDT'!AY207</f>
        <v>0</v>
      </c>
      <c r="BJ208" s="17">
        <v>0</v>
      </c>
      <c r="BK208" s="17">
        <f t="shared" si="146"/>
        <v>0</v>
      </c>
      <c r="BL208" s="17">
        <f>+'[1]Sell in ko tính KDT'!BA207</f>
        <v>0</v>
      </c>
      <c r="BM208" s="17">
        <f>+'[1]Sell in ko tính KDT'!BB207</f>
        <v>0</v>
      </c>
      <c r="BN208" s="17">
        <f>+'[1]Sell in ko tính KDT'!BC207</f>
        <v>0</v>
      </c>
      <c r="BO208" s="17">
        <v>0</v>
      </c>
      <c r="BP208" s="17">
        <f t="shared" si="147"/>
        <v>0</v>
      </c>
      <c r="BQ208" s="17">
        <f t="shared" si="148"/>
        <v>175.45817624287506</v>
      </c>
      <c r="BR208" s="17">
        <f t="shared" si="148"/>
        <v>35.069237419430351</v>
      </c>
      <c r="BS208" s="17">
        <f t="shared" si="148"/>
        <v>0</v>
      </c>
      <c r="BT208" s="17">
        <f t="shared" si="148"/>
        <v>0</v>
      </c>
      <c r="BU208" s="17">
        <f t="shared" si="149"/>
        <v>210.52741366230541</v>
      </c>
    </row>
    <row r="209" spans="1:73" s="46" customFormat="1" hidden="1" outlineLevel="1">
      <c r="A209" s="16" t="s">
        <v>493</v>
      </c>
      <c r="B209" s="17" t="s">
        <v>494</v>
      </c>
      <c r="C209" s="17" t="s">
        <v>495</v>
      </c>
      <c r="D209" s="17" t="s">
        <v>496</v>
      </c>
      <c r="E209" s="17"/>
      <c r="F209" s="18" t="s">
        <v>524</v>
      </c>
      <c r="G209" s="17" t="s">
        <v>525</v>
      </c>
      <c r="H209" s="17" t="s">
        <v>39</v>
      </c>
      <c r="I209" s="17">
        <f>+'[1]Sell in ko tính KDT'!I208</f>
        <v>20.028704468369945</v>
      </c>
      <c r="J209" s="17">
        <f>+'[1]Sell in ko tính KDT'!J208</f>
        <v>0</v>
      </c>
      <c r="K209" s="17">
        <f>+'[1]Sell in ko tính KDT'!K208</f>
        <v>0</v>
      </c>
      <c r="L209" s="17">
        <v>0</v>
      </c>
      <c r="M209" s="17">
        <f t="shared" si="136"/>
        <v>20.028704468369945</v>
      </c>
      <c r="N209" s="17">
        <f>+'[1]Sell in ko tính KDT'!M208</f>
        <v>17.628704468369939</v>
      </c>
      <c r="O209" s="17">
        <f>+'[1]Sell in ko tính KDT'!N208</f>
        <v>0</v>
      </c>
      <c r="P209" s="17">
        <f>+'[1]Sell in ko tính KDT'!O208</f>
        <v>0</v>
      </c>
      <c r="Q209" s="17">
        <v>0</v>
      </c>
      <c r="R209" s="17">
        <f t="shared" si="137"/>
        <v>17.628704468369939</v>
      </c>
      <c r="S209" s="17">
        <f>+'[1]Sell in ko tính KDT'!Q208</f>
        <v>19.028704468369945</v>
      </c>
      <c r="T209" s="17">
        <f>+'[1]Sell in ko tính KDT'!R208</f>
        <v>0</v>
      </c>
      <c r="U209" s="17">
        <f>+'[1]Sell in ko tính KDT'!S208</f>
        <v>0</v>
      </c>
      <c r="V209" s="17">
        <v>0</v>
      </c>
      <c r="W209" s="17">
        <f t="shared" si="138"/>
        <v>19.028704468369945</v>
      </c>
      <c r="X209" s="17">
        <f>+'[1]Sell in ko tính KDT'!U208</f>
        <v>19.028704468369945</v>
      </c>
      <c r="Y209" s="17">
        <f>+'[1]Sell in ko tính KDT'!V208</f>
        <v>0</v>
      </c>
      <c r="Z209" s="17">
        <f>+'[1]Sell in ko tính KDT'!W208</f>
        <v>0</v>
      </c>
      <c r="AA209" s="17">
        <v>0</v>
      </c>
      <c r="AB209" s="17">
        <f t="shared" si="139"/>
        <v>19.028704468369945</v>
      </c>
      <c r="AC209" s="17">
        <f>+'[1]Sell in ko tính KDT'!Y208</f>
        <v>19.028704468369945</v>
      </c>
      <c r="AD209" s="17">
        <f>+'[1]Sell in ko tính KDT'!Z208</f>
        <v>0</v>
      </c>
      <c r="AE209" s="17">
        <f>+'[1]Sell in ko tính KDT'!AA208</f>
        <v>0</v>
      </c>
      <c r="AF209" s="17">
        <v>0</v>
      </c>
      <c r="AG209" s="17">
        <f t="shared" si="140"/>
        <v>19.028704468369945</v>
      </c>
      <c r="AH209" s="17">
        <f>+'[1]Sell in ko tính KDT'!AC208</f>
        <v>20</v>
      </c>
      <c r="AI209" s="17">
        <f>+'[1]Sell in ko tính KDT'!AD208</f>
        <v>0</v>
      </c>
      <c r="AJ209" s="17">
        <f>+'[1]Sell in ko tính KDT'!AE208</f>
        <v>0</v>
      </c>
      <c r="AK209" s="17">
        <v>0</v>
      </c>
      <c r="AL209" s="17">
        <f t="shared" si="141"/>
        <v>20</v>
      </c>
      <c r="AM209" s="17">
        <f>+'[1]Sell in ko tính KDT'!AG208</f>
        <v>20</v>
      </c>
      <c r="AN209" s="17">
        <f>+'[1]Sell in ko tính KDT'!AH208</f>
        <v>0</v>
      </c>
      <c r="AO209" s="17">
        <f>+'[1]Sell in ko tính KDT'!AI208</f>
        <v>0</v>
      </c>
      <c r="AP209" s="17">
        <v>0</v>
      </c>
      <c r="AQ209" s="17">
        <f t="shared" si="142"/>
        <v>20</v>
      </c>
      <c r="AR209" s="17">
        <f>+'[1]Sell in ko tính KDT'!AK208</f>
        <v>20</v>
      </c>
      <c r="AS209" s="17">
        <f>+'[1]Sell in ko tính KDT'!AL208</f>
        <v>0</v>
      </c>
      <c r="AT209" s="17">
        <f>+'[1]Sell in ko tính KDT'!AM208</f>
        <v>0</v>
      </c>
      <c r="AU209" s="17">
        <v>0</v>
      </c>
      <c r="AV209" s="17">
        <f t="shared" si="143"/>
        <v>20</v>
      </c>
      <c r="AW209" s="17">
        <f>+'[1]Sell in ko tính KDT'!AO208</f>
        <v>30</v>
      </c>
      <c r="AX209" s="17">
        <f>+'[1]Sell in ko tính KDT'!AP208</f>
        <v>0</v>
      </c>
      <c r="AY209" s="17">
        <f>+'[1]Sell in ko tính KDT'!AQ208</f>
        <v>0</v>
      </c>
      <c r="AZ209" s="17">
        <v>0</v>
      </c>
      <c r="BA209" s="17">
        <f t="shared" si="144"/>
        <v>30</v>
      </c>
      <c r="BB209" s="17">
        <f>+'[1]Sell in ko tính KDT'!AS208</f>
        <v>20</v>
      </c>
      <c r="BC209" s="17">
        <f>+'[1]Sell in ko tính KDT'!AT208</f>
        <v>0</v>
      </c>
      <c r="BD209" s="17">
        <f>+'[1]Sell in ko tính KDT'!AU208</f>
        <v>0</v>
      </c>
      <c r="BE209" s="17">
        <v>0</v>
      </c>
      <c r="BF209" s="17">
        <f t="shared" si="145"/>
        <v>20</v>
      </c>
      <c r="BG209" s="17">
        <f>+'[1]Sell in ko tính KDT'!AW208</f>
        <v>20</v>
      </c>
      <c r="BH209" s="17">
        <f>+'[1]Sell in ko tính KDT'!AX208</f>
        <v>0</v>
      </c>
      <c r="BI209" s="17">
        <f>+'[1]Sell in ko tính KDT'!AY208</f>
        <v>0</v>
      </c>
      <c r="BJ209" s="17">
        <v>0</v>
      </c>
      <c r="BK209" s="17">
        <f t="shared" si="146"/>
        <v>20</v>
      </c>
      <c r="BL209" s="17">
        <f>+'[1]Sell in ko tính KDT'!BA208</f>
        <v>30</v>
      </c>
      <c r="BM209" s="17">
        <f>+'[1]Sell in ko tính KDT'!BB208</f>
        <v>0</v>
      </c>
      <c r="BN209" s="17">
        <f>+'[1]Sell in ko tính KDT'!BC208</f>
        <v>0</v>
      </c>
      <c r="BO209" s="17">
        <v>0</v>
      </c>
      <c r="BP209" s="17">
        <f t="shared" si="147"/>
        <v>30</v>
      </c>
      <c r="BQ209" s="17">
        <f t="shared" si="148"/>
        <v>254.74352234184968</v>
      </c>
      <c r="BR209" s="17">
        <f t="shared" si="148"/>
        <v>0</v>
      </c>
      <c r="BS209" s="17">
        <f t="shared" si="148"/>
        <v>0</v>
      </c>
      <c r="BT209" s="17">
        <f t="shared" si="148"/>
        <v>0</v>
      </c>
      <c r="BU209" s="17">
        <f t="shared" si="149"/>
        <v>254.74352234184968</v>
      </c>
    </row>
    <row r="210" spans="1:73" s="46" customFormat="1" hidden="1" outlineLevel="1">
      <c r="A210" s="16" t="s">
        <v>493</v>
      </c>
      <c r="B210" s="17" t="s">
        <v>494</v>
      </c>
      <c r="C210" s="17" t="s">
        <v>495</v>
      </c>
      <c r="D210" s="17" t="s">
        <v>496</v>
      </c>
      <c r="E210" s="17"/>
      <c r="F210" s="18" t="s">
        <v>526</v>
      </c>
      <c r="G210" s="17" t="s">
        <v>527</v>
      </c>
      <c r="H210" s="17" t="s">
        <v>519</v>
      </c>
      <c r="I210" s="17">
        <f>+'[1]Sell in ko tính KDT'!I209</f>
        <v>12</v>
      </c>
      <c r="J210" s="17">
        <f>+'[1]Sell in ko tính KDT'!J209</f>
        <v>0</v>
      </c>
      <c r="K210" s="17">
        <f>+'[1]Sell in ko tính KDT'!K209</f>
        <v>0</v>
      </c>
      <c r="L210" s="17">
        <v>0</v>
      </c>
      <c r="M210" s="17">
        <f t="shared" si="136"/>
        <v>12</v>
      </c>
      <c r="N210" s="17">
        <f>+'[1]Sell in ko tính KDT'!M209</f>
        <v>12</v>
      </c>
      <c r="O210" s="17">
        <f>+'[1]Sell in ko tính KDT'!N209</f>
        <v>0</v>
      </c>
      <c r="P210" s="17">
        <f>+'[1]Sell in ko tính KDT'!O209</f>
        <v>0</v>
      </c>
      <c r="Q210" s="17">
        <v>0</v>
      </c>
      <c r="R210" s="17">
        <f t="shared" si="137"/>
        <v>12</v>
      </c>
      <c r="S210" s="17">
        <f>+'[1]Sell in ko tính KDT'!Q209</f>
        <v>12</v>
      </c>
      <c r="T210" s="17">
        <f>+'[1]Sell in ko tính KDT'!R209</f>
        <v>0</v>
      </c>
      <c r="U210" s="17">
        <f>+'[1]Sell in ko tính KDT'!S209</f>
        <v>0</v>
      </c>
      <c r="V210" s="17">
        <v>0</v>
      </c>
      <c r="W210" s="17">
        <f t="shared" si="138"/>
        <v>12</v>
      </c>
      <c r="X210" s="17">
        <f>+'[1]Sell in ko tính KDT'!U209</f>
        <v>12</v>
      </c>
      <c r="Y210" s="17">
        <f>+'[1]Sell in ko tính KDT'!V209</f>
        <v>0</v>
      </c>
      <c r="Z210" s="17">
        <f>+'[1]Sell in ko tính KDT'!W209</f>
        <v>0</v>
      </c>
      <c r="AA210" s="17">
        <v>0</v>
      </c>
      <c r="AB210" s="17">
        <f t="shared" si="139"/>
        <v>12</v>
      </c>
      <c r="AC210" s="17">
        <f>+'[1]Sell in ko tính KDT'!Y209</f>
        <v>12</v>
      </c>
      <c r="AD210" s="17">
        <f>+'[1]Sell in ko tính KDT'!Z209</f>
        <v>0</v>
      </c>
      <c r="AE210" s="17">
        <f>+'[1]Sell in ko tính KDT'!AA209</f>
        <v>0</v>
      </c>
      <c r="AF210" s="17">
        <v>0</v>
      </c>
      <c r="AG210" s="17">
        <f t="shared" si="140"/>
        <v>12</v>
      </c>
      <c r="AH210" s="17">
        <f>+'[1]Sell in ko tính KDT'!AC209</f>
        <v>15</v>
      </c>
      <c r="AI210" s="17">
        <f>+'[1]Sell in ko tính KDT'!AD209</f>
        <v>0</v>
      </c>
      <c r="AJ210" s="17">
        <f>+'[1]Sell in ko tính KDT'!AE209</f>
        <v>0</v>
      </c>
      <c r="AK210" s="17">
        <v>0</v>
      </c>
      <c r="AL210" s="17">
        <f t="shared" si="141"/>
        <v>15</v>
      </c>
      <c r="AM210" s="17">
        <f>+'[1]Sell in ko tính KDT'!AG209</f>
        <v>15</v>
      </c>
      <c r="AN210" s="17">
        <f>+'[1]Sell in ko tính KDT'!AH209</f>
        <v>0</v>
      </c>
      <c r="AO210" s="17">
        <f>+'[1]Sell in ko tính KDT'!AI209</f>
        <v>0</v>
      </c>
      <c r="AP210" s="17">
        <v>0</v>
      </c>
      <c r="AQ210" s="17">
        <f t="shared" si="142"/>
        <v>15</v>
      </c>
      <c r="AR210" s="17">
        <f>+'[1]Sell in ko tính KDT'!AK209</f>
        <v>15</v>
      </c>
      <c r="AS210" s="17">
        <f>+'[1]Sell in ko tính KDT'!AL209</f>
        <v>0</v>
      </c>
      <c r="AT210" s="17">
        <f>+'[1]Sell in ko tính KDT'!AM209</f>
        <v>0</v>
      </c>
      <c r="AU210" s="17">
        <v>0</v>
      </c>
      <c r="AV210" s="17">
        <f t="shared" si="143"/>
        <v>15</v>
      </c>
      <c r="AW210" s="17">
        <f>+'[1]Sell in ko tính KDT'!AO209</f>
        <v>20</v>
      </c>
      <c r="AX210" s="17">
        <f>+'[1]Sell in ko tính KDT'!AP209</f>
        <v>0</v>
      </c>
      <c r="AY210" s="17">
        <f>+'[1]Sell in ko tính KDT'!AQ209</f>
        <v>0</v>
      </c>
      <c r="AZ210" s="17">
        <v>0</v>
      </c>
      <c r="BA210" s="17">
        <f t="shared" si="144"/>
        <v>20</v>
      </c>
      <c r="BB210" s="17">
        <f>+'[1]Sell in ko tính KDT'!AS209</f>
        <v>15</v>
      </c>
      <c r="BC210" s="17">
        <f>+'[1]Sell in ko tính KDT'!AT209</f>
        <v>0</v>
      </c>
      <c r="BD210" s="17">
        <f>+'[1]Sell in ko tính KDT'!AU209</f>
        <v>0</v>
      </c>
      <c r="BE210" s="17">
        <v>0</v>
      </c>
      <c r="BF210" s="17">
        <f t="shared" si="145"/>
        <v>15</v>
      </c>
      <c r="BG210" s="17">
        <f>+'[1]Sell in ko tính KDT'!AW209</f>
        <v>15</v>
      </c>
      <c r="BH210" s="17">
        <f>+'[1]Sell in ko tính KDT'!AX209</f>
        <v>0</v>
      </c>
      <c r="BI210" s="17">
        <f>+'[1]Sell in ko tính KDT'!AY209</f>
        <v>0</v>
      </c>
      <c r="BJ210" s="17">
        <v>0</v>
      </c>
      <c r="BK210" s="17">
        <f t="shared" si="146"/>
        <v>15</v>
      </c>
      <c r="BL210" s="17">
        <f>+'[1]Sell in ko tính KDT'!BA209</f>
        <v>20</v>
      </c>
      <c r="BM210" s="17">
        <f>+'[1]Sell in ko tính KDT'!BB209</f>
        <v>0</v>
      </c>
      <c r="BN210" s="17">
        <f>+'[1]Sell in ko tính KDT'!BC209</f>
        <v>0</v>
      </c>
      <c r="BO210" s="17">
        <v>0</v>
      </c>
      <c r="BP210" s="17">
        <f t="shared" si="147"/>
        <v>20</v>
      </c>
      <c r="BQ210" s="17">
        <f t="shared" si="148"/>
        <v>175</v>
      </c>
      <c r="BR210" s="17">
        <f t="shared" si="148"/>
        <v>0</v>
      </c>
      <c r="BS210" s="17">
        <f t="shared" si="148"/>
        <v>0</v>
      </c>
      <c r="BT210" s="17">
        <f t="shared" si="148"/>
        <v>0</v>
      </c>
      <c r="BU210" s="17">
        <f t="shared" si="149"/>
        <v>175</v>
      </c>
    </row>
    <row r="211" spans="1:73" s="46" customFormat="1" hidden="1" outlineLevel="1">
      <c r="A211" s="16" t="s">
        <v>493</v>
      </c>
      <c r="B211" s="17" t="s">
        <v>494</v>
      </c>
      <c r="C211" s="17" t="s">
        <v>495</v>
      </c>
      <c r="D211" s="17" t="s">
        <v>496</v>
      </c>
      <c r="E211" s="17"/>
      <c r="F211" s="18" t="s">
        <v>528</v>
      </c>
      <c r="G211" s="17" t="s">
        <v>529</v>
      </c>
      <c r="H211" s="17" t="s">
        <v>39</v>
      </c>
      <c r="I211" s="17">
        <f>+'[1]Sell in ko tính KDT'!I210</f>
        <v>2</v>
      </c>
      <c r="J211" s="17">
        <f>+'[1]Sell in ko tính KDT'!J210</f>
        <v>3</v>
      </c>
      <c r="K211" s="17">
        <f>+'[1]Sell in ko tính KDT'!K210</f>
        <v>0</v>
      </c>
      <c r="L211" s="17">
        <v>0</v>
      </c>
      <c r="M211" s="17">
        <f t="shared" si="136"/>
        <v>5</v>
      </c>
      <c r="N211" s="17">
        <f>+'[1]Sell in ko tính KDT'!M210</f>
        <v>2</v>
      </c>
      <c r="O211" s="17">
        <f>+'[1]Sell in ko tính KDT'!N210</f>
        <v>3</v>
      </c>
      <c r="P211" s="17">
        <f>+'[1]Sell in ko tính KDT'!O210</f>
        <v>0</v>
      </c>
      <c r="Q211" s="17">
        <v>0</v>
      </c>
      <c r="R211" s="17">
        <f t="shared" si="137"/>
        <v>5</v>
      </c>
      <c r="S211" s="17">
        <f>+'[1]Sell in ko tính KDT'!Q210</f>
        <v>2</v>
      </c>
      <c r="T211" s="17">
        <f>+'[1]Sell in ko tính KDT'!R210</f>
        <v>3</v>
      </c>
      <c r="U211" s="17">
        <f>+'[1]Sell in ko tính KDT'!S210</f>
        <v>0</v>
      </c>
      <c r="V211" s="17">
        <v>0</v>
      </c>
      <c r="W211" s="17">
        <f t="shared" si="138"/>
        <v>5</v>
      </c>
      <c r="X211" s="17">
        <f>+'[1]Sell in ko tính KDT'!U210</f>
        <v>2</v>
      </c>
      <c r="Y211" s="17">
        <f>+'[1]Sell in ko tính KDT'!V210</f>
        <v>3</v>
      </c>
      <c r="Z211" s="17">
        <f>+'[1]Sell in ko tính KDT'!W210</f>
        <v>0</v>
      </c>
      <c r="AA211" s="17">
        <v>0</v>
      </c>
      <c r="AB211" s="17">
        <f t="shared" si="139"/>
        <v>5</v>
      </c>
      <c r="AC211" s="17">
        <f>+'[1]Sell in ko tính KDT'!Y210</f>
        <v>2</v>
      </c>
      <c r="AD211" s="17">
        <f>+'[1]Sell in ko tính KDT'!Z210</f>
        <v>3</v>
      </c>
      <c r="AE211" s="17">
        <f>+'[1]Sell in ko tính KDT'!AA210</f>
        <v>0</v>
      </c>
      <c r="AF211" s="17">
        <v>0</v>
      </c>
      <c r="AG211" s="17">
        <f t="shared" si="140"/>
        <v>5</v>
      </c>
      <c r="AH211" s="17">
        <f>+'[1]Sell in ko tính KDT'!AC210</f>
        <v>0</v>
      </c>
      <c r="AI211" s="17">
        <f>+'[1]Sell in ko tính KDT'!AD210</f>
        <v>0</v>
      </c>
      <c r="AJ211" s="17">
        <f>+'[1]Sell in ko tính KDT'!AE210</f>
        <v>0</v>
      </c>
      <c r="AK211" s="17">
        <v>0</v>
      </c>
      <c r="AL211" s="17">
        <f t="shared" si="141"/>
        <v>0</v>
      </c>
      <c r="AM211" s="17">
        <f>+'[1]Sell in ko tính KDT'!AG210</f>
        <v>0</v>
      </c>
      <c r="AN211" s="17">
        <f>+'[1]Sell in ko tính KDT'!AH210</f>
        <v>0</v>
      </c>
      <c r="AO211" s="17">
        <f>+'[1]Sell in ko tính KDT'!AI210</f>
        <v>0</v>
      </c>
      <c r="AP211" s="17">
        <v>0</v>
      </c>
      <c r="AQ211" s="17">
        <f t="shared" si="142"/>
        <v>0</v>
      </c>
      <c r="AR211" s="17">
        <f>+'[1]Sell in ko tính KDT'!AK210</f>
        <v>0</v>
      </c>
      <c r="AS211" s="17">
        <f>+'[1]Sell in ko tính KDT'!AL210</f>
        <v>0</v>
      </c>
      <c r="AT211" s="17">
        <f>+'[1]Sell in ko tính KDT'!AM210</f>
        <v>0</v>
      </c>
      <c r="AU211" s="17">
        <v>0</v>
      </c>
      <c r="AV211" s="17">
        <f t="shared" si="143"/>
        <v>0</v>
      </c>
      <c r="AW211" s="17">
        <f>+'[1]Sell in ko tính KDT'!AO210</f>
        <v>0</v>
      </c>
      <c r="AX211" s="17">
        <f>+'[1]Sell in ko tính KDT'!AP210</f>
        <v>0</v>
      </c>
      <c r="AY211" s="17">
        <f>+'[1]Sell in ko tính KDT'!AQ210</f>
        <v>0</v>
      </c>
      <c r="AZ211" s="17">
        <v>0</v>
      </c>
      <c r="BA211" s="17">
        <f t="shared" si="144"/>
        <v>0</v>
      </c>
      <c r="BB211" s="17">
        <f>+'[1]Sell in ko tính KDT'!AS210</f>
        <v>0</v>
      </c>
      <c r="BC211" s="17">
        <f>+'[1]Sell in ko tính KDT'!AT210</f>
        <v>0</v>
      </c>
      <c r="BD211" s="17">
        <f>+'[1]Sell in ko tính KDT'!AU210</f>
        <v>0</v>
      </c>
      <c r="BE211" s="17">
        <v>0</v>
      </c>
      <c r="BF211" s="17">
        <f t="shared" si="145"/>
        <v>0</v>
      </c>
      <c r="BG211" s="17">
        <f>+'[1]Sell in ko tính KDT'!AW210</f>
        <v>0</v>
      </c>
      <c r="BH211" s="17">
        <f>+'[1]Sell in ko tính KDT'!AX210</f>
        <v>0</v>
      </c>
      <c r="BI211" s="17">
        <f>+'[1]Sell in ko tính KDT'!AY210</f>
        <v>0</v>
      </c>
      <c r="BJ211" s="17">
        <v>0</v>
      </c>
      <c r="BK211" s="17">
        <f t="shared" si="146"/>
        <v>0</v>
      </c>
      <c r="BL211" s="17">
        <f>+'[1]Sell in ko tính KDT'!BA210</f>
        <v>0</v>
      </c>
      <c r="BM211" s="17">
        <f>+'[1]Sell in ko tính KDT'!BB210</f>
        <v>0</v>
      </c>
      <c r="BN211" s="17">
        <f>+'[1]Sell in ko tính KDT'!BC210</f>
        <v>0</v>
      </c>
      <c r="BO211" s="17">
        <v>0</v>
      </c>
      <c r="BP211" s="17">
        <f t="shared" si="147"/>
        <v>0</v>
      </c>
      <c r="BQ211" s="17">
        <f t="shared" si="148"/>
        <v>10</v>
      </c>
      <c r="BR211" s="17">
        <f t="shared" si="148"/>
        <v>15</v>
      </c>
      <c r="BS211" s="17">
        <f t="shared" si="148"/>
        <v>0</v>
      </c>
      <c r="BT211" s="17">
        <f t="shared" si="148"/>
        <v>0</v>
      </c>
      <c r="BU211" s="17">
        <f t="shared" si="149"/>
        <v>25</v>
      </c>
    </row>
    <row r="212" spans="1:73" s="46" customFormat="1" hidden="1" outlineLevel="1">
      <c r="A212" s="16" t="s">
        <v>493</v>
      </c>
      <c r="B212" s="17" t="s">
        <v>494</v>
      </c>
      <c r="C212" s="17" t="s">
        <v>495</v>
      </c>
      <c r="D212" s="17" t="s">
        <v>496</v>
      </c>
      <c r="E212" s="17"/>
      <c r="F212" s="18" t="s">
        <v>530</v>
      </c>
      <c r="G212" s="17" t="s">
        <v>531</v>
      </c>
      <c r="H212" s="17" t="s">
        <v>508</v>
      </c>
      <c r="I212" s="17">
        <f>+'[1]Sell in ko tính KDT'!I211</f>
        <v>40.35</v>
      </c>
      <c r="J212" s="17">
        <f>+'[1]Sell in ko tính KDT'!J211</f>
        <v>0</v>
      </c>
      <c r="K212" s="17">
        <f>+'[1]Sell in ko tính KDT'!K211</f>
        <v>0</v>
      </c>
      <c r="L212" s="17">
        <v>0</v>
      </c>
      <c r="M212" s="17">
        <f t="shared" si="136"/>
        <v>40.35</v>
      </c>
      <c r="N212" s="17">
        <f>+'[1]Sell in ko tính KDT'!M211</f>
        <v>40.35</v>
      </c>
      <c r="O212" s="17">
        <f>+'[1]Sell in ko tính KDT'!N211</f>
        <v>0</v>
      </c>
      <c r="P212" s="17">
        <f>+'[1]Sell in ko tính KDT'!O211</f>
        <v>0</v>
      </c>
      <c r="Q212" s="17">
        <v>0</v>
      </c>
      <c r="R212" s="17">
        <f t="shared" si="137"/>
        <v>40.35</v>
      </c>
      <c r="S212" s="17">
        <f>+'[1]Sell in ko tính KDT'!Q211</f>
        <v>20.350000000000001</v>
      </c>
      <c r="T212" s="17">
        <f>+'[1]Sell in ko tính KDT'!R211</f>
        <v>0</v>
      </c>
      <c r="U212" s="17">
        <f>+'[1]Sell in ko tính KDT'!S211</f>
        <v>0</v>
      </c>
      <c r="V212" s="17">
        <v>0</v>
      </c>
      <c r="W212" s="17">
        <f t="shared" si="138"/>
        <v>20.350000000000001</v>
      </c>
      <c r="X212" s="17">
        <f>+'[1]Sell in ko tính KDT'!U211</f>
        <v>20.350000000000001</v>
      </c>
      <c r="Y212" s="17">
        <f>+'[1]Sell in ko tính KDT'!V211</f>
        <v>0</v>
      </c>
      <c r="Z212" s="17">
        <f>+'[1]Sell in ko tính KDT'!W211</f>
        <v>0</v>
      </c>
      <c r="AA212" s="17">
        <v>0</v>
      </c>
      <c r="AB212" s="17">
        <f t="shared" si="139"/>
        <v>20.350000000000001</v>
      </c>
      <c r="AC212" s="17">
        <f>+'[1]Sell in ko tính KDT'!Y211</f>
        <v>20.350000000000001</v>
      </c>
      <c r="AD212" s="17">
        <f>+'[1]Sell in ko tính KDT'!Z211</f>
        <v>0</v>
      </c>
      <c r="AE212" s="17">
        <f>+'[1]Sell in ko tính KDT'!AA211</f>
        <v>0</v>
      </c>
      <c r="AF212" s="17">
        <v>0</v>
      </c>
      <c r="AG212" s="17">
        <f t="shared" si="140"/>
        <v>20.350000000000001</v>
      </c>
      <c r="AH212" s="17">
        <f>+'[1]Sell in ko tính KDT'!AC211</f>
        <v>0</v>
      </c>
      <c r="AI212" s="17">
        <f>+'[1]Sell in ko tính KDT'!AD211</f>
        <v>0</v>
      </c>
      <c r="AJ212" s="17">
        <f>+'[1]Sell in ko tính KDT'!AE211</f>
        <v>0</v>
      </c>
      <c r="AK212" s="17">
        <v>0</v>
      </c>
      <c r="AL212" s="17">
        <f t="shared" si="141"/>
        <v>0</v>
      </c>
      <c r="AM212" s="17">
        <f>+'[1]Sell in ko tính KDT'!AG211</f>
        <v>0</v>
      </c>
      <c r="AN212" s="17">
        <f>+'[1]Sell in ko tính KDT'!AH211</f>
        <v>0</v>
      </c>
      <c r="AO212" s="17">
        <f>+'[1]Sell in ko tính KDT'!AI211</f>
        <v>0</v>
      </c>
      <c r="AP212" s="17">
        <v>0</v>
      </c>
      <c r="AQ212" s="17">
        <f t="shared" si="142"/>
        <v>0</v>
      </c>
      <c r="AR212" s="17">
        <f>+'[1]Sell in ko tính KDT'!AK211</f>
        <v>0</v>
      </c>
      <c r="AS212" s="17">
        <f>+'[1]Sell in ko tính KDT'!AL211</f>
        <v>0</v>
      </c>
      <c r="AT212" s="17">
        <f>+'[1]Sell in ko tính KDT'!AM211</f>
        <v>0</v>
      </c>
      <c r="AU212" s="17">
        <v>0</v>
      </c>
      <c r="AV212" s="17">
        <f t="shared" si="143"/>
        <v>0</v>
      </c>
      <c r="AW212" s="17">
        <f>+'[1]Sell in ko tính KDT'!AO211</f>
        <v>0</v>
      </c>
      <c r="AX212" s="17">
        <f>+'[1]Sell in ko tính KDT'!AP211</f>
        <v>0</v>
      </c>
      <c r="AY212" s="17">
        <f>+'[1]Sell in ko tính KDT'!AQ211</f>
        <v>0</v>
      </c>
      <c r="AZ212" s="17">
        <v>0</v>
      </c>
      <c r="BA212" s="17">
        <f t="shared" si="144"/>
        <v>0</v>
      </c>
      <c r="BB212" s="17">
        <f>+'[1]Sell in ko tính KDT'!AS211</f>
        <v>0</v>
      </c>
      <c r="BC212" s="17">
        <f>+'[1]Sell in ko tính KDT'!AT211</f>
        <v>0</v>
      </c>
      <c r="BD212" s="17">
        <f>+'[1]Sell in ko tính KDT'!AU211</f>
        <v>0</v>
      </c>
      <c r="BE212" s="17">
        <v>0</v>
      </c>
      <c r="BF212" s="17">
        <f t="shared" si="145"/>
        <v>0</v>
      </c>
      <c r="BG212" s="17">
        <f>+'[1]Sell in ko tính KDT'!AW211</f>
        <v>0</v>
      </c>
      <c r="BH212" s="17">
        <f>+'[1]Sell in ko tính KDT'!AX211</f>
        <v>0</v>
      </c>
      <c r="BI212" s="17">
        <f>+'[1]Sell in ko tính KDT'!AY211</f>
        <v>0</v>
      </c>
      <c r="BJ212" s="17">
        <v>0</v>
      </c>
      <c r="BK212" s="17">
        <f t="shared" si="146"/>
        <v>0</v>
      </c>
      <c r="BL212" s="17">
        <f>+'[1]Sell in ko tính KDT'!BA211</f>
        <v>0</v>
      </c>
      <c r="BM212" s="17">
        <f>+'[1]Sell in ko tính KDT'!BB211</f>
        <v>0</v>
      </c>
      <c r="BN212" s="17">
        <f>+'[1]Sell in ko tính KDT'!BC211</f>
        <v>0</v>
      </c>
      <c r="BO212" s="17">
        <v>0</v>
      </c>
      <c r="BP212" s="17">
        <f t="shared" si="147"/>
        <v>0</v>
      </c>
      <c r="BQ212" s="17">
        <f t="shared" si="148"/>
        <v>141.75</v>
      </c>
      <c r="BR212" s="17">
        <f t="shared" si="148"/>
        <v>0</v>
      </c>
      <c r="BS212" s="17">
        <f t="shared" si="148"/>
        <v>0</v>
      </c>
      <c r="BT212" s="17">
        <f t="shared" si="148"/>
        <v>0</v>
      </c>
      <c r="BU212" s="17">
        <f t="shared" si="149"/>
        <v>141.75</v>
      </c>
    </row>
    <row r="213" spans="1:73" s="46" customFormat="1" hidden="1" outlineLevel="1">
      <c r="A213" s="16" t="s">
        <v>493</v>
      </c>
      <c r="B213" s="17" t="s">
        <v>494</v>
      </c>
      <c r="C213" s="17" t="s">
        <v>495</v>
      </c>
      <c r="D213" s="17" t="s">
        <v>496</v>
      </c>
      <c r="E213" s="17"/>
      <c r="F213" s="18" t="s">
        <v>532</v>
      </c>
      <c r="G213" s="17" t="s">
        <v>533</v>
      </c>
      <c r="H213" s="17" t="s">
        <v>519</v>
      </c>
      <c r="I213" s="17">
        <f>+'[1]Sell in ko tính KDT'!I212</f>
        <v>25</v>
      </c>
      <c r="J213" s="17">
        <f>+'[1]Sell in ko tính KDT'!J212</f>
        <v>0</v>
      </c>
      <c r="K213" s="17">
        <f>+'[1]Sell in ko tính KDT'!K212</f>
        <v>0</v>
      </c>
      <c r="L213" s="17">
        <v>0</v>
      </c>
      <c r="M213" s="17">
        <f t="shared" si="136"/>
        <v>25</v>
      </c>
      <c r="N213" s="17">
        <f>+'[1]Sell in ko tính KDT'!M212</f>
        <v>25</v>
      </c>
      <c r="O213" s="17">
        <f>+'[1]Sell in ko tính KDT'!N212</f>
        <v>0</v>
      </c>
      <c r="P213" s="17">
        <f>+'[1]Sell in ko tính KDT'!O212</f>
        <v>0</v>
      </c>
      <c r="Q213" s="17">
        <v>0</v>
      </c>
      <c r="R213" s="17">
        <f t="shared" si="137"/>
        <v>25</v>
      </c>
      <c r="S213" s="17">
        <f>+'[1]Sell in ko tính KDT'!Q212</f>
        <v>25</v>
      </c>
      <c r="T213" s="17">
        <f>+'[1]Sell in ko tính KDT'!R212</f>
        <v>0</v>
      </c>
      <c r="U213" s="17">
        <f>+'[1]Sell in ko tính KDT'!S212</f>
        <v>0</v>
      </c>
      <c r="V213" s="17">
        <v>0</v>
      </c>
      <c r="W213" s="17">
        <f t="shared" si="138"/>
        <v>25</v>
      </c>
      <c r="X213" s="17">
        <f>+'[1]Sell in ko tính KDT'!U212</f>
        <v>25</v>
      </c>
      <c r="Y213" s="17">
        <f>+'[1]Sell in ko tính KDT'!V212</f>
        <v>0</v>
      </c>
      <c r="Z213" s="17">
        <f>+'[1]Sell in ko tính KDT'!W212</f>
        <v>0</v>
      </c>
      <c r="AA213" s="17">
        <v>0</v>
      </c>
      <c r="AB213" s="17">
        <f t="shared" si="139"/>
        <v>25</v>
      </c>
      <c r="AC213" s="17">
        <f>+'[1]Sell in ko tính KDT'!Y212</f>
        <v>25</v>
      </c>
      <c r="AD213" s="17">
        <f>+'[1]Sell in ko tính KDT'!Z212</f>
        <v>0</v>
      </c>
      <c r="AE213" s="17">
        <f>+'[1]Sell in ko tính KDT'!AA212</f>
        <v>0</v>
      </c>
      <c r="AF213" s="17">
        <v>0</v>
      </c>
      <c r="AG213" s="17">
        <f t="shared" si="140"/>
        <v>25</v>
      </c>
      <c r="AH213" s="17">
        <f>+'[1]Sell in ko tính KDT'!AC212</f>
        <v>20</v>
      </c>
      <c r="AI213" s="17">
        <f>+'[1]Sell in ko tính KDT'!AD212</f>
        <v>0</v>
      </c>
      <c r="AJ213" s="17">
        <f>+'[1]Sell in ko tính KDT'!AE212</f>
        <v>0</v>
      </c>
      <c r="AK213" s="17">
        <v>0</v>
      </c>
      <c r="AL213" s="17">
        <f t="shared" si="141"/>
        <v>20</v>
      </c>
      <c r="AM213" s="17">
        <f>+'[1]Sell in ko tính KDT'!AG212</f>
        <v>20</v>
      </c>
      <c r="AN213" s="17">
        <f>+'[1]Sell in ko tính KDT'!AH212</f>
        <v>0</v>
      </c>
      <c r="AO213" s="17">
        <f>+'[1]Sell in ko tính KDT'!AI212</f>
        <v>0</v>
      </c>
      <c r="AP213" s="17">
        <v>0</v>
      </c>
      <c r="AQ213" s="17">
        <f t="shared" si="142"/>
        <v>20</v>
      </c>
      <c r="AR213" s="17">
        <f>+'[1]Sell in ko tính KDT'!AK212</f>
        <v>20</v>
      </c>
      <c r="AS213" s="17">
        <f>+'[1]Sell in ko tính KDT'!AL212</f>
        <v>0</v>
      </c>
      <c r="AT213" s="17">
        <f>+'[1]Sell in ko tính KDT'!AM212</f>
        <v>0</v>
      </c>
      <c r="AU213" s="17">
        <v>0</v>
      </c>
      <c r="AV213" s="17">
        <f t="shared" si="143"/>
        <v>20</v>
      </c>
      <c r="AW213" s="17">
        <f>+'[1]Sell in ko tính KDT'!AO212</f>
        <v>20</v>
      </c>
      <c r="AX213" s="17">
        <f>+'[1]Sell in ko tính KDT'!AP212</f>
        <v>0</v>
      </c>
      <c r="AY213" s="17">
        <f>+'[1]Sell in ko tính KDT'!AQ212</f>
        <v>0</v>
      </c>
      <c r="AZ213" s="17">
        <v>0</v>
      </c>
      <c r="BA213" s="17">
        <f t="shared" si="144"/>
        <v>20</v>
      </c>
      <c r="BB213" s="17">
        <f>+'[1]Sell in ko tính KDT'!AS212</f>
        <v>20</v>
      </c>
      <c r="BC213" s="17">
        <f>+'[1]Sell in ko tính KDT'!AT212</f>
        <v>0</v>
      </c>
      <c r="BD213" s="17">
        <f>+'[1]Sell in ko tính KDT'!AU212</f>
        <v>0</v>
      </c>
      <c r="BE213" s="17">
        <v>0</v>
      </c>
      <c r="BF213" s="17">
        <f t="shared" si="145"/>
        <v>20</v>
      </c>
      <c r="BG213" s="17">
        <f>+'[1]Sell in ko tính KDT'!AW212</f>
        <v>20</v>
      </c>
      <c r="BH213" s="17">
        <f>+'[1]Sell in ko tính KDT'!AX212</f>
        <v>0</v>
      </c>
      <c r="BI213" s="17">
        <f>+'[1]Sell in ko tính KDT'!AY212</f>
        <v>0</v>
      </c>
      <c r="BJ213" s="17">
        <v>0</v>
      </c>
      <c r="BK213" s="17">
        <f t="shared" si="146"/>
        <v>20</v>
      </c>
      <c r="BL213" s="17">
        <f>+'[1]Sell in ko tính KDT'!BA212</f>
        <v>30</v>
      </c>
      <c r="BM213" s="17">
        <f>+'[1]Sell in ko tính KDT'!BB212</f>
        <v>0</v>
      </c>
      <c r="BN213" s="17">
        <f>+'[1]Sell in ko tính KDT'!BC212</f>
        <v>0</v>
      </c>
      <c r="BO213" s="17">
        <v>0</v>
      </c>
      <c r="BP213" s="17">
        <f t="shared" si="147"/>
        <v>30</v>
      </c>
      <c r="BQ213" s="17">
        <f t="shared" si="148"/>
        <v>275</v>
      </c>
      <c r="BR213" s="17">
        <f t="shared" si="148"/>
        <v>0</v>
      </c>
      <c r="BS213" s="17">
        <f t="shared" si="148"/>
        <v>0</v>
      </c>
      <c r="BT213" s="17">
        <f t="shared" si="148"/>
        <v>0</v>
      </c>
      <c r="BU213" s="17">
        <f t="shared" si="149"/>
        <v>275</v>
      </c>
    </row>
    <row r="214" spans="1:73" s="46" customFormat="1" hidden="1" outlineLevel="1">
      <c r="A214" s="16" t="s">
        <v>493</v>
      </c>
      <c r="B214" s="17" t="s">
        <v>494</v>
      </c>
      <c r="C214" s="17" t="s">
        <v>495</v>
      </c>
      <c r="D214" s="17" t="s">
        <v>496</v>
      </c>
      <c r="E214" s="17"/>
      <c r="F214" s="18" t="s">
        <v>534</v>
      </c>
      <c r="G214" s="17" t="s">
        <v>535</v>
      </c>
      <c r="H214" s="17" t="s">
        <v>39</v>
      </c>
      <c r="I214" s="17">
        <f>+'[1]Sell in ko tính KDT'!I213</f>
        <v>34.896710484357016</v>
      </c>
      <c r="J214" s="17">
        <f>+'[1]Sell in ko tính KDT'!J213</f>
        <v>5.12712920496105</v>
      </c>
      <c r="K214" s="17">
        <f>+'[1]Sell in ko tính KDT'!K213</f>
        <v>0</v>
      </c>
      <c r="L214" s="17">
        <v>0</v>
      </c>
      <c r="M214" s="17">
        <f t="shared" si="136"/>
        <v>40.023839689318066</v>
      </c>
      <c r="N214" s="17">
        <f>+'[1]Sell in ko tính KDT'!M213</f>
        <v>32.616806484356992</v>
      </c>
      <c r="O214" s="17">
        <f>+'[1]Sell in ko tính KDT'!N213</f>
        <v>5.12712920496105</v>
      </c>
      <c r="P214" s="17">
        <f>+'[1]Sell in ko tính KDT'!O213</f>
        <v>0</v>
      </c>
      <c r="Q214" s="17">
        <v>0</v>
      </c>
      <c r="R214" s="17">
        <f t="shared" si="137"/>
        <v>37.743935689318043</v>
      </c>
      <c r="S214" s="17">
        <f>+'[1]Sell in ko tính KDT'!Q213</f>
        <v>32.551651151723853</v>
      </c>
      <c r="T214" s="17">
        <f>+'[1]Sell in ko tính KDT'!R213</f>
        <v>5.12712920496105</v>
      </c>
      <c r="U214" s="17">
        <f>+'[1]Sell in ko tính KDT'!S213</f>
        <v>0</v>
      </c>
      <c r="V214" s="17">
        <v>0</v>
      </c>
      <c r="W214" s="17">
        <f t="shared" si="138"/>
        <v>37.678780356684904</v>
      </c>
      <c r="X214" s="17">
        <f>+'[1]Sell in ko tính KDT'!U213</f>
        <v>32.551651151723853</v>
      </c>
      <c r="Y214" s="17">
        <f>+'[1]Sell in ko tính KDT'!V213</f>
        <v>5.12712920496105</v>
      </c>
      <c r="Z214" s="17">
        <f>+'[1]Sell in ko tính KDT'!W213</f>
        <v>0</v>
      </c>
      <c r="AA214" s="17">
        <v>0</v>
      </c>
      <c r="AB214" s="17">
        <f t="shared" si="139"/>
        <v>37.678780356684904</v>
      </c>
      <c r="AC214" s="17">
        <f>+'[1]Sell in ko tính KDT'!Y213</f>
        <v>30.435575225092883</v>
      </c>
      <c r="AD214" s="17">
        <f>+'[1]Sell in ko tính KDT'!Z213</f>
        <v>5.12712920496105</v>
      </c>
      <c r="AE214" s="17">
        <f>+'[1]Sell in ko tính KDT'!AA213</f>
        <v>0</v>
      </c>
      <c r="AF214" s="17">
        <v>0</v>
      </c>
      <c r="AG214" s="17">
        <f t="shared" si="140"/>
        <v>35.562704430053934</v>
      </c>
      <c r="AH214" s="17">
        <f>+'[1]Sell in ko tính KDT'!AC213</f>
        <v>0</v>
      </c>
      <c r="AI214" s="17">
        <f>+'[1]Sell in ko tính KDT'!AD213</f>
        <v>0</v>
      </c>
      <c r="AJ214" s="17">
        <f>+'[1]Sell in ko tính KDT'!AE213</f>
        <v>0</v>
      </c>
      <c r="AK214" s="17">
        <v>0</v>
      </c>
      <c r="AL214" s="17">
        <f t="shared" si="141"/>
        <v>0</v>
      </c>
      <c r="AM214" s="17">
        <f>+'[1]Sell in ko tính KDT'!AG213</f>
        <v>0</v>
      </c>
      <c r="AN214" s="17">
        <f>+'[1]Sell in ko tính KDT'!AH213</f>
        <v>0</v>
      </c>
      <c r="AO214" s="17">
        <f>+'[1]Sell in ko tính KDT'!AI213</f>
        <v>0</v>
      </c>
      <c r="AP214" s="17">
        <v>0</v>
      </c>
      <c r="AQ214" s="17">
        <f t="shared" si="142"/>
        <v>0</v>
      </c>
      <c r="AR214" s="17">
        <f>+'[1]Sell in ko tính KDT'!AK213</f>
        <v>0</v>
      </c>
      <c r="AS214" s="17">
        <f>+'[1]Sell in ko tính KDT'!AL213</f>
        <v>0</v>
      </c>
      <c r="AT214" s="17">
        <f>+'[1]Sell in ko tính KDT'!AM213</f>
        <v>0</v>
      </c>
      <c r="AU214" s="17">
        <v>0</v>
      </c>
      <c r="AV214" s="17">
        <f t="shared" si="143"/>
        <v>0</v>
      </c>
      <c r="AW214" s="17">
        <f>+'[1]Sell in ko tính KDT'!AO213</f>
        <v>0</v>
      </c>
      <c r="AX214" s="17">
        <f>+'[1]Sell in ko tính KDT'!AP213</f>
        <v>0</v>
      </c>
      <c r="AY214" s="17">
        <f>+'[1]Sell in ko tính KDT'!AQ213</f>
        <v>0</v>
      </c>
      <c r="AZ214" s="17">
        <v>0</v>
      </c>
      <c r="BA214" s="17">
        <f t="shared" si="144"/>
        <v>0</v>
      </c>
      <c r="BB214" s="17">
        <f>+'[1]Sell in ko tính KDT'!AS213</f>
        <v>0</v>
      </c>
      <c r="BC214" s="17">
        <f>+'[1]Sell in ko tính KDT'!AT213</f>
        <v>0</v>
      </c>
      <c r="BD214" s="17">
        <f>+'[1]Sell in ko tính KDT'!AU213</f>
        <v>0</v>
      </c>
      <c r="BE214" s="17">
        <v>0</v>
      </c>
      <c r="BF214" s="17">
        <f t="shared" si="145"/>
        <v>0</v>
      </c>
      <c r="BG214" s="17">
        <f>+'[1]Sell in ko tính KDT'!AW213</f>
        <v>0</v>
      </c>
      <c r="BH214" s="17">
        <f>+'[1]Sell in ko tính KDT'!AX213</f>
        <v>0</v>
      </c>
      <c r="BI214" s="17">
        <f>+'[1]Sell in ko tính KDT'!AY213</f>
        <v>0</v>
      </c>
      <c r="BJ214" s="17">
        <v>0</v>
      </c>
      <c r="BK214" s="17">
        <f t="shared" si="146"/>
        <v>0</v>
      </c>
      <c r="BL214" s="17">
        <f>+'[1]Sell in ko tính KDT'!BA213</f>
        <v>0</v>
      </c>
      <c r="BM214" s="17">
        <f>+'[1]Sell in ko tính KDT'!BB213</f>
        <v>0</v>
      </c>
      <c r="BN214" s="17">
        <f>+'[1]Sell in ko tính KDT'!BC213</f>
        <v>0</v>
      </c>
      <c r="BO214" s="17">
        <v>0</v>
      </c>
      <c r="BP214" s="17">
        <f t="shared" si="147"/>
        <v>0</v>
      </c>
      <c r="BQ214" s="17">
        <f t="shared" si="148"/>
        <v>163.0523944972546</v>
      </c>
      <c r="BR214" s="17">
        <f t="shared" si="148"/>
        <v>25.635646024805251</v>
      </c>
      <c r="BS214" s="17">
        <f t="shared" si="148"/>
        <v>0</v>
      </c>
      <c r="BT214" s="17">
        <f t="shared" si="148"/>
        <v>0</v>
      </c>
      <c r="BU214" s="17">
        <f t="shared" si="149"/>
        <v>188.68804052205985</v>
      </c>
    </row>
    <row r="215" spans="1:73" s="46" customFormat="1" hidden="1" outlineLevel="1">
      <c r="A215" s="16" t="s">
        <v>493</v>
      </c>
      <c r="B215" s="17" t="s">
        <v>494</v>
      </c>
      <c r="C215" s="17" t="s">
        <v>495</v>
      </c>
      <c r="D215" s="17" t="s">
        <v>496</v>
      </c>
      <c r="E215" s="17"/>
      <c r="F215" s="18" t="s">
        <v>536</v>
      </c>
      <c r="G215" s="17" t="s">
        <v>537</v>
      </c>
      <c r="H215" s="17" t="s">
        <v>39</v>
      </c>
      <c r="I215" s="17">
        <f>+'[1]Sell in ko tính KDT'!I214</f>
        <v>11.34380310213284</v>
      </c>
      <c r="J215" s="17">
        <f>+'[1]Sell in ko tính KDT'!J214</f>
        <v>21.271362255879545</v>
      </c>
      <c r="K215" s="17">
        <f>+'[1]Sell in ko tính KDT'!K214</f>
        <v>0</v>
      </c>
      <c r="L215" s="17">
        <v>0</v>
      </c>
      <c r="M215" s="17">
        <f t="shared" si="136"/>
        <v>32.615165358012383</v>
      </c>
      <c r="N215" s="17">
        <f>+'[1]Sell in ko tính KDT'!M214</f>
        <v>11.34380310213284</v>
      </c>
      <c r="O215" s="17">
        <f>+'[1]Sell in ko tính KDT'!N214</f>
        <v>18.271362255879545</v>
      </c>
      <c r="P215" s="17">
        <f>+'[1]Sell in ko tính KDT'!O214</f>
        <v>0</v>
      </c>
      <c r="Q215" s="17">
        <v>0</v>
      </c>
      <c r="R215" s="17">
        <f t="shared" si="137"/>
        <v>29.615165358012383</v>
      </c>
      <c r="S215" s="17">
        <f>+'[1]Sell in ko tính KDT'!Q214</f>
        <v>21.343803102132846</v>
      </c>
      <c r="T215" s="17">
        <f>+'[1]Sell in ko tính KDT'!R214</f>
        <v>18.271362255879545</v>
      </c>
      <c r="U215" s="17">
        <f>+'[1]Sell in ko tính KDT'!S214</f>
        <v>0</v>
      </c>
      <c r="V215" s="17">
        <v>0</v>
      </c>
      <c r="W215" s="17">
        <f t="shared" si="138"/>
        <v>39.615165358012391</v>
      </c>
      <c r="X215" s="17">
        <f>+'[1]Sell in ko tính KDT'!U214</f>
        <v>21.343803102132846</v>
      </c>
      <c r="Y215" s="17">
        <f>+'[1]Sell in ko tính KDT'!V214</f>
        <v>18.271362255879545</v>
      </c>
      <c r="Z215" s="17">
        <f>+'[1]Sell in ko tính KDT'!W214</f>
        <v>0</v>
      </c>
      <c r="AA215" s="17">
        <v>0</v>
      </c>
      <c r="AB215" s="17">
        <f t="shared" si="139"/>
        <v>39.615165358012391</v>
      </c>
      <c r="AC215" s="17">
        <f>+'[1]Sell in ko tính KDT'!Y214</f>
        <v>21.343803102132846</v>
      </c>
      <c r="AD215" s="17">
        <f>+'[1]Sell in ko tính KDT'!Z214</f>
        <v>18.271362255879545</v>
      </c>
      <c r="AE215" s="17">
        <f>+'[1]Sell in ko tính KDT'!AA214</f>
        <v>0</v>
      </c>
      <c r="AF215" s="17">
        <v>0</v>
      </c>
      <c r="AG215" s="17">
        <f t="shared" si="140"/>
        <v>39.615165358012391</v>
      </c>
      <c r="AH215" s="17">
        <f>+'[1]Sell in ko tính KDT'!AC214</f>
        <v>0</v>
      </c>
      <c r="AI215" s="17">
        <f>+'[1]Sell in ko tính KDT'!AD214</f>
        <v>0</v>
      </c>
      <c r="AJ215" s="17">
        <f>+'[1]Sell in ko tính KDT'!AE214</f>
        <v>0</v>
      </c>
      <c r="AK215" s="17">
        <v>0</v>
      </c>
      <c r="AL215" s="17">
        <f t="shared" si="141"/>
        <v>0</v>
      </c>
      <c r="AM215" s="17">
        <f>+'[1]Sell in ko tính KDT'!AG214</f>
        <v>0</v>
      </c>
      <c r="AN215" s="17">
        <f>+'[1]Sell in ko tính KDT'!AH214</f>
        <v>0</v>
      </c>
      <c r="AO215" s="17">
        <f>+'[1]Sell in ko tính KDT'!AI214</f>
        <v>0</v>
      </c>
      <c r="AP215" s="17">
        <v>0</v>
      </c>
      <c r="AQ215" s="17">
        <f t="shared" si="142"/>
        <v>0</v>
      </c>
      <c r="AR215" s="17">
        <f>+'[1]Sell in ko tính KDT'!AK214</f>
        <v>0</v>
      </c>
      <c r="AS215" s="17">
        <f>+'[1]Sell in ko tính KDT'!AL214</f>
        <v>0</v>
      </c>
      <c r="AT215" s="17">
        <f>+'[1]Sell in ko tính KDT'!AM214</f>
        <v>0</v>
      </c>
      <c r="AU215" s="17">
        <v>0</v>
      </c>
      <c r="AV215" s="17">
        <f t="shared" si="143"/>
        <v>0</v>
      </c>
      <c r="AW215" s="17">
        <f>+'[1]Sell in ko tính KDT'!AO214</f>
        <v>0</v>
      </c>
      <c r="AX215" s="17">
        <f>+'[1]Sell in ko tính KDT'!AP214</f>
        <v>0</v>
      </c>
      <c r="AY215" s="17">
        <f>+'[1]Sell in ko tính KDT'!AQ214</f>
        <v>0</v>
      </c>
      <c r="AZ215" s="17">
        <v>0</v>
      </c>
      <c r="BA215" s="17">
        <f t="shared" si="144"/>
        <v>0</v>
      </c>
      <c r="BB215" s="17">
        <f>+'[1]Sell in ko tính KDT'!AS214</f>
        <v>0</v>
      </c>
      <c r="BC215" s="17">
        <f>+'[1]Sell in ko tính KDT'!AT214</f>
        <v>0</v>
      </c>
      <c r="BD215" s="17">
        <f>+'[1]Sell in ko tính KDT'!AU214</f>
        <v>0</v>
      </c>
      <c r="BE215" s="17">
        <v>0</v>
      </c>
      <c r="BF215" s="17">
        <f t="shared" si="145"/>
        <v>0</v>
      </c>
      <c r="BG215" s="17">
        <f>+'[1]Sell in ko tính KDT'!AW214</f>
        <v>0</v>
      </c>
      <c r="BH215" s="17">
        <f>+'[1]Sell in ko tính KDT'!AX214</f>
        <v>0</v>
      </c>
      <c r="BI215" s="17">
        <f>+'[1]Sell in ko tính KDT'!AY214</f>
        <v>0</v>
      </c>
      <c r="BJ215" s="17">
        <v>0</v>
      </c>
      <c r="BK215" s="17">
        <f t="shared" si="146"/>
        <v>0</v>
      </c>
      <c r="BL215" s="17">
        <f>+'[1]Sell in ko tính KDT'!BA214</f>
        <v>0</v>
      </c>
      <c r="BM215" s="17">
        <f>+'[1]Sell in ko tính KDT'!BB214</f>
        <v>0</v>
      </c>
      <c r="BN215" s="17">
        <f>+'[1]Sell in ko tính KDT'!BC214</f>
        <v>0</v>
      </c>
      <c r="BO215" s="17">
        <v>0</v>
      </c>
      <c r="BP215" s="17">
        <f t="shared" si="147"/>
        <v>0</v>
      </c>
      <c r="BQ215" s="17">
        <f t="shared" si="148"/>
        <v>86.719015510664207</v>
      </c>
      <c r="BR215" s="17">
        <f t="shared" si="148"/>
        <v>94.356811279397732</v>
      </c>
      <c r="BS215" s="17">
        <f t="shared" si="148"/>
        <v>0</v>
      </c>
      <c r="BT215" s="17">
        <f t="shared" si="148"/>
        <v>0</v>
      </c>
      <c r="BU215" s="17">
        <f t="shared" si="149"/>
        <v>181.07582679006194</v>
      </c>
    </row>
    <row r="216" spans="1:73" s="46" customFormat="1" hidden="1" outlineLevel="1">
      <c r="A216" s="16" t="s">
        <v>493</v>
      </c>
      <c r="B216" s="17" t="s">
        <v>494</v>
      </c>
      <c r="C216" s="17" t="s">
        <v>495</v>
      </c>
      <c r="D216" s="17" t="s">
        <v>496</v>
      </c>
      <c r="E216" s="17"/>
      <c r="F216" s="39" t="s">
        <v>538</v>
      </c>
      <c r="G216" s="31" t="s">
        <v>539</v>
      </c>
      <c r="H216" s="17" t="s">
        <v>508</v>
      </c>
      <c r="I216" s="17">
        <f>+'[1]Sell in ko tính KDT'!I215</f>
        <v>21.883374879275671</v>
      </c>
      <c r="J216" s="17">
        <f>+'[1]Sell in ko tính KDT'!J215</f>
        <v>18.000597873196998</v>
      </c>
      <c r="K216" s="17">
        <f>+'[1]Sell in ko tính KDT'!K215</f>
        <v>0</v>
      </c>
      <c r="L216" s="17">
        <v>0</v>
      </c>
      <c r="M216" s="17">
        <f t="shared" si="136"/>
        <v>39.883972752472673</v>
      </c>
      <c r="N216" s="17">
        <f>+'[1]Sell in ko tính KDT'!M215</f>
        <v>21.883374879275671</v>
      </c>
      <c r="O216" s="17">
        <f>+'[1]Sell in ko tính KDT'!N215</f>
        <v>18.000597873196998</v>
      </c>
      <c r="P216" s="17">
        <f>+'[1]Sell in ko tính KDT'!O215</f>
        <v>0</v>
      </c>
      <c r="Q216" s="17">
        <v>0</v>
      </c>
      <c r="R216" s="17">
        <f t="shared" si="137"/>
        <v>39.883972752472673</v>
      </c>
      <c r="S216" s="17">
        <f>+'[1]Sell in ko tính KDT'!Q215</f>
        <v>21.883374879275671</v>
      </c>
      <c r="T216" s="17">
        <f>+'[1]Sell in ko tính KDT'!R215</f>
        <v>18.000597873196998</v>
      </c>
      <c r="U216" s="17">
        <f>+'[1]Sell in ko tính KDT'!S215</f>
        <v>0</v>
      </c>
      <c r="V216" s="17">
        <v>0</v>
      </c>
      <c r="W216" s="17">
        <f t="shared" si="138"/>
        <v>39.883972752472673</v>
      </c>
      <c r="X216" s="17">
        <f>+'[1]Sell in ko tính KDT'!U215</f>
        <v>21.883374879275671</v>
      </c>
      <c r="Y216" s="17">
        <f>+'[1]Sell in ko tính KDT'!V215</f>
        <v>18.000597873196998</v>
      </c>
      <c r="Z216" s="17">
        <f>+'[1]Sell in ko tính KDT'!W215</f>
        <v>0</v>
      </c>
      <c r="AA216" s="17">
        <v>0</v>
      </c>
      <c r="AB216" s="17">
        <f t="shared" si="139"/>
        <v>39.883972752472673</v>
      </c>
      <c r="AC216" s="17">
        <f>+'[1]Sell in ko tính KDT'!Y215</f>
        <v>21.883374879275671</v>
      </c>
      <c r="AD216" s="17">
        <f>+'[1]Sell in ko tính KDT'!Z215</f>
        <v>18.000597873196998</v>
      </c>
      <c r="AE216" s="17">
        <f>+'[1]Sell in ko tính KDT'!AA215</f>
        <v>0</v>
      </c>
      <c r="AF216" s="17">
        <v>0</v>
      </c>
      <c r="AG216" s="17">
        <f t="shared" si="140"/>
        <v>39.883972752472673</v>
      </c>
      <c r="AH216" s="17">
        <f>+'[1]Sell in ko tính KDT'!AC215</f>
        <v>22</v>
      </c>
      <c r="AI216" s="17">
        <f>+'[1]Sell in ko tính KDT'!AD215</f>
        <v>18</v>
      </c>
      <c r="AJ216" s="17">
        <f>+'[1]Sell in ko tính KDT'!AE215</f>
        <v>0</v>
      </c>
      <c r="AK216" s="17">
        <v>0</v>
      </c>
      <c r="AL216" s="17">
        <f t="shared" si="141"/>
        <v>40</v>
      </c>
      <c r="AM216" s="17">
        <f>+'[1]Sell in ko tính KDT'!AG215</f>
        <v>22</v>
      </c>
      <c r="AN216" s="17">
        <f>+'[1]Sell in ko tính KDT'!AH215</f>
        <v>18</v>
      </c>
      <c r="AO216" s="17">
        <f>+'[1]Sell in ko tính KDT'!AI215</f>
        <v>0</v>
      </c>
      <c r="AP216" s="17">
        <v>0</v>
      </c>
      <c r="AQ216" s="17">
        <f t="shared" si="142"/>
        <v>40</v>
      </c>
      <c r="AR216" s="17">
        <f>+'[1]Sell in ko tính KDT'!AK215</f>
        <v>22</v>
      </c>
      <c r="AS216" s="17">
        <f>+'[1]Sell in ko tính KDT'!AL215</f>
        <v>18</v>
      </c>
      <c r="AT216" s="17">
        <f>+'[1]Sell in ko tính KDT'!AM215</f>
        <v>0</v>
      </c>
      <c r="AU216" s="17">
        <v>0</v>
      </c>
      <c r="AV216" s="17">
        <f t="shared" si="143"/>
        <v>40</v>
      </c>
      <c r="AW216" s="17">
        <f>+'[1]Sell in ko tính KDT'!AO215</f>
        <v>22</v>
      </c>
      <c r="AX216" s="17">
        <f>+'[1]Sell in ko tính KDT'!AP215</f>
        <v>18</v>
      </c>
      <c r="AY216" s="17">
        <f>+'[1]Sell in ko tính KDT'!AQ215</f>
        <v>0</v>
      </c>
      <c r="AZ216" s="17">
        <v>0</v>
      </c>
      <c r="BA216" s="17">
        <f t="shared" si="144"/>
        <v>40</v>
      </c>
      <c r="BB216" s="17">
        <f>+'[1]Sell in ko tính KDT'!AS215</f>
        <v>22</v>
      </c>
      <c r="BC216" s="17">
        <f>+'[1]Sell in ko tính KDT'!AT215</f>
        <v>18</v>
      </c>
      <c r="BD216" s="17">
        <f>+'[1]Sell in ko tính KDT'!AU215</f>
        <v>0</v>
      </c>
      <c r="BE216" s="17">
        <v>0</v>
      </c>
      <c r="BF216" s="17">
        <f t="shared" si="145"/>
        <v>40</v>
      </c>
      <c r="BG216" s="17">
        <f>+'[1]Sell in ko tính KDT'!AW215</f>
        <v>22</v>
      </c>
      <c r="BH216" s="17">
        <f>+'[1]Sell in ko tính KDT'!AX215</f>
        <v>18</v>
      </c>
      <c r="BI216" s="17">
        <f>+'[1]Sell in ko tính KDT'!AY215</f>
        <v>0</v>
      </c>
      <c r="BJ216" s="17">
        <v>0</v>
      </c>
      <c r="BK216" s="17">
        <f t="shared" si="146"/>
        <v>40</v>
      </c>
      <c r="BL216" s="17">
        <f>+'[1]Sell in ko tính KDT'!BA215</f>
        <v>22</v>
      </c>
      <c r="BM216" s="17">
        <f>+'[1]Sell in ko tính KDT'!BB215</f>
        <v>18</v>
      </c>
      <c r="BN216" s="17">
        <f>+'[1]Sell in ko tính KDT'!BC215</f>
        <v>0</v>
      </c>
      <c r="BO216" s="17">
        <v>0</v>
      </c>
      <c r="BP216" s="17">
        <f t="shared" si="147"/>
        <v>40</v>
      </c>
      <c r="BQ216" s="17">
        <f t="shared" si="148"/>
        <v>263.41687439637832</v>
      </c>
      <c r="BR216" s="17">
        <f t="shared" si="148"/>
        <v>216.00298936598497</v>
      </c>
      <c r="BS216" s="17">
        <f t="shared" si="148"/>
        <v>0</v>
      </c>
      <c r="BT216" s="17">
        <f t="shared" si="148"/>
        <v>0</v>
      </c>
      <c r="BU216" s="17">
        <f t="shared" si="149"/>
        <v>479.41986376236332</v>
      </c>
    </row>
    <row r="217" spans="1:73" s="46" customFormat="1" hidden="1" outlineLevel="1">
      <c r="A217" s="16" t="s">
        <v>493</v>
      </c>
      <c r="B217" s="17" t="s">
        <v>494</v>
      </c>
      <c r="C217" s="17" t="s">
        <v>495</v>
      </c>
      <c r="D217" s="17" t="s">
        <v>496</v>
      </c>
      <c r="E217" s="17"/>
      <c r="F217" s="18" t="s">
        <v>540</v>
      </c>
      <c r="G217" s="17" t="s">
        <v>541</v>
      </c>
      <c r="H217" s="17" t="s">
        <v>519</v>
      </c>
      <c r="I217" s="17">
        <f>+'[1]Sell in ko tính KDT'!I216</f>
        <v>48</v>
      </c>
      <c r="J217" s="17">
        <f>+'[1]Sell in ko tính KDT'!J216</f>
        <v>0</v>
      </c>
      <c r="K217" s="17">
        <f>+'[1]Sell in ko tính KDT'!K216</f>
        <v>0</v>
      </c>
      <c r="L217" s="17">
        <v>0</v>
      </c>
      <c r="M217" s="17">
        <f t="shared" si="136"/>
        <v>48</v>
      </c>
      <c r="N217" s="17">
        <f>+'[1]Sell in ko tính KDT'!M216</f>
        <v>48</v>
      </c>
      <c r="O217" s="17">
        <f>+'[1]Sell in ko tính KDT'!N216</f>
        <v>0</v>
      </c>
      <c r="P217" s="17">
        <f>+'[1]Sell in ko tính KDT'!O216</f>
        <v>0</v>
      </c>
      <c r="Q217" s="17">
        <v>0</v>
      </c>
      <c r="R217" s="17">
        <f t="shared" si="137"/>
        <v>48</v>
      </c>
      <c r="S217" s="17">
        <f>+'[1]Sell in ko tính KDT'!Q216</f>
        <v>48</v>
      </c>
      <c r="T217" s="17">
        <f>+'[1]Sell in ko tính KDT'!R216</f>
        <v>0</v>
      </c>
      <c r="U217" s="17">
        <f>+'[1]Sell in ko tính KDT'!S216</f>
        <v>0</v>
      </c>
      <c r="V217" s="17">
        <v>0</v>
      </c>
      <c r="W217" s="17">
        <f t="shared" si="138"/>
        <v>48</v>
      </c>
      <c r="X217" s="17">
        <f>+'[1]Sell in ko tính KDT'!U216</f>
        <v>48</v>
      </c>
      <c r="Y217" s="17">
        <f>+'[1]Sell in ko tính KDT'!V216</f>
        <v>0</v>
      </c>
      <c r="Z217" s="17">
        <f>+'[1]Sell in ko tính KDT'!W216</f>
        <v>0</v>
      </c>
      <c r="AA217" s="17">
        <v>0</v>
      </c>
      <c r="AB217" s="17">
        <f t="shared" si="139"/>
        <v>48</v>
      </c>
      <c r="AC217" s="17">
        <f>+'[1]Sell in ko tính KDT'!Y216</f>
        <v>48</v>
      </c>
      <c r="AD217" s="17">
        <f>+'[1]Sell in ko tính KDT'!Z216</f>
        <v>0</v>
      </c>
      <c r="AE217" s="17">
        <f>+'[1]Sell in ko tính KDT'!AA216</f>
        <v>0</v>
      </c>
      <c r="AF217" s="17">
        <v>0</v>
      </c>
      <c r="AG217" s="17">
        <f t="shared" si="140"/>
        <v>48</v>
      </c>
      <c r="AH217" s="17">
        <f>+'[1]Sell in ko tính KDT'!AC216</f>
        <v>20</v>
      </c>
      <c r="AI217" s="17">
        <f>+'[1]Sell in ko tính KDT'!AD216</f>
        <v>0</v>
      </c>
      <c r="AJ217" s="17">
        <f>+'[1]Sell in ko tính KDT'!AE216</f>
        <v>0</v>
      </c>
      <c r="AK217" s="17">
        <v>0</v>
      </c>
      <c r="AL217" s="17">
        <f t="shared" si="141"/>
        <v>20</v>
      </c>
      <c r="AM217" s="17">
        <f>+'[1]Sell in ko tính KDT'!AG216</f>
        <v>20</v>
      </c>
      <c r="AN217" s="17">
        <f>+'[1]Sell in ko tính KDT'!AH216</f>
        <v>0</v>
      </c>
      <c r="AO217" s="17">
        <f>+'[1]Sell in ko tính KDT'!AI216</f>
        <v>0</v>
      </c>
      <c r="AP217" s="17">
        <v>0</v>
      </c>
      <c r="AQ217" s="17">
        <f t="shared" si="142"/>
        <v>20</v>
      </c>
      <c r="AR217" s="17">
        <f>+'[1]Sell in ko tính KDT'!AK216</f>
        <v>20</v>
      </c>
      <c r="AS217" s="17">
        <f>+'[1]Sell in ko tính KDT'!AL216</f>
        <v>0</v>
      </c>
      <c r="AT217" s="17">
        <f>+'[1]Sell in ko tính KDT'!AM216</f>
        <v>0</v>
      </c>
      <c r="AU217" s="17">
        <v>0</v>
      </c>
      <c r="AV217" s="17">
        <f t="shared" si="143"/>
        <v>20</v>
      </c>
      <c r="AW217" s="17">
        <f>+'[1]Sell in ko tính KDT'!AO216</f>
        <v>20</v>
      </c>
      <c r="AX217" s="17">
        <f>+'[1]Sell in ko tính KDT'!AP216</f>
        <v>0</v>
      </c>
      <c r="AY217" s="17">
        <f>+'[1]Sell in ko tính KDT'!AQ216</f>
        <v>0</v>
      </c>
      <c r="AZ217" s="17">
        <v>0</v>
      </c>
      <c r="BA217" s="17">
        <f t="shared" si="144"/>
        <v>20</v>
      </c>
      <c r="BB217" s="17">
        <f>+'[1]Sell in ko tính KDT'!AS216</f>
        <v>20</v>
      </c>
      <c r="BC217" s="17">
        <f>+'[1]Sell in ko tính KDT'!AT216</f>
        <v>0</v>
      </c>
      <c r="BD217" s="17">
        <f>+'[1]Sell in ko tính KDT'!AU216</f>
        <v>0</v>
      </c>
      <c r="BE217" s="17">
        <v>0</v>
      </c>
      <c r="BF217" s="17">
        <f t="shared" si="145"/>
        <v>20</v>
      </c>
      <c r="BG217" s="17">
        <f>+'[1]Sell in ko tính KDT'!AW216</f>
        <v>20</v>
      </c>
      <c r="BH217" s="17">
        <f>+'[1]Sell in ko tính KDT'!AX216</f>
        <v>0</v>
      </c>
      <c r="BI217" s="17">
        <f>+'[1]Sell in ko tính KDT'!AY216</f>
        <v>0</v>
      </c>
      <c r="BJ217" s="17">
        <v>0</v>
      </c>
      <c r="BK217" s="17">
        <f t="shared" si="146"/>
        <v>20</v>
      </c>
      <c r="BL217" s="17">
        <f>+'[1]Sell in ko tính KDT'!BA216</f>
        <v>20</v>
      </c>
      <c r="BM217" s="17">
        <f>+'[1]Sell in ko tính KDT'!BB216</f>
        <v>0</v>
      </c>
      <c r="BN217" s="17">
        <f>+'[1]Sell in ko tính KDT'!BC216</f>
        <v>0</v>
      </c>
      <c r="BO217" s="17">
        <v>0</v>
      </c>
      <c r="BP217" s="17">
        <f t="shared" si="147"/>
        <v>20</v>
      </c>
      <c r="BQ217" s="17">
        <f t="shared" si="148"/>
        <v>380</v>
      </c>
      <c r="BR217" s="17">
        <f t="shared" si="148"/>
        <v>0</v>
      </c>
      <c r="BS217" s="17">
        <f t="shared" si="148"/>
        <v>0</v>
      </c>
      <c r="BT217" s="17">
        <f t="shared" si="148"/>
        <v>0</v>
      </c>
      <c r="BU217" s="17">
        <f t="shared" si="149"/>
        <v>380</v>
      </c>
    </row>
    <row r="218" spans="1:73" s="46" customFormat="1" hidden="1" outlineLevel="1">
      <c r="A218" s="16" t="s">
        <v>493</v>
      </c>
      <c r="B218" s="17" t="s">
        <v>494</v>
      </c>
      <c r="C218" s="17" t="s">
        <v>495</v>
      </c>
      <c r="D218" s="17" t="s">
        <v>496</v>
      </c>
      <c r="E218" s="17"/>
      <c r="F218" s="31" t="s">
        <v>542</v>
      </c>
      <c r="G218" s="31" t="s">
        <v>543</v>
      </c>
      <c r="H218" s="17" t="s">
        <v>39</v>
      </c>
      <c r="I218" s="17">
        <f>+'[1]Sell in ko tính KDT'!I217</f>
        <v>5</v>
      </c>
      <c r="J218" s="17">
        <f>+'[1]Sell in ko tính KDT'!J217</f>
        <v>0</v>
      </c>
      <c r="K218" s="17">
        <f>+'[1]Sell in ko tính KDT'!K217</f>
        <v>0</v>
      </c>
      <c r="L218" s="17">
        <v>0</v>
      </c>
      <c r="M218" s="17">
        <f t="shared" si="136"/>
        <v>5</v>
      </c>
      <c r="N218" s="17">
        <f>+'[1]Sell in ko tính KDT'!M217</f>
        <v>5</v>
      </c>
      <c r="O218" s="17">
        <f>+'[1]Sell in ko tính KDT'!N217</f>
        <v>0</v>
      </c>
      <c r="P218" s="17">
        <f>+'[1]Sell in ko tính KDT'!O217</f>
        <v>0</v>
      </c>
      <c r="Q218" s="17">
        <v>0</v>
      </c>
      <c r="R218" s="17">
        <f t="shared" si="137"/>
        <v>5</v>
      </c>
      <c r="S218" s="17">
        <f>+'[1]Sell in ko tính KDT'!Q217</f>
        <v>5</v>
      </c>
      <c r="T218" s="17">
        <f>+'[1]Sell in ko tính KDT'!R217</f>
        <v>0</v>
      </c>
      <c r="U218" s="17">
        <f>+'[1]Sell in ko tính KDT'!S217</f>
        <v>0</v>
      </c>
      <c r="V218" s="17">
        <v>0</v>
      </c>
      <c r="W218" s="17">
        <f t="shared" si="138"/>
        <v>5</v>
      </c>
      <c r="X218" s="17">
        <f>+'[1]Sell in ko tính KDT'!U217</f>
        <v>5</v>
      </c>
      <c r="Y218" s="17">
        <f>+'[1]Sell in ko tính KDT'!V217</f>
        <v>0</v>
      </c>
      <c r="Z218" s="17">
        <f>+'[1]Sell in ko tính KDT'!W217</f>
        <v>0</v>
      </c>
      <c r="AA218" s="17">
        <v>0</v>
      </c>
      <c r="AB218" s="17">
        <f t="shared" si="139"/>
        <v>5</v>
      </c>
      <c r="AC218" s="17">
        <f>+'[1]Sell in ko tính KDT'!Y217</f>
        <v>5</v>
      </c>
      <c r="AD218" s="17">
        <f>+'[1]Sell in ko tính KDT'!Z217</f>
        <v>0</v>
      </c>
      <c r="AE218" s="17">
        <f>+'[1]Sell in ko tính KDT'!AA217</f>
        <v>0</v>
      </c>
      <c r="AF218" s="17">
        <v>0</v>
      </c>
      <c r="AG218" s="17">
        <f t="shared" si="140"/>
        <v>5</v>
      </c>
      <c r="AH218" s="17">
        <f>+'[1]Sell in ko tính KDT'!AC217</f>
        <v>30</v>
      </c>
      <c r="AI218" s="17">
        <f>+'[1]Sell in ko tính KDT'!AD217</f>
        <v>0</v>
      </c>
      <c r="AJ218" s="17">
        <f>+'[1]Sell in ko tính KDT'!AE217</f>
        <v>0</v>
      </c>
      <c r="AK218" s="17">
        <v>0</v>
      </c>
      <c r="AL218" s="17">
        <f t="shared" si="141"/>
        <v>30</v>
      </c>
      <c r="AM218" s="17">
        <f>+'[1]Sell in ko tính KDT'!AG217</f>
        <v>30</v>
      </c>
      <c r="AN218" s="17">
        <f>+'[1]Sell in ko tính KDT'!AH217</f>
        <v>0</v>
      </c>
      <c r="AO218" s="17">
        <f>+'[1]Sell in ko tính KDT'!AI217</f>
        <v>0</v>
      </c>
      <c r="AP218" s="17">
        <v>0</v>
      </c>
      <c r="AQ218" s="17">
        <f t="shared" si="142"/>
        <v>30</v>
      </c>
      <c r="AR218" s="17">
        <f>+'[1]Sell in ko tính KDT'!AK217</f>
        <v>30</v>
      </c>
      <c r="AS218" s="17">
        <f>+'[1]Sell in ko tính KDT'!AL217</f>
        <v>0</v>
      </c>
      <c r="AT218" s="17">
        <f>+'[1]Sell in ko tính KDT'!AM217</f>
        <v>0</v>
      </c>
      <c r="AU218" s="17">
        <v>0</v>
      </c>
      <c r="AV218" s="17">
        <f t="shared" si="143"/>
        <v>30</v>
      </c>
      <c r="AW218" s="17">
        <f>+'[1]Sell in ko tính KDT'!AO217</f>
        <v>30</v>
      </c>
      <c r="AX218" s="17">
        <f>+'[1]Sell in ko tính KDT'!AP217</f>
        <v>0</v>
      </c>
      <c r="AY218" s="17">
        <f>+'[1]Sell in ko tính KDT'!AQ217</f>
        <v>0</v>
      </c>
      <c r="AZ218" s="17">
        <v>0</v>
      </c>
      <c r="BA218" s="17">
        <f t="shared" si="144"/>
        <v>30</v>
      </c>
      <c r="BB218" s="17">
        <f>+'[1]Sell in ko tính KDT'!AS217</f>
        <v>30</v>
      </c>
      <c r="BC218" s="17">
        <f>+'[1]Sell in ko tính KDT'!AT217</f>
        <v>0</v>
      </c>
      <c r="BD218" s="17">
        <f>+'[1]Sell in ko tính KDT'!AU217</f>
        <v>0</v>
      </c>
      <c r="BE218" s="17">
        <v>0</v>
      </c>
      <c r="BF218" s="17">
        <f t="shared" si="145"/>
        <v>30</v>
      </c>
      <c r="BG218" s="17">
        <f>+'[1]Sell in ko tính KDT'!AW217</f>
        <v>30</v>
      </c>
      <c r="BH218" s="17">
        <f>+'[1]Sell in ko tính KDT'!AX217</f>
        <v>0</v>
      </c>
      <c r="BI218" s="17">
        <f>+'[1]Sell in ko tính KDT'!AY217</f>
        <v>0</v>
      </c>
      <c r="BJ218" s="17">
        <v>0</v>
      </c>
      <c r="BK218" s="17">
        <f t="shared" si="146"/>
        <v>30</v>
      </c>
      <c r="BL218" s="17">
        <f>+'[1]Sell in ko tính KDT'!BA217</f>
        <v>30</v>
      </c>
      <c r="BM218" s="17">
        <f>+'[1]Sell in ko tính KDT'!BB217</f>
        <v>0</v>
      </c>
      <c r="BN218" s="17">
        <f>+'[1]Sell in ko tính KDT'!BC217</f>
        <v>0</v>
      </c>
      <c r="BO218" s="17">
        <v>0</v>
      </c>
      <c r="BP218" s="17">
        <f t="shared" si="147"/>
        <v>30</v>
      </c>
      <c r="BQ218" s="17">
        <f t="shared" si="148"/>
        <v>235</v>
      </c>
      <c r="BR218" s="17">
        <f t="shared" si="148"/>
        <v>0</v>
      </c>
      <c r="BS218" s="17">
        <f t="shared" si="148"/>
        <v>0</v>
      </c>
      <c r="BT218" s="17">
        <f t="shared" si="148"/>
        <v>0</v>
      </c>
      <c r="BU218" s="17">
        <f t="shared" si="149"/>
        <v>235</v>
      </c>
    </row>
    <row r="219" spans="1:73" s="46" customFormat="1" hidden="1" outlineLevel="1">
      <c r="A219" s="16" t="s">
        <v>493</v>
      </c>
      <c r="B219" s="17" t="s">
        <v>494</v>
      </c>
      <c r="C219" s="17" t="s">
        <v>473</v>
      </c>
      <c r="D219" s="17" t="s">
        <v>496</v>
      </c>
      <c r="E219" s="17"/>
      <c r="F219" s="18" t="s">
        <v>544</v>
      </c>
      <c r="G219" s="17" t="s">
        <v>545</v>
      </c>
      <c r="H219" s="17" t="s">
        <v>39</v>
      </c>
      <c r="I219" s="17">
        <f>+'[1]Sell in ko tính KDT'!I218</f>
        <v>0</v>
      </c>
      <c r="J219" s="17">
        <f>+'[1]Sell in ko tính KDT'!J218</f>
        <v>0</v>
      </c>
      <c r="K219" s="17">
        <f>+'[1]Sell in ko tính KDT'!K218</f>
        <v>0</v>
      </c>
      <c r="L219" s="17">
        <v>0</v>
      </c>
      <c r="M219" s="17">
        <f t="shared" si="136"/>
        <v>0</v>
      </c>
      <c r="N219" s="17">
        <f>+'[1]Sell in ko tính KDT'!M218</f>
        <v>0</v>
      </c>
      <c r="O219" s="17">
        <f>+'[1]Sell in ko tính KDT'!N218</f>
        <v>0</v>
      </c>
      <c r="P219" s="17">
        <f>+'[1]Sell in ko tính KDT'!O218</f>
        <v>0</v>
      </c>
      <c r="Q219" s="17">
        <v>0</v>
      </c>
      <c r="R219" s="17">
        <f t="shared" si="137"/>
        <v>0</v>
      </c>
      <c r="S219" s="17">
        <f>+'[1]Sell in ko tính KDT'!Q218</f>
        <v>100</v>
      </c>
      <c r="T219" s="17">
        <f>+'[1]Sell in ko tính KDT'!R218</f>
        <v>0</v>
      </c>
      <c r="U219" s="17">
        <f>+'[1]Sell in ko tính KDT'!S218</f>
        <v>0</v>
      </c>
      <c r="V219" s="17">
        <v>0</v>
      </c>
      <c r="W219" s="17">
        <f t="shared" si="138"/>
        <v>100</v>
      </c>
      <c r="X219" s="17">
        <f>+'[1]Sell in ko tính KDT'!U218</f>
        <v>96</v>
      </c>
      <c r="Y219" s="17">
        <f>+'[1]Sell in ko tính KDT'!V218</f>
        <v>0</v>
      </c>
      <c r="Z219" s="17">
        <f>+'[1]Sell in ko tính KDT'!W218</f>
        <v>0</v>
      </c>
      <c r="AA219" s="17">
        <v>0</v>
      </c>
      <c r="AB219" s="17">
        <f t="shared" si="139"/>
        <v>96</v>
      </c>
      <c r="AC219" s="17">
        <f>+'[1]Sell in ko tính KDT'!Y218</f>
        <v>96</v>
      </c>
      <c r="AD219" s="17">
        <f>+'[1]Sell in ko tính KDT'!Z218</f>
        <v>0</v>
      </c>
      <c r="AE219" s="17">
        <f>+'[1]Sell in ko tính KDT'!AA218</f>
        <v>0</v>
      </c>
      <c r="AF219" s="17">
        <v>0</v>
      </c>
      <c r="AG219" s="17">
        <f t="shared" si="140"/>
        <v>96</v>
      </c>
      <c r="AH219" s="17">
        <f>+'[1]Sell in ko tính KDT'!AC218</f>
        <v>20</v>
      </c>
      <c r="AI219" s="17">
        <f>+'[1]Sell in ko tính KDT'!AD218</f>
        <v>0</v>
      </c>
      <c r="AJ219" s="17">
        <f>+'[1]Sell in ko tính KDT'!AE218</f>
        <v>0</v>
      </c>
      <c r="AK219" s="17">
        <v>0</v>
      </c>
      <c r="AL219" s="17">
        <f t="shared" si="141"/>
        <v>20</v>
      </c>
      <c r="AM219" s="17">
        <f>+'[1]Sell in ko tính KDT'!AG218</f>
        <v>20</v>
      </c>
      <c r="AN219" s="17">
        <f>+'[1]Sell in ko tính KDT'!AH218</f>
        <v>0</v>
      </c>
      <c r="AO219" s="17">
        <f>+'[1]Sell in ko tính KDT'!AI218</f>
        <v>0</v>
      </c>
      <c r="AP219" s="17">
        <v>0</v>
      </c>
      <c r="AQ219" s="17">
        <f t="shared" si="142"/>
        <v>20</v>
      </c>
      <c r="AR219" s="17">
        <f>+'[1]Sell in ko tính KDT'!AK218</f>
        <v>20</v>
      </c>
      <c r="AS219" s="17">
        <f>+'[1]Sell in ko tính KDT'!AL218</f>
        <v>0</v>
      </c>
      <c r="AT219" s="17">
        <f>+'[1]Sell in ko tính KDT'!AM218</f>
        <v>0</v>
      </c>
      <c r="AU219" s="17">
        <v>0</v>
      </c>
      <c r="AV219" s="17">
        <f t="shared" si="143"/>
        <v>20</v>
      </c>
      <c r="AW219" s="17">
        <f>+'[1]Sell in ko tính KDT'!AO218</f>
        <v>20</v>
      </c>
      <c r="AX219" s="17">
        <f>+'[1]Sell in ko tính KDT'!AP218</f>
        <v>0</v>
      </c>
      <c r="AY219" s="17">
        <f>+'[1]Sell in ko tính KDT'!AQ218</f>
        <v>0</v>
      </c>
      <c r="AZ219" s="17">
        <v>0</v>
      </c>
      <c r="BA219" s="17">
        <f t="shared" si="144"/>
        <v>20</v>
      </c>
      <c r="BB219" s="17">
        <f>+'[1]Sell in ko tính KDT'!AS218</f>
        <v>20</v>
      </c>
      <c r="BC219" s="17">
        <f>+'[1]Sell in ko tính KDT'!AT218</f>
        <v>0</v>
      </c>
      <c r="BD219" s="17">
        <f>+'[1]Sell in ko tính KDT'!AU218</f>
        <v>0</v>
      </c>
      <c r="BE219" s="17">
        <v>0</v>
      </c>
      <c r="BF219" s="17">
        <f t="shared" si="145"/>
        <v>20</v>
      </c>
      <c r="BG219" s="17">
        <f>+'[1]Sell in ko tính KDT'!AW218</f>
        <v>20</v>
      </c>
      <c r="BH219" s="17">
        <f>+'[1]Sell in ko tính KDT'!AX218</f>
        <v>0</v>
      </c>
      <c r="BI219" s="17">
        <f>+'[1]Sell in ko tính KDT'!AY218</f>
        <v>0</v>
      </c>
      <c r="BJ219" s="17">
        <v>0</v>
      </c>
      <c r="BK219" s="17">
        <f t="shared" si="146"/>
        <v>20</v>
      </c>
      <c r="BL219" s="17">
        <f>+'[1]Sell in ko tính KDT'!BA218</f>
        <v>20</v>
      </c>
      <c r="BM219" s="17">
        <f>+'[1]Sell in ko tính KDT'!BB218</f>
        <v>0</v>
      </c>
      <c r="BN219" s="17">
        <f>+'[1]Sell in ko tính KDT'!BC218</f>
        <v>0</v>
      </c>
      <c r="BO219" s="17">
        <v>0</v>
      </c>
      <c r="BP219" s="17">
        <f t="shared" si="147"/>
        <v>20</v>
      </c>
      <c r="BQ219" s="17">
        <f t="shared" ref="BQ219:BT227" si="150">BL219+BG219+BB219+AW219+AR219+AM219+AH219+AC219+X219+S219+N219+I219</f>
        <v>432</v>
      </c>
      <c r="BR219" s="17">
        <f t="shared" si="150"/>
        <v>0</v>
      </c>
      <c r="BS219" s="17">
        <f t="shared" si="150"/>
        <v>0</v>
      </c>
      <c r="BT219" s="17">
        <f t="shared" si="150"/>
        <v>0</v>
      </c>
      <c r="BU219" s="17">
        <f t="shared" si="149"/>
        <v>432</v>
      </c>
    </row>
    <row r="220" spans="1:73" s="46" customFormat="1" hidden="1" outlineLevel="1">
      <c r="A220" s="16" t="s">
        <v>493</v>
      </c>
      <c r="B220" s="17" t="s">
        <v>494</v>
      </c>
      <c r="C220" s="17" t="s">
        <v>546</v>
      </c>
      <c r="D220" s="17" t="s">
        <v>496</v>
      </c>
      <c r="E220" s="17"/>
      <c r="F220" s="18" t="s">
        <v>547</v>
      </c>
      <c r="G220" s="17" t="s">
        <v>548</v>
      </c>
      <c r="H220" s="17" t="s">
        <v>519</v>
      </c>
      <c r="I220" s="17">
        <f>+'[1]Sell in ko tính KDT'!I219</f>
        <v>50</v>
      </c>
      <c r="J220" s="17">
        <f>+'[1]Sell in ko tính KDT'!J219</f>
        <v>0</v>
      </c>
      <c r="K220" s="17">
        <f>+'[1]Sell in ko tính KDT'!K219</f>
        <v>0</v>
      </c>
      <c r="L220" s="17">
        <v>0</v>
      </c>
      <c r="M220" s="17">
        <f t="shared" si="136"/>
        <v>50</v>
      </c>
      <c r="N220" s="17">
        <f>+'[1]Sell in ko tính KDT'!M219</f>
        <v>50</v>
      </c>
      <c r="O220" s="17">
        <f>+'[1]Sell in ko tính KDT'!N219</f>
        <v>0</v>
      </c>
      <c r="P220" s="17">
        <f>+'[1]Sell in ko tính KDT'!O219</f>
        <v>0</v>
      </c>
      <c r="Q220" s="17">
        <v>0</v>
      </c>
      <c r="R220" s="17">
        <f t="shared" si="137"/>
        <v>50</v>
      </c>
      <c r="S220" s="17">
        <f>+'[1]Sell in ko tính KDT'!Q219</f>
        <v>70</v>
      </c>
      <c r="T220" s="17">
        <f>+'[1]Sell in ko tính KDT'!R219</f>
        <v>0</v>
      </c>
      <c r="U220" s="17">
        <f>+'[1]Sell in ko tính KDT'!S219</f>
        <v>0</v>
      </c>
      <c r="V220" s="17">
        <v>0</v>
      </c>
      <c r="W220" s="17">
        <f t="shared" si="138"/>
        <v>70</v>
      </c>
      <c r="X220" s="17">
        <f>+'[1]Sell in ko tính KDT'!U219</f>
        <v>70</v>
      </c>
      <c r="Y220" s="17">
        <f>+'[1]Sell in ko tính KDT'!V219</f>
        <v>0</v>
      </c>
      <c r="Z220" s="17">
        <f>+'[1]Sell in ko tính KDT'!W219</f>
        <v>0</v>
      </c>
      <c r="AA220" s="17">
        <v>0</v>
      </c>
      <c r="AB220" s="17">
        <f t="shared" si="139"/>
        <v>70</v>
      </c>
      <c r="AC220" s="17">
        <f>+'[1]Sell in ko tính KDT'!Y219</f>
        <v>70</v>
      </c>
      <c r="AD220" s="17">
        <f>+'[1]Sell in ko tính KDT'!Z219</f>
        <v>0</v>
      </c>
      <c r="AE220" s="17">
        <f>+'[1]Sell in ko tính KDT'!AA219</f>
        <v>0</v>
      </c>
      <c r="AF220" s="17">
        <v>0</v>
      </c>
      <c r="AG220" s="17">
        <f t="shared" si="140"/>
        <v>70</v>
      </c>
      <c r="AH220" s="17">
        <f>+'[1]Sell in ko tính KDT'!AC219</f>
        <v>30</v>
      </c>
      <c r="AI220" s="17">
        <f>+'[1]Sell in ko tính KDT'!AD219</f>
        <v>0</v>
      </c>
      <c r="AJ220" s="17">
        <f>+'[1]Sell in ko tính KDT'!AE219</f>
        <v>0</v>
      </c>
      <c r="AK220" s="17">
        <v>0</v>
      </c>
      <c r="AL220" s="17">
        <f t="shared" si="141"/>
        <v>30</v>
      </c>
      <c r="AM220" s="17">
        <f>+'[1]Sell in ko tính KDT'!AG219</f>
        <v>30</v>
      </c>
      <c r="AN220" s="17">
        <f>+'[1]Sell in ko tính KDT'!AH219</f>
        <v>0</v>
      </c>
      <c r="AO220" s="17">
        <f>+'[1]Sell in ko tính KDT'!AI219</f>
        <v>0</v>
      </c>
      <c r="AP220" s="17">
        <v>0</v>
      </c>
      <c r="AQ220" s="17">
        <f t="shared" si="142"/>
        <v>30</v>
      </c>
      <c r="AR220" s="17">
        <f>+'[1]Sell in ko tính KDT'!AK219</f>
        <v>30</v>
      </c>
      <c r="AS220" s="17">
        <f>+'[1]Sell in ko tính KDT'!AL219</f>
        <v>0</v>
      </c>
      <c r="AT220" s="17">
        <f>+'[1]Sell in ko tính KDT'!AM219</f>
        <v>0</v>
      </c>
      <c r="AU220" s="17">
        <v>0</v>
      </c>
      <c r="AV220" s="17">
        <f t="shared" si="143"/>
        <v>30</v>
      </c>
      <c r="AW220" s="17">
        <f>+'[1]Sell in ko tính KDT'!AO219</f>
        <v>30</v>
      </c>
      <c r="AX220" s="17">
        <f>+'[1]Sell in ko tính KDT'!AP219</f>
        <v>0</v>
      </c>
      <c r="AY220" s="17">
        <f>+'[1]Sell in ko tính KDT'!AQ219</f>
        <v>0</v>
      </c>
      <c r="AZ220" s="17">
        <v>0</v>
      </c>
      <c r="BA220" s="17">
        <f t="shared" si="144"/>
        <v>30</v>
      </c>
      <c r="BB220" s="17">
        <f>+'[1]Sell in ko tính KDT'!AS219</f>
        <v>30</v>
      </c>
      <c r="BC220" s="17">
        <f>+'[1]Sell in ko tính KDT'!AT219</f>
        <v>0</v>
      </c>
      <c r="BD220" s="17">
        <f>+'[1]Sell in ko tính KDT'!AU219</f>
        <v>0</v>
      </c>
      <c r="BE220" s="17">
        <v>0</v>
      </c>
      <c r="BF220" s="17">
        <f t="shared" si="145"/>
        <v>30</v>
      </c>
      <c r="BG220" s="17">
        <f>+'[1]Sell in ko tính KDT'!AW219</f>
        <v>30</v>
      </c>
      <c r="BH220" s="17">
        <f>+'[1]Sell in ko tính KDT'!AX219</f>
        <v>0</v>
      </c>
      <c r="BI220" s="17">
        <f>+'[1]Sell in ko tính KDT'!AY219</f>
        <v>0</v>
      </c>
      <c r="BJ220" s="17">
        <v>0</v>
      </c>
      <c r="BK220" s="17">
        <f t="shared" si="146"/>
        <v>30</v>
      </c>
      <c r="BL220" s="17">
        <f>+'[1]Sell in ko tính KDT'!BA219</f>
        <v>30</v>
      </c>
      <c r="BM220" s="17">
        <f>+'[1]Sell in ko tính KDT'!BB219</f>
        <v>0</v>
      </c>
      <c r="BN220" s="17">
        <f>+'[1]Sell in ko tính KDT'!BC219</f>
        <v>0</v>
      </c>
      <c r="BO220" s="17">
        <v>0</v>
      </c>
      <c r="BP220" s="17">
        <f t="shared" si="147"/>
        <v>30</v>
      </c>
      <c r="BQ220" s="17">
        <f t="shared" si="150"/>
        <v>520</v>
      </c>
      <c r="BR220" s="17">
        <f t="shared" si="150"/>
        <v>0</v>
      </c>
      <c r="BS220" s="17">
        <f t="shared" si="150"/>
        <v>0</v>
      </c>
      <c r="BT220" s="17">
        <f t="shared" si="150"/>
        <v>0</v>
      </c>
      <c r="BU220" s="17">
        <f t="shared" si="149"/>
        <v>520</v>
      </c>
    </row>
    <row r="221" spans="1:73" s="46" customFormat="1" hidden="1" outlineLevel="1">
      <c r="A221" s="48" t="s">
        <v>493</v>
      </c>
      <c r="B221" s="70" t="s">
        <v>549</v>
      </c>
      <c r="C221" s="70" t="s">
        <v>495</v>
      </c>
      <c r="D221" s="70" t="s">
        <v>550</v>
      </c>
      <c r="E221" s="70" t="s">
        <v>551</v>
      </c>
      <c r="F221" s="70" t="s">
        <v>504</v>
      </c>
      <c r="G221" s="70" t="s">
        <v>552</v>
      </c>
      <c r="H221" s="17" t="s">
        <v>39</v>
      </c>
      <c r="I221" s="17">
        <f>+'[1]Sell in ko tính KDT'!I220</f>
        <v>0</v>
      </c>
      <c r="J221" s="17">
        <f>+'[1]Sell in ko tính KDT'!J220</f>
        <v>0</v>
      </c>
      <c r="K221" s="17">
        <f>+'[1]Sell in ko tính KDT'!K220</f>
        <v>0</v>
      </c>
      <c r="L221" s="17">
        <v>0</v>
      </c>
      <c r="M221" s="17">
        <f t="shared" si="136"/>
        <v>0</v>
      </c>
      <c r="N221" s="17">
        <f>+'[1]Sell in ko tính KDT'!M220</f>
        <v>0</v>
      </c>
      <c r="O221" s="17">
        <f>+'[1]Sell in ko tính KDT'!N220</f>
        <v>0</v>
      </c>
      <c r="P221" s="17">
        <f>+'[1]Sell in ko tính KDT'!O220</f>
        <v>0</v>
      </c>
      <c r="Q221" s="17">
        <v>0</v>
      </c>
      <c r="R221" s="17">
        <f t="shared" si="137"/>
        <v>0</v>
      </c>
      <c r="S221" s="17">
        <f>+'[1]Sell in ko tính KDT'!Q220</f>
        <v>0</v>
      </c>
      <c r="T221" s="17">
        <f>+'[1]Sell in ko tính KDT'!R220</f>
        <v>0</v>
      </c>
      <c r="U221" s="17">
        <f>+'[1]Sell in ko tính KDT'!S220</f>
        <v>0</v>
      </c>
      <c r="V221" s="17">
        <v>0</v>
      </c>
      <c r="W221" s="17">
        <f t="shared" si="138"/>
        <v>0</v>
      </c>
      <c r="X221" s="17">
        <f>+'[1]Sell in ko tính KDT'!U220</f>
        <v>0</v>
      </c>
      <c r="Y221" s="17">
        <f>+'[1]Sell in ko tính KDT'!V220</f>
        <v>0</v>
      </c>
      <c r="Z221" s="17">
        <f>+'[1]Sell in ko tính KDT'!W220</f>
        <v>0</v>
      </c>
      <c r="AA221" s="17">
        <v>0</v>
      </c>
      <c r="AB221" s="17">
        <f t="shared" si="139"/>
        <v>0</v>
      </c>
      <c r="AC221" s="17">
        <f>+'[1]Sell in ko tính KDT'!Y220</f>
        <v>0</v>
      </c>
      <c r="AD221" s="17">
        <f>+'[1]Sell in ko tính KDT'!Z220</f>
        <v>0</v>
      </c>
      <c r="AE221" s="17">
        <f>+'[1]Sell in ko tính KDT'!AA220</f>
        <v>0</v>
      </c>
      <c r="AF221" s="17">
        <v>0</v>
      </c>
      <c r="AG221" s="17">
        <f t="shared" si="140"/>
        <v>0</v>
      </c>
      <c r="AH221" s="17">
        <f>+'[1]Sell in ko tính KDT'!AC220</f>
        <v>10</v>
      </c>
      <c r="AI221" s="17">
        <f>+'[1]Sell in ko tính KDT'!AD220</f>
        <v>0</v>
      </c>
      <c r="AJ221" s="17">
        <f>+'[1]Sell in ko tính KDT'!AE220</f>
        <v>0</v>
      </c>
      <c r="AK221" s="17">
        <v>0</v>
      </c>
      <c r="AL221" s="17">
        <f t="shared" si="141"/>
        <v>10</v>
      </c>
      <c r="AM221" s="17">
        <f>+'[1]Sell in ko tính KDT'!AG220</f>
        <v>10</v>
      </c>
      <c r="AN221" s="17">
        <f>+'[1]Sell in ko tính KDT'!AH220</f>
        <v>0</v>
      </c>
      <c r="AO221" s="17">
        <f>+'[1]Sell in ko tính KDT'!AI220</f>
        <v>0</v>
      </c>
      <c r="AP221" s="17">
        <v>0</v>
      </c>
      <c r="AQ221" s="17">
        <f t="shared" si="142"/>
        <v>10</v>
      </c>
      <c r="AR221" s="17">
        <f>+'[1]Sell in ko tính KDT'!AK220</f>
        <v>10</v>
      </c>
      <c r="AS221" s="17">
        <f>+'[1]Sell in ko tính KDT'!AL220</f>
        <v>0</v>
      </c>
      <c r="AT221" s="17">
        <f>+'[1]Sell in ko tính KDT'!AM220</f>
        <v>0</v>
      </c>
      <c r="AU221" s="17">
        <v>0</v>
      </c>
      <c r="AV221" s="17">
        <f t="shared" si="143"/>
        <v>10</v>
      </c>
      <c r="AW221" s="17">
        <f>+'[1]Sell in ko tính KDT'!AO220</f>
        <v>10</v>
      </c>
      <c r="AX221" s="17">
        <f>+'[1]Sell in ko tính KDT'!AP220</f>
        <v>0</v>
      </c>
      <c r="AY221" s="17">
        <f>+'[1]Sell in ko tính KDT'!AQ220</f>
        <v>0</v>
      </c>
      <c r="AZ221" s="17">
        <v>0</v>
      </c>
      <c r="BA221" s="17">
        <f t="shared" si="144"/>
        <v>10</v>
      </c>
      <c r="BB221" s="17">
        <f>+'[1]Sell in ko tính KDT'!AS220</f>
        <v>10</v>
      </c>
      <c r="BC221" s="17">
        <f>+'[1]Sell in ko tính KDT'!AT220</f>
        <v>0</v>
      </c>
      <c r="BD221" s="17">
        <f>+'[1]Sell in ko tính KDT'!AU220</f>
        <v>0</v>
      </c>
      <c r="BE221" s="17">
        <v>0</v>
      </c>
      <c r="BF221" s="17">
        <f t="shared" si="145"/>
        <v>10</v>
      </c>
      <c r="BG221" s="17">
        <f>+'[1]Sell in ko tính KDT'!AW220</f>
        <v>10</v>
      </c>
      <c r="BH221" s="17">
        <f>+'[1]Sell in ko tính KDT'!AX220</f>
        <v>0</v>
      </c>
      <c r="BI221" s="17">
        <f>+'[1]Sell in ko tính KDT'!AY220</f>
        <v>0</v>
      </c>
      <c r="BJ221" s="17">
        <v>0</v>
      </c>
      <c r="BK221" s="17">
        <f t="shared" si="146"/>
        <v>10</v>
      </c>
      <c r="BL221" s="17">
        <f>+'[1]Sell in ko tính KDT'!BA220</f>
        <v>10</v>
      </c>
      <c r="BM221" s="17">
        <f>+'[1]Sell in ko tính KDT'!BB220</f>
        <v>0</v>
      </c>
      <c r="BN221" s="17">
        <f>+'[1]Sell in ko tính KDT'!BC220</f>
        <v>0</v>
      </c>
      <c r="BO221" s="17">
        <v>0</v>
      </c>
      <c r="BP221" s="17">
        <f t="shared" si="147"/>
        <v>10</v>
      </c>
      <c r="BQ221" s="17">
        <f t="shared" si="150"/>
        <v>70</v>
      </c>
      <c r="BR221" s="17">
        <f t="shared" si="150"/>
        <v>0</v>
      </c>
      <c r="BS221" s="17">
        <f t="shared" si="150"/>
        <v>0</v>
      </c>
      <c r="BT221" s="17">
        <f t="shared" si="150"/>
        <v>0</v>
      </c>
      <c r="BU221" s="17">
        <f t="shared" si="149"/>
        <v>70</v>
      </c>
    </row>
    <row r="222" spans="1:73" s="46" customFormat="1" hidden="1" outlineLevel="1">
      <c r="A222" s="48" t="s">
        <v>493</v>
      </c>
      <c r="B222" s="70" t="s">
        <v>549</v>
      </c>
      <c r="C222" s="70" t="s">
        <v>495</v>
      </c>
      <c r="D222" s="70" t="s">
        <v>550</v>
      </c>
      <c r="E222" s="70" t="s">
        <v>551</v>
      </c>
      <c r="F222" s="70" t="s">
        <v>506</v>
      </c>
      <c r="G222" s="70" t="s">
        <v>553</v>
      </c>
      <c r="H222" s="17" t="s">
        <v>508</v>
      </c>
      <c r="I222" s="17">
        <f>+'[1]Sell in ko tính KDT'!I221</f>
        <v>0</v>
      </c>
      <c r="J222" s="17">
        <f>+'[1]Sell in ko tính KDT'!J221</f>
        <v>0</v>
      </c>
      <c r="K222" s="17">
        <f>+'[1]Sell in ko tính KDT'!K221</f>
        <v>0</v>
      </c>
      <c r="L222" s="17">
        <v>0</v>
      </c>
      <c r="M222" s="17">
        <f t="shared" si="136"/>
        <v>0</v>
      </c>
      <c r="N222" s="17">
        <f>+'[1]Sell in ko tính KDT'!M221</f>
        <v>0</v>
      </c>
      <c r="O222" s="17">
        <f>+'[1]Sell in ko tính KDT'!N221</f>
        <v>0</v>
      </c>
      <c r="P222" s="17">
        <f>+'[1]Sell in ko tính KDT'!O221</f>
        <v>0</v>
      </c>
      <c r="Q222" s="17">
        <v>0</v>
      </c>
      <c r="R222" s="17">
        <f t="shared" si="137"/>
        <v>0</v>
      </c>
      <c r="S222" s="17">
        <f>+'[1]Sell in ko tính KDT'!Q221</f>
        <v>0</v>
      </c>
      <c r="T222" s="17">
        <f>+'[1]Sell in ko tính KDT'!R221</f>
        <v>0</v>
      </c>
      <c r="U222" s="17">
        <f>+'[1]Sell in ko tính KDT'!S221</f>
        <v>0</v>
      </c>
      <c r="V222" s="17">
        <v>0</v>
      </c>
      <c r="W222" s="17">
        <f t="shared" si="138"/>
        <v>0</v>
      </c>
      <c r="X222" s="17">
        <f>+'[1]Sell in ko tính KDT'!U221</f>
        <v>0</v>
      </c>
      <c r="Y222" s="17">
        <f>+'[1]Sell in ko tính KDT'!V221</f>
        <v>0</v>
      </c>
      <c r="Z222" s="17">
        <f>+'[1]Sell in ko tính KDT'!W221</f>
        <v>0</v>
      </c>
      <c r="AA222" s="17">
        <v>0</v>
      </c>
      <c r="AB222" s="17">
        <f t="shared" si="139"/>
        <v>0</v>
      </c>
      <c r="AC222" s="17">
        <f>+'[1]Sell in ko tính KDT'!Y221</f>
        <v>0</v>
      </c>
      <c r="AD222" s="17">
        <f>+'[1]Sell in ko tính KDT'!Z221</f>
        <v>0</v>
      </c>
      <c r="AE222" s="17">
        <f>+'[1]Sell in ko tính KDT'!AA221</f>
        <v>0</v>
      </c>
      <c r="AF222" s="17">
        <v>0</v>
      </c>
      <c r="AG222" s="17">
        <f t="shared" si="140"/>
        <v>0</v>
      </c>
      <c r="AH222" s="17">
        <f>+'[1]Sell in ko tính KDT'!AC221</f>
        <v>22</v>
      </c>
      <c r="AI222" s="17">
        <f>+'[1]Sell in ko tính KDT'!AD221</f>
        <v>18</v>
      </c>
      <c r="AJ222" s="17">
        <f>+'[1]Sell in ko tính KDT'!AE221</f>
        <v>0</v>
      </c>
      <c r="AK222" s="17">
        <v>0</v>
      </c>
      <c r="AL222" s="17">
        <f t="shared" si="141"/>
        <v>40</v>
      </c>
      <c r="AM222" s="17">
        <f>+'[1]Sell in ko tính KDT'!AG221</f>
        <v>22</v>
      </c>
      <c r="AN222" s="17">
        <f>+'[1]Sell in ko tính KDT'!AH221</f>
        <v>18</v>
      </c>
      <c r="AO222" s="17">
        <f>+'[1]Sell in ko tính KDT'!AI221</f>
        <v>0</v>
      </c>
      <c r="AP222" s="17">
        <v>0</v>
      </c>
      <c r="AQ222" s="17">
        <f t="shared" si="142"/>
        <v>40</v>
      </c>
      <c r="AR222" s="17">
        <f>+'[1]Sell in ko tính KDT'!AK221</f>
        <v>22</v>
      </c>
      <c r="AS222" s="17">
        <f>+'[1]Sell in ko tính KDT'!AL221</f>
        <v>18</v>
      </c>
      <c r="AT222" s="17">
        <f>+'[1]Sell in ko tính KDT'!AM221</f>
        <v>0</v>
      </c>
      <c r="AU222" s="17">
        <v>0</v>
      </c>
      <c r="AV222" s="17">
        <f t="shared" si="143"/>
        <v>40</v>
      </c>
      <c r="AW222" s="17">
        <f>+'[1]Sell in ko tính KDT'!AO221</f>
        <v>22</v>
      </c>
      <c r="AX222" s="17">
        <f>+'[1]Sell in ko tính KDT'!AP221</f>
        <v>18</v>
      </c>
      <c r="AY222" s="17">
        <f>+'[1]Sell in ko tính KDT'!AQ221</f>
        <v>0</v>
      </c>
      <c r="AZ222" s="17">
        <v>0</v>
      </c>
      <c r="BA222" s="17">
        <f t="shared" si="144"/>
        <v>40</v>
      </c>
      <c r="BB222" s="17">
        <f>+'[1]Sell in ko tính KDT'!AS221</f>
        <v>22</v>
      </c>
      <c r="BC222" s="17">
        <f>+'[1]Sell in ko tính KDT'!AT221</f>
        <v>18</v>
      </c>
      <c r="BD222" s="17">
        <f>+'[1]Sell in ko tính KDT'!AU221</f>
        <v>0</v>
      </c>
      <c r="BE222" s="17">
        <v>0</v>
      </c>
      <c r="BF222" s="17">
        <f t="shared" si="145"/>
        <v>40</v>
      </c>
      <c r="BG222" s="17">
        <f>+'[1]Sell in ko tính KDT'!AW221</f>
        <v>22</v>
      </c>
      <c r="BH222" s="17">
        <f>+'[1]Sell in ko tính KDT'!AX221</f>
        <v>18</v>
      </c>
      <c r="BI222" s="17">
        <f>+'[1]Sell in ko tính KDT'!AY221</f>
        <v>0</v>
      </c>
      <c r="BJ222" s="17">
        <v>0</v>
      </c>
      <c r="BK222" s="17">
        <f t="shared" si="146"/>
        <v>40</v>
      </c>
      <c r="BL222" s="17">
        <f>+'[1]Sell in ko tính KDT'!BA221</f>
        <v>22</v>
      </c>
      <c r="BM222" s="17">
        <f>+'[1]Sell in ko tính KDT'!BB221</f>
        <v>18</v>
      </c>
      <c r="BN222" s="17">
        <f>+'[1]Sell in ko tính KDT'!BC221</f>
        <v>0</v>
      </c>
      <c r="BO222" s="17">
        <v>0</v>
      </c>
      <c r="BP222" s="17">
        <f t="shared" si="147"/>
        <v>40</v>
      </c>
      <c r="BQ222" s="17">
        <f t="shared" si="150"/>
        <v>154</v>
      </c>
      <c r="BR222" s="17">
        <f t="shared" si="150"/>
        <v>126</v>
      </c>
      <c r="BS222" s="17">
        <f t="shared" si="150"/>
        <v>0</v>
      </c>
      <c r="BT222" s="17">
        <f t="shared" si="150"/>
        <v>0</v>
      </c>
      <c r="BU222" s="17">
        <f t="shared" si="149"/>
        <v>280</v>
      </c>
    </row>
    <row r="223" spans="1:73" s="46" customFormat="1" hidden="1" outlineLevel="1">
      <c r="A223" s="48" t="s">
        <v>493</v>
      </c>
      <c r="B223" s="70" t="s">
        <v>549</v>
      </c>
      <c r="C223" s="70" t="s">
        <v>495</v>
      </c>
      <c r="D223" s="70" t="s">
        <v>550</v>
      </c>
      <c r="E223" s="70" t="s">
        <v>551</v>
      </c>
      <c r="F223" s="70" t="s">
        <v>530</v>
      </c>
      <c r="G223" s="70" t="s">
        <v>554</v>
      </c>
      <c r="H223" s="17" t="s">
        <v>508</v>
      </c>
      <c r="I223" s="17">
        <f>+'[1]Sell in ko tính KDT'!I222</f>
        <v>0</v>
      </c>
      <c r="J223" s="17">
        <f>+'[1]Sell in ko tính KDT'!J222</f>
        <v>0</v>
      </c>
      <c r="K223" s="17">
        <f>+'[1]Sell in ko tính KDT'!K222</f>
        <v>0</v>
      </c>
      <c r="L223" s="17">
        <v>0</v>
      </c>
      <c r="M223" s="17">
        <f t="shared" si="136"/>
        <v>0</v>
      </c>
      <c r="N223" s="17">
        <f>+'[1]Sell in ko tính KDT'!M222</f>
        <v>0</v>
      </c>
      <c r="O223" s="17">
        <f>+'[1]Sell in ko tính KDT'!N222</f>
        <v>0</v>
      </c>
      <c r="P223" s="17">
        <f>+'[1]Sell in ko tính KDT'!O222</f>
        <v>0</v>
      </c>
      <c r="Q223" s="17">
        <v>0</v>
      </c>
      <c r="R223" s="17">
        <f t="shared" si="137"/>
        <v>0</v>
      </c>
      <c r="S223" s="17">
        <f>+'[1]Sell in ko tính KDT'!Q222</f>
        <v>0</v>
      </c>
      <c r="T223" s="17">
        <f>+'[1]Sell in ko tính KDT'!R222</f>
        <v>0</v>
      </c>
      <c r="U223" s="17">
        <f>+'[1]Sell in ko tính KDT'!S222</f>
        <v>0</v>
      </c>
      <c r="V223" s="17">
        <v>0</v>
      </c>
      <c r="W223" s="17">
        <f t="shared" si="138"/>
        <v>0</v>
      </c>
      <c r="X223" s="17">
        <f>+'[1]Sell in ko tính KDT'!U222</f>
        <v>0</v>
      </c>
      <c r="Y223" s="17">
        <f>+'[1]Sell in ko tính KDT'!V222</f>
        <v>0</v>
      </c>
      <c r="Z223" s="17">
        <f>+'[1]Sell in ko tính KDT'!W222</f>
        <v>0</v>
      </c>
      <c r="AA223" s="17">
        <v>0</v>
      </c>
      <c r="AB223" s="17">
        <f t="shared" si="139"/>
        <v>0</v>
      </c>
      <c r="AC223" s="17">
        <f>+'[1]Sell in ko tính KDT'!Y222</f>
        <v>0</v>
      </c>
      <c r="AD223" s="17">
        <f>+'[1]Sell in ko tính KDT'!Z222</f>
        <v>0</v>
      </c>
      <c r="AE223" s="17">
        <f>+'[1]Sell in ko tính KDT'!AA222</f>
        <v>0</v>
      </c>
      <c r="AF223" s="17">
        <v>0</v>
      </c>
      <c r="AG223" s="17">
        <f t="shared" si="140"/>
        <v>0</v>
      </c>
      <c r="AH223" s="17">
        <f>+'[1]Sell in ko tính KDT'!AC222</f>
        <v>22</v>
      </c>
      <c r="AI223" s="17">
        <f>+'[1]Sell in ko tính KDT'!AD222</f>
        <v>18</v>
      </c>
      <c r="AJ223" s="17">
        <f>+'[1]Sell in ko tính KDT'!AE222</f>
        <v>0</v>
      </c>
      <c r="AK223" s="17">
        <v>0</v>
      </c>
      <c r="AL223" s="17">
        <f t="shared" si="141"/>
        <v>40</v>
      </c>
      <c r="AM223" s="17">
        <f>+'[1]Sell in ko tính KDT'!AG222</f>
        <v>22</v>
      </c>
      <c r="AN223" s="17">
        <f>+'[1]Sell in ko tính KDT'!AH222</f>
        <v>18</v>
      </c>
      <c r="AO223" s="17">
        <f>+'[1]Sell in ko tính KDT'!AI222</f>
        <v>0</v>
      </c>
      <c r="AP223" s="17">
        <v>0</v>
      </c>
      <c r="AQ223" s="17">
        <f t="shared" si="142"/>
        <v>40</v>
      </c>
      <c r="AR223" s="17">
        <f>+'[1]Sell in ko tính KDT'!AK222</f>
        <v>22</v>
      </c>
      <c r="AS223" s="17">
        <f>+'[1]Sell in ko tính KDT'!AL222</f>
        <v>18</v>
      </c>
      <c r="AT223" s="17">
        <f>+'[1]Sell in ko tính KDT'!AM222</f>
        <v>0</v>
      </c>
      <c r="AU223" s="17">
        <v>0</v>
      </c>
      <c r="AV223" s="17">
        <f t="shared" si="143"/>
        <v>40</v>
      </c>
      <c r="AW223" s="17">
        <f>+'[1]Sell in ko tính KDT'!AO222</f>
        <v>22</v>
      </c>
      <c r="AX223" s="17">
        <f>+'[1]Sell in ko tính KDT'!AP222</f>
        <v>18</v>
      </c>
      <c r="AY223" s="17">
        <f>+'[1]Sell in ko tính KDT'!AQ222</f>
        <v>0</v>
      </c>
      <c r="AZ223" s="17">
        <v>0</v>
      </c>
      <c r="BA223" s="17">
        <f t="shared" si="144"/>
        <v>40</v>
      </c>
      <c r="BB223" s="17">
        <f>+'[1]Sell in ko tính KDT'!AS222</f>
        <v>22</v>
      </c>
      <c r="BC223" s="17">
        <f>+'[1]Sell in ko tính KDT'!AT222</f>
        <v>18</v>
      </c>
      <c r="BD223" s="17">
        <f>+'[1]Sell in ko tính KDT'!AU222</f>
        <v>0</v>
      </c>
      <c r="BE223" s="17">
        <v>0</v>
      </c>
      <c r="BF223" s="17">
        <f t="shared" si="145"/>
        <v>40</v>
      </c>
      <c r="BG223" s="17">
        <f>+'[1]Sell in ko tính KDT'!AW222</f>
        <v>22</v>
      </c>
      <c r="BH223" s="17">
        <f>+'[1]Sell in ko tính KDT'!AX222</f>
        <v>18</v>
      </c>
      <c r="BI223" s="17">
        <f>+'[1]Sell in ko tính KDT'!AY222</f>
        <v>0</v>
      </c>
      <c r="BJ223" s="17">
        <v>0</v>
      </c>
      <c r="BK223" s="17">
        <f t="shared" si="146"/>
        <v>40</v>
      </c>
      <c r="BL223" s="17">
        <f>+'[1]Sell in ko tính KDT'!BA222</f>
        <v>22</v>
      </c>
      <c r="BM223" s="17">
        <f>+'[1]Sell in ko tính KDT'!BB222</f>
        <v>18</v>
      </c>
      <c r="BN223" s="17">
        <f>+'[1]Sell in ko tính KDT'!BC222</f>
        <v>0</v>
      </c>
      <c r="BO223" s="17">
        <v>0</v>
      </c>
      <c r="BP223" s="17">
        <f t="shared" si="147"/>
        <v>40</v>
      </c>
      <c r="BQ223" s="17">
        <f t="shared" si="150"/>
        <v>154</v>
      </c>
      <c r="BR223" s="17">
        <f t="shared" si="150"/>
        <v>126</v>
      </c>
      <c r="BS223" s="17">
        <f t="shared" si="150"/>
        <v>0</v>
      </c>
      <c r="BT223" s="17">
        <f t="shared" si="150"/>
        <v>0</v>
      </c>
      <c r="BU223" s="17">
        <f t="shared" si="149"/>
        <v>280</v>
      </c>
    </row>
    <row r="224" spans="1:73" s="46" customFormat="1" hidden="1" outlineLevel="1">
      <c r="A224" s="71" t="s">
        <v>493</v>
      </c>
      <c r="B224" s="68" t="s">
        <v>549</v>
      </c>
      <c r="C224" s="68" t="s">
        <v>495</v>
      </c>
      <c r="D224" s="68" t="s">
        <v>550</v>
      </c>
      <c r="E224" s="68" t="s">
        <v>555</v>
      </c>
      <c r="F224" s="68" t="s">
        <v>556</v>
      </c>
      <c r="G224" s="68" t="s">
        <v>557</v>
      </c>
      <c r="H224" s="17" t="s">
        <v>45</v>
      </c>
      <c r="I224" s="17">
        <f>+'[1]Sell in ko tính KDT'!I223</f>
        <v>0</v>
      </c>
      <c r="J224" s="17">
        <f>+'[1]Sell in ko tính KDT'!J223</f>
        <v>0</v>
      </c>
      <c r="K224" s="17">
        <f>+'[1]Sell in ko tính KDT'!K223</f>
        <v>0</v>
      </c>
      <c r="L224" s="17">
        <v>0</v>
      </c>
      <c r="M224" s="17">
        <f t="shared" si="136"/>
        <v>0</v>
      </c>
      <c r="N224" s="17">
        <f>+'[1]Sell in ko tính KDT'!M223</f>
        <v>0</v>
      </c>
      <c r="O224" s="17">
        <f>+'[1]Sell in ko tính KDT'!N223</f>
        <v>0</v>
      </c>
      <c r="P224" s="17">
        <f>+'[1]Sell in ko tính KDT'!O223</f>
        <v>0</v>
      </c>
      <c r="Q224" s="17">
        <v>0</v>
      </c>
      <c r="R224" s="17">
        <f t="shared" si="137"/>
        <v>0</v>
      </c>
      <c r="S224" s="17">
        <f>+'[1]Sell in ko tính KDT'!Q223</f>
        <v>0</v>
      </c>
      <c r="T224" s="17">
        <f>+'[1]Sell in ko tính KDT'!R223</f>
        <v>0</v>
      </c>
      <c r="U224" s="17">
        <f>+'[1]Sell in ko tính KDT'!S223</f>
        <v>0</v>
      </c>
      <c r="V224" s="17">
        <v>0</v>
      </c>
      <c r="W224" s="17">
        <f t="shared" si="138"/>
        <v>0</v>
      </c>
      <c r="X224" s="17">
        <f>+'[1]Sell in ko tính KDT'!U223</f>
        <v>0</v>
      </c>
      <c r="Y224" s="17">
        <f>+'[1]Sell in ko tính KDT'!V223</f>
        <v>0</v>
      </c>
      <c r="Z224" s="17">
        <f>+'[1]Sell in ko tính KDT'!W223</f>
        <v>0</v>
      </c>
      <c r="AA224" s="17">
        <v>0</v>
      </c>
      <c r="AB224" s="17">
        <f t="shared" si="139"/>
        <v>0</v>
      </c>
      <c r="AC224" s="17">
        <f>+'[1]Sell in ko tính KDT'!Y223</f>
        <v>0</v>
      </c>
      <c r="AD224" s="17">
        <f>+'[1]Sell in ko tính KDT'!Z223</f>
        <v>0</v>
      </c>
      <c r="AE224" s="17">
        <f>+'[1]Sell in ko tính KDT'!AA223</f>
        <v>0</v>
      </c>
      <c r="AF224" s="17">
        <v>0</v>
      </c>
      <c r="AG224" s="17">
        <f t="shared" si="140"/>
        <v>0</v>
      </c>
      <c r="AH224" s="17">
        <f>+'[1]Sell in ko tính KDT'!AC223</f>
        <v>83</v>
      </c>
      <c r="AI224" s="17">
        <f>+'[1]Sell in ko tính KDT'!AD223</f>
        <v>67</v>
      </c>
      <c r="AJ224" s="17">
        <f>+'[1]Sell in ko tính KDT'!AE223</f>
        <v>0</v>
      </c>
      <c r="AK224" s="17">
        <v>0</v>
      </c>
      <c r="AL224" s="17">
        <f t="shared" si="141"/>
        <v>150</v>
      </c>
      <c r="AM224" s="17">
        <f>+'[1]Sell in ko tính KDT'!AG223</f>
        <v>165</v>
      </c>
      <c r="AN224" s="17">
        <f>+'[1]Sell in ko tính KDT'!AH223</f>
        <v>135</v>
      </c>
      <c r="AO224" s="17">
        <f>+'[1]Sell in ko tính KDT'!AI223</f>
        <v>0</v>
      </c>
      <c r="AP224" s="17">
        <v>0</v>
      </c>
      <c r="AQ224" s="17">
        <f t="shared" si="142"/>
        <v>300</v>
      </c>
      <c r="AR224" s="17">
        <f>+'[1]Sell in ko tính KDT'!AK223</f>
        <v>165</v>
      </c>
      <c r="AS224" s="17">
        <f>+'[1]Sell in ko tính KDT'!AL223</f>
        <v>135</v>
      </c>
      <c r="AT224" s="17">
        <f>+'[1]Sell in ko tính KDT'!AM223</f>
        <v>0</v>
      </c>
      <c r="AU224" s="17">
        <v>0</v>
      </c>
      <c r="AV224" s="17">
        <f t="shared" si="143"/>
        <v>300</v>
      </c>
      <c r="AW224" s="17">
        <f>+'[1]Sell in ko tính KDT'!AO223</f>
        <v>165</v>
      </c>
      <c r="AX224" s="17">
        <f>+'[1]Sell in ko tính KDT'!AP223</f>
        <v>135</v>
      </c>
      <c r="AY224" s="17">
        <f>+'[1]Sell in ko tính KDT'!AQ223</f>
        <v>0</v>
      </c>
      <c r="AZ224" s="17">
        <v>0</v>
      </c>
      <c r="BA224" s="17">
        <f t="shared" si="144"/>
        <v>300</v>
      </c>
      <c r="BB224" s="17">
        <f>+'[1]Sell in ko tính KDT'!AS223</f>
        <v>165</v>
      </c>
      <c r="BC224" s="17">
        <f>+'[1]Sell in ko tính KDT'!AT223</f>
        <v>135</v>
      </c>
      <c r="BD224" s="17">
        <f>+'[1]Sell in ko tính KDT'!AU223</f>
        <v>0</v>
      </c>
      <c r="BE224" s="17">
        <v>0</v>
      </c>
      <c r="BF224" s="17">
        <f t="shared" si="145"/>
        <v>300</v>
      </c>
      <c r="BG224" s="17">
        <f>+'[1]Sell in ko tính KDT'!AW223</f>
        <v>165</v>
      </c>
      <c r="BH224" s="17">
        <f>+'[1]Sell in ko tính KDT'!AX223</f>
        <v>135</v>
      </c>
      <c r="BI224" s="17">
        <f>+'[1]Sell in ko tính KDT'!AY223</f>
        <v>0</v>
      </c>
      <c r="BJ224" s="17">
        <v>0</v>
      </c>
      <c r="BK224" s="17">
        <f t="shared" si="146"/>
        <v>300</v>
      </c>
      <c r="BL224" s="17">
        <f>+'[1]Sell in ko tính KDT'!BA223</f>
        <v>165</v>
      </c>
      <c r="BM224" s="17">
        <f>+'[1]Sell in ko tính KDT'!BB223</f>
        <v>135</v>
      </c>
      <c r="BN224" s="17">
        <f>+'[1]Sell in ko tính KDT'!BC223</f>
        <v>0</v>
      </c>
      <c r="BO224" s="17">
        <v>0</v>
      </c>
      <c r="BP224" s="17">
        <f t="shared" si="147"/>
        <v>300</v>
      </c>
      <c r="BQ224" s="17">
        <f t="shared" si="150"/>
        <v>1073</v>
      </c>
      <c r="BR224" s="17">
        <f t="shared" si="150"/>
        <v>877</v>
      </c>
      <c r="BS224" s="17">
        <f t="shared" si="150"/>
        <v>0</v>
      </c>
      <c r="BT224" s="17">
        <f t="shared" si="150"/>
        <v>0</v>
      </c>
      <c r="BU224" s="17">
        <f t="shared" si="149"/>
        <v>1950</v>
      </c>
    </row>
    <row r="225" spans="1:73" s="46" customFormat="1" hidden="1" outlineLevel="1">
      <c r="A225" s="71" t="s">
        <v>493</v>
      </c>
      <c r="B225" s="68" t="s">
        <v>549</v>
      </c>
      <c r="C225" s="68" t="s">
        <v>495</v>
      </c>
      <c r="D225" s="68" t="s">
        <v>550</v>
      </c>
      <c r="E225" s="68" t="s">
        <v>558</v>
      </c>
      <c r="F225" s="68" t="s">
        <v>559</v>
      </c>
      <c r="G225" s="68" t="s">
        <v>560</v>
      </c>
      <c r="H225" s="17" t="s">
        <v>45</v>
      </c>
      <c r="I225" s="17">
        <f>+'[1]Sell in ko tính KDT'!I224</f>
        <v>0</v>
      </c>
      <c r="J225" s="17">
        <f>+'[1]Sell in ko tính KDT'!J224</f>
        <v>0</v>
      </c>
      <c r="K225" s="17">
        <f>+'[1]Sell in ko tính KDT'!K224</f>
        <v>0</v>
      </c>
      <c r="L225" s="17">
        <v>0</v>
      </c>
      <c r="M225" s="17">
        <f t="shared" si="136"/>
        <v>0</v>
      </c>
      <c r="N225" s="17">
        <f>+'[1]Sell in ko tính KDT'!M224</f>
        <v>0</v>
      </c>
      <c r="O225" s="17">
        <f>+'[1]Sell in ko tính KDT'!N224</f>
        <v>0</v>
      </c>
      <c r="P225" s="17">
        <f>+'[1]Sell in ko tính KDT'!O224</f>
        <v>0</v>
      </c>
      <c r="Q225" s="17">
        <v>0</v>
      </c>
      <c r="R225" s="17">
        <f t="shared" si="137"/>
        <v>0</v>
      </c>
      <c r="S225" s="17">
        <f>+'[1]Sell in ko tính KDT'!Q224</f>
        <v>0</v>
      </c>
      <c r="T225" s="17">
        <f>+'[1]Sell in ko tính KDT'!R224</f>
        <v>0</v>
      </c>
      <c r="U225" s="17">
        <f>+'[1]Sell in ko tính KDT'!S224</f>
        <v>0</v>
      </c>
      <c r="V225" s="17">
        <v>0</v>
      </c>
      <c r="W225" s="17">
        <f t="shared" si="138"/>
        <v>0</v>
      </c>
      <c r="X225" s="17">
        <f>+'[1]Sell in ko tính KDT'!U224</f>
        <v>0</v>
      </c>
      <c r="Y225" s="17">
        <f>+'[1]Sell in ko tính KDT'!V224</f>
        <v>0</v>
      </c>
      <c r="Z225" s="17">
        <f>+'[1]Sell in ko tính KDT'!W224</f>
        <v>0</v>
      </c>
      <c r="AA225" s="17">
        <v>0</v>
      </c>
      <c r="AB225" s="17">
        <f t="shared" si="139"/>
        <v>0</v>
      </c>
      <c r="AC225" s="17">
        <f>+'[1]Sell in ko tính KDT'!Y224</f>
        <v>0</v>
      </c>
      <c r="AD225" s="17">
        <f>+'[1]Sell in ko tính KDT'!Z224</f>
        <v>0</v>
      </c>
      <c r="AE225" s="17">
        <f>+'[1]Sell in ko tính KDT'!AA224</f>
        <v>0</v>
      </c>
      <c r="AF225" s="17">
        <v>0</v>
      </c>
      <c r="AG225" s="17">
        <f t="shared" si="140"/>
        <v>0</v>
      </c>
      <c r="AH225" s="17">
        <f>+'[1]Sell in ko tính KDT'!AC224</f>
        <v>66</v>
      </c>
      <c r="AI225" s="17">
        <f>+'[1]Sell in ko tính KDT'!AD224</f>
        <v>54</v>
      </c>
      <c r="AJ225" s="17">
        <f>+'[1]Sell in ko tính KDT'!AE224</f>
        <v>0</v>
      </c>
      <c r="AK225" s="17">
        <v>0</v>
      </c>
      <c r="AL225" s="17">
        <f t="shared" si="141"/>
        <v>120</v>
      </c>
      <c r="AM225" s="17">
        <f>+'[1]Sell in ko tính KDT'!AG224</f>
        <v>165</v>
      </c>
      <c r="AN225" s="17">
        <f>+'[1]Sell in ko tính KDT'!AH224</f>
        <v>135</v>
      </c>
      <c r="AO225" s="17">
        <f>+'[1]Sell in ko tính KDT'!AI224</f>
        <v>0</v>
      </c>
      <c r="AP225" s="17">
        <v>0</v>
      </c>
      <c r="AQ225" s="17">
        <f t="shared" si="142"/>
        <v>300</v>
      </c>
      <c r="AR225" s="17">
        <f>+'[1]Sell in ko tính KDT'!AK224</f>
        <v>165</v>
      </c>
      <c r="AS225" s="17">
        <f>+'[1]Sell in ko tính KDT'!AL224</f>
        <v>135</v>
      </c>
      <c r="AT225" s="17">
        <f>+'[1]Sell in ko tính KDT'!AM224</f>
        <v>0</v>
      </c>
      <c r="AU225" s="17">
        <v>0</v>
      </c>
      <c r="AV225" s="17">
        <f t="shared" si="143"/>
        <v>300</v>
      </c>
      <c r="AW225" s="17">
        <f>+'[1]Sell in ko tính KDT'!AO224</f>
        <v>165</v>
      </c>
      <c r="AX225" s="17">
        <f>+'[1]Sell in ko tính KDT'!AP224</f>
        <v>135</v>
      </c>
      <c r="AY225" s="17">
        <f>+'[1]Sell in ko tính KDT'!AQ224</f>
        <v>0</v>
      </c>
      <c r="AZ225" s="17">
        <v>0</v>
      </c>
      <c r="BA225" s="17">
        <f t="shared" si="144"/>
        <v>300</v>
      </c>
      <c r="BB225" s="17">
        <f>+'[1]Sell in ko tính KDT'!AS224</f>
        <v>165</v>
      </c>
      <c r="BC225" s="17">
        <f>+'[1]Sell in ko tính KDT'!AT224</f>
        <v>135</v>
      </c>
      <c r="BD225" s="17">
        <f>+'[1]Sell in ko tính KDT'!AU224</f>
        <v>0</v>
      </c>
      <c r="BE225" s="17">
        <v>0</v>
      </c>
      <c r="BF225" s="17">
        <f t="shared" si="145"/>
        <v>300</v>
      </c>
      <c r="BG225" s="17">
        <f>+'[1]Sell in ko tính KDT'!AW224</f>
        <v>165</v>
      </c>
      <c r="BH225" s="17">
        <f>+'[1]Sell in ko tính KDT'!AX224</f>
        <v>135</v>
      </c>
      <c r="BI225" s="17">
        <f>+'[1]Sell in ko tính KDT'!AY224</f>
        <v>0</v>
      </c>
      <c r="BJ225" s="17">
        <v>0</v>
      </c>
      <c r="BK225" s="17">
        <f t="shared" si="146"/>
        <v>300</v>
      </c>
      <c r="BL225" s="17">
        <f>+'[1]Sell in ko tính KDT'!BA224</f>
        <v>165</v>
      </c>
      <c r="BM225" s="17">
        <f>+'[1]Sell in ko tính KDT'!BB224</f>
        <v>135</v>
      </c>
      <c r="BN225" s="17">
        <f>+'[1]Sell in ko tính KDT'!BC224</f>
        <v>0</v>
      </c>
      <c r="BO225" s="17">
        <v>0</v>
      </c>
      <c r="BP225" s="17">
        <f t="shared" si="147"/>
        <v>300</v>
      </c>
      <c r="BQ225" s="17">
        <f t="shared" si="150"/>
        <v>1056</v>
      </c>
      <c r="BR225" s="17">
        <f t="shared" si="150"/>
        <v>864</v>
      </c>
      <c r="BS225" s="17">
        <f t="shared" si="150"/>
        <v>0</v>
      </c>
      <c r="BT225" s="17">
        <f t="shared" si="150"/>
        <v>0</v>
      </c>
      <c r="BU225" s="17">
        <f t="shared" si="149"/>
        <v>1920</v>
      </c>
    </row>
    <row r="226" spans="1:73" s="46" customFormat="1" hidden="1" outlineLevel="1">
      <c r="A226" s="71" t="s">
        <v>493</v>
      </c>
      <c r="B226" s="68" t="s">
        <v>549</v>
      </c>
      <c r="C226" s="68" t="s">
        <v>495</v>
      </c>
      <c r="D226" s="68" t="s">
        <v>550</v>
      </c>
      <c r="E226" s="68" t="s">
        <v>561</v>
      </c>
      <c r="F226" s="68" t="s">
        <v>562</v>
      </c>
      <c r="G226" s="68" t="s">
        <v>563</v>
      </c>
      <c r="H226" s="17" t="s">
        <v>45</v>
      </c>
      <c r="I226" s="17">
        <f>+'[1]Sell in ko tính KDT'!I225</f>
        <v>165.33913320441803</v>
      </c>
      <c r="J226" s="17">
        <f>+'[1]Sell in ko tính KDT'!J225</f>
        <v>134.69822801294274</v>
      </c>
      <c r="K226" s="17">
        <f>+'[1]Sell in ko tính KDT'!K225</f>
        <v>0</v>
      </c>
      <c r="L226" s="17">
        <v>0</v>
      </c>
      <c r="M226" s="17">
        <f t="shared" si="136"/>
        <v>300.03736121736074</v>
      </c>
      <c r="N226" s="17">
        <f>+'[1]Sell in ko tính KDT'!M225</f>
        <v>165.33913320441803</v>
      </c>
      <c r="O226" s="17">
        <f>+'[1]Sell in ko tính KDT'!N225</f>
        <v>134.69822801294274</v>
      </c>
      <c r="P226" s="17">
        <f>+'[1]Sell in ko tính KDT'!O225</f>
        <v>0</v>
      </c>
      <c r="Q226" s="17">
        <v>0</v>
      </c>
      <c r="R226" s="17">
        <f t="shared" si="137"/>
        <v>300.03736121736074</v>
      </c>
      <c r="S226" s="17">
        <f>+'[1]Sell in ko tính KDT'!Q225</f>
        <v>165.03913320441802</v>
      </c>
      <c r="T226" s="17">
        <f>+'[1]Sell in ko tính KDT'!R225</f>
        <v>135.17822801294272</v>
      </c>
      <c r="U226" s="17">
        <f>+'[1]Sell in ko tính KDT'!S225</f>
        <v>0</v>
      </c>
      <c r="V226" s="17">
        <v>0</v>
      </c>
      <c r="W226" s="17">
        <f t="shared" si="138"/>
        <v>300.21736121736075</v>
      </c>
      <c r="X226" s="17">
        <f>+'[1]Sell in ko tính KDT'!U225</f>
        <v>165.339133125334</v>
      </c>
      <c r="Y226" s="17">
        <f>+'[1]Sell in ko tính KDT'!V225</f>
        <v>134.69822801294274</v>
      </c>
      <c r="Z226" s="17">
        <f>+'[1]Sell in ko tính KDT'!W225</f>
        <v>0</v>
      </c>
      <c r="AA226" s="17">
        <v>0</v>
      </c>
      <c r="AB226" s="17">
        <f t="shared" si="139"/>
        <v>300.03736113827676</v>
      </c>
      <c r="AC226" s="17">
        <f>+'[1]Sell in ko tính KDT'!Y225</f>
        <v>165.03913320441802</v>
      </c>
      <c r="AD226" s="17">
        <f>+'[1]Sell in ko tính KDT'!Z225</f>
        <v>134.99822801294272</v>
      </c>
      <c r="AE226" s="17">
        <f>+'[1]Sell in ko tính KDT'!AA225</f>
        <v>0</v>
      </c>
      <c r="AF226" s="17">
        <v>0</v>
      </c>
      <c r="AG226" s="17">
        <f t="shared" si="140"/>
        <v>300.03736121736074</v>
      </c>
      <c r="AH226" s="17">
        <f>+'[1]Sell in ko tính KDT'!AC225</f>
        <v>158</v>
      </c>
      <c r="AI226" s="17">
        <f>+'[1]Sell in ko tính KDT'!AD225</f>
        <v>130</v>
      </c>
      <c r="AJ226" s="17">
        <f>+'[1]Sell in ko tính KDT'!AE225</f>
        <v>0</v>
      </c>
      <c r="AK226" s="17">
        <v>0</v>
      </c>
      <c r="AL226" s="17">
        <f t="shared" si="141"/>
        <v>288</v>
      </c>
      <c r="AM226" s="17">
        <f>+'[1]Sell in ko tính KDT'!AG225</f>
        <v>165</v>
      </c>
      <c r="AN226" s="17">
        <f>+'[1]Sell in ko tính KDT'!AH225</f>
        <v>135</v>
      </c>
      <c r="AO226" s="17">
        <f>+'[1]Sell in ko tính KDT'!AI225</f>
        <v>0</v>
      </c>
      <c r="AP226" s="17">
        <v>0</v>
      </c>
      <c r="AQ226" s="17">
        <f t="shared" si="142"/>
        <v>300</v>
      </c>
      <c r="AR226" s="17">
        <f>+'[1]Sell in ko tính KDT'!AK225</f>
        <v>165</v>
      </c>
      <c r="AS226" s="17">
        <f>+'[1]Sell in ko tính KDT'!AL225</f>
        <v>135</v>
      </c>
      <c r="AT226" s="17">
        <f>+'[1]Sell in ko tính KDT'!AM225</f>
        <v>0</v>
      </c>
      <c r="AU226" s="17">
        <v>0</v>
      </c>
      <c r="AV226" s="17">
        <f t="shared" si="143"/>
        <v>300</v>
      </c>
      <c r="AW226" s="17">
        <f>+'[1]Sell in ko tính KDT'!AO225</f>
        <v>165</v>
      </c>
      <c r="AX226" s="17">
        <f>+'[1]Sell in ko tính KDT'!AP225</f>
        <v>135</v>
      </c>
      <c r="AY226" s="17">
        <f>+'[1]Sell in ko tính KDT'!AQ225</f>
        <v>0</v>
      </c>
      <c r="AZ226" s="17">
        <v>0</v>
      </c>
      <c r="BA226" s="17">
        <f t="shared" si="144"/>
        <v>300</v>
      </c>
      <c r="BB226" s="17">
        <f>+'[1]Sell in ko tính KDT'!AS225</f>
        <v>165</v>
      </c>
      <c r="BC226" s="17">
        <f>+'[1]Sell in ko tính KDT'!AT225</f>
        <v>135</v>
      </c>
      <c r="BD226" s="17">
        <f>+'[1]Sell in ko tính KDT'!AU225</f>
        <v>0</v>
      </c>
      <c r="BE226" s="17">
        <v>0</v>
      </c>
      <c r="BF226" s="17">
        <f t="shared" si="145"/>
        <v>300</v>
      </c>
      <c r="BG226" s="17">
        <f>+'[1]Sell in ko tính KDT'!AW225</f>
        <v>165</v>
      </c>
      <c r="BH226" s="17">
        <f>+'[1]Sell in ko tính KDT'!AX225</f>
        <v>135</v>
      </c>
      <c r="BI226" s="17">
        <f>+'[1]Sell in ko tính KDT'!AY225</f>
        <v>0</v>
      </c>
      <c r="BJ226" s="17">
        <v>0</v>
      </c>
      <c r="BK226" s="17">
        <f t="shared" si="146"/>
        <v>300</v>
      </c>
      <c r="BL226" s="17">
        <f>+'[1]Sell in ko tính KDT'!BA225</f>
        <v>165</v>
      </c>
      <c r="BM226" s="17">
        <f>+'[1]Sell in ko tính KDT'!BB225</f>
        <v>135</v>
      </c>
      <c r="BN226" s="17">
        <f>+'[1]Sell in ko tính KDT'!BC225</f>
        <v>0</v>
      </c>
      <c r="BO226" s="17">
        <v>0</v>
      </c>
      <c r="BP226" s="17">
        <f t="shared" si="147"/>
        <v>300</v>
      </c>
      <c r="BQ226" s="17">
        <f t="shared" si="150"/>
        <v>1974.095665943006</v>
      </c>
      <c r="BR226" s="17">
        <f t="shared" si="150"/>
        <v>1614.2711400647138</v>
      </c>
      <c r="BS226" s="17">
        <f t="shared" si="150"/>
        <v>0</v>
      </c>
      <c r="BT226" s="17">
        <f t="shared" si="150"/>
        <v>0</v>
      </c>
      <c r="BU226" s="17">
        <f t="shared" si="149"/>
        <v>3588.3668060077198</v>
      </c>
    </row>
    <row r="227" spans="1:73" s="46" customFormat="1" hidden="1" outlineLevel="1">
      <c r="A227" s="71" t="s">
        <v>493</v>
      </c>
      <c r="B227" s="68" t="s">
        <v>549</v>
      </c>
      <c r="C227" s="68" t="s">
        <v>495</v>
      </c>
      <c r="D227" s="68" t="s">
        <v>550</v>
      </c>
      <c r="E227" s="68" t="s">
        <v>564</v>
      </c>
      <c r="F227" s="68" t="s">
        <v>565</v>
      </c>
      <c r="G227" s="68" t="s">
        <v>566</v>
      </c>
      <c r="H227" s="17" t="s">
        <v>45</v>
      </c>
      <c r="I227" s="17">
        <f>+'[1]Sell in ko tính KDT'!I226</f>
        <v>190.58151437376904</v>
      </c>
      <c r="J227" s="17">
        <f>+'[1]Sell in ko tính KDT'!J226</f>
        <v>110.41306237625777</v>
      </c>
      <c r="K227" s="17">
        <f>+'[1]Sell in ko tính KDT'!K226</f>
        <v>0</v>
      </c>
      <c r="L227" s="17">
        <v>0</v>
      </c>
      <c r="M227" s="17">
        <f t="shared" si="136"/>
        <v>300.99457675002679</v>
      </c>
      <c r="N227" s="17">
        <f>+'[1]Sell in ko tính KDT'!M226</f>
        <v>190.58151437376904</v>
      </c>
      <c r="O227" s="17">
        <f>+'[1]Sell in ko tính KDT'!N226</f>
        <v>110.41306237625777</v>
      </c>
      <c r="P227" s="17">
        <f>+'[1]Sell in ko tính KDT'!O226</f>
        <v>0</v>
      </c>
      <c r="Q227" s="17">
        <v>0</v>
      </c>
      <c r="R227" s="17">
        <f t="shared" si="137"/>
        <v>300.99457675002679</v>
      </c>
      <c r="S227" s="17">
        <f>+'[1]Sell in ko tính KDT'!Q226</f>
        <v>190.88151437376902</v>
      </c>
      <c r="T227" s="17">
        <f>+'[1]Sell in ko tính KDT'!R226</f>
        <v>110.11306237625777</v>
      </c>
      <c r="U227" s="17">
        <f>+'[1]Sell in ko tính KDT'!S226</f>
        <v>0</v>
      </c>
      <c r="V227" s="17">
        <v>0</v>
      </c>
      <c r="W227" s="17">
        <f t="shared" si="138"/>
        <v>300.99457675002679</v>
      </c>
      <c r="X227" s="17">
        <f>+'[1]Sell in ko tính KDT'!U226</f>
        <v>190.88151437376902</v>
      </c>
      <c r="Y227" s="17">
        <f>+'[1]Sell in ko tính KDT'!V226</f>
        <v>110.41306237625777</v>
      </c>
      <c r="Z227" s="17">
        <f>+'[1]Sell in ko tính KDT'!W226</f>
        <v>0</v>
      </c>
      <c r="AA227" s="17">
        <v>0</v>
      </c>
      <c r="AB227" s="17">
        <f t="shared" si="139"/>
        <v>301.29457675002681</v>
      </c>
      <c r="AC227" s="17">
        <f>+'[1]Sell in ko tính KDT'!Y226</f>
        <v>190.88151437376902</v>
      </c>
      <c r="AD227" s="17">
        <f>+'[1]Sell in ko tính KDT'!Z226</f>
        <v>110.11306237625777</v>
      </c>
      <c r="AE227" s="17">
        <f>+'[1]Sell in ko tính KDT'!AA226</f>
        <v>0</v>
      </c>
      <c r="AF227" s="17">
        <v>0</v>
      </c>
      <c r="AG227" s="17">
        <f t="shared" si="140"/>
        <v>300.99457675002679</v>
      </c>
      <c r="AH227" s="17">
        <f>+'[1]Sell in ko tính KDT'!AC226</f>
        <v>158</v>
      </c>
      <c r="AI227" s="17">
        <f>+'[1]Sell in ko tính KDT'!AD226</f>
        <v>130</v>
      </c>
      <c r="AJ227" s="17">
        <f>+'[1]Sell in ko tính KDT'!AE226</f>
        <v>0</v>
      </c>
      <c r="AK227" s="17">
        <v>0</v>
      </c>
      <c r="AL227" s="17">
        <f t="shared" si="141"/>
        <v>288</v>
      </c>
      <c r="AM227" s="17">
        <f>+'[1]Sell in ko tính KDT'!AG226</f>
        <v>165</v>
      </c>
      <c r="AN227" s="17">
        <f>+'[1]Sell in ko tính KDT'!AH226</f>
        <v>135</v>
      </c>
      <c r="AO227" s="17">
        <f>+'[1]Sell in ko tính KDT'!AI226</f>
        <v>0</v>
      </c>
      <c r="AP227" s="17">
        <v>0</v>
      </c>
      <c r="AQ227" s="17">
        <f t="shared" si="142"/>
        <v>300</v>
      </c>
      <c r="AR227" s="17">
        <f>+'[1]Sell in ko tính KDT'!AK226</f>
        <v>165</v>
      </c>
      <c r="AS227" s="17">
        <f>+'[1]Sell in ko tính KDT'!AL226</f>
        <v>135</v>
      </c>
      <c r="AT227" s="17">
        <f>+'[1]Sell in ko tính KDT'!AM226</f>
        <v>0</v>
      </c>
      <c r="AU227" s="17">
        <v>0</v>
      </c>
      <c r="AV227" s="17">
        <f t="shared" si="143"/>
        <v>300</v>
      </c>
      <c r="AW227" s="17">
        <f>+'[1]Sell in ko tính KDT'!AO226</f>
        <v>165</v>
      </c>
      <c r="AX227" s="17">
        <f>+'[1]Sell in ko tính KDT'!AP226</f>
        <v>135</v>
      </c>
      <c r="AY227" s="17">
        <f>+'[1]Sell in ko tính KDT'!AQ226</f>
        <v>0</v>
      </c>
      <c r="AZ227" s="17">
        <v>0</v>
      </c>
      <c r="BA227" s="17">
        <f t="shared" si="144"/>
        <v>300</v>
      </c>
      <c r="BB227" s="17">
        <f>+'[1]Sell in ko tính KDT'!AS226</f>
        <v>165</v>
      </c>
      <c r="BC227" s="17">
        <f>+'[1]Sell in ko tính KDT'!AT226</f>
        <v>135</v>
      </c>
      <c r="BD227" s="17">
        <f>+'[1]Sell in ko tính KDT'!AU226</f>
        <v>0</v>
      </c>
      <c r="BE227" s="17">
        <v>0</v>
      </c>
      <c r="BF227" s="17">
        <f t="shared" si="145"/>
        <v>300</v>
      </c>
      <c r="BG227" s="17">
        <f>+'[1]Sell in ko tính KDT'!AW226</f>
        <v>165</v>
      </c>
      <c r="BH227" s="17">
        <f>+'[1]Sell in ko tính KDT'!AX226</f>
        <v>135</v>
      </c>
      <c r="BI227" s="17">
        <f>+'[1]Sell in ko tính KDT'!AY226</f>
        <v>0</v>
      </c>
      <c r="BJ227" s="17">
        <v>0</v>
      </c>
      <c r="BK227" s="17">
        <f t="shared" si="146"/>
        <v>300</v>
      </c>
      <c r="BL227" s="17">
        <f>+'[1]Sell in ko tính KDT'!BA226</f>
        <v>165</v>
      </c>
      <c r="BM227" s="17">
        <f>+'[1]Sell in ko tính KDT'!BB226</f>
        <v>135</v>
      </c>
      <c r="BN227" s="17">
        <f>+'[1]Sell in ko tính KDT'!BC226</f>
        <v>0</v>
      </c>
      <c r="BO227" s="17">
        <v>0</v>
      </c>
      <c r="BP227" s="17">
        <f t="shared" si="147"/>
        <v>300</v>
      </c>
      <c r="BQ227" s="17">
        <f t="shared" si="150"/>
        <v>2101.8075718688451</v>
      </c>
      <c r="BR227" s="17">
        <f t="shared" si="150"/>
        <v>1491.4653118812892</v>
      </c>
      <c r="BS227" s="17">
        <f t="shared" si="150"/>
        <v>0</v>
      </c>
      <c r="BT227" s="17">
        <f t="shared" si="150"/>
        <v>0</v>
      </c>
      <c r="BU227" s="17">
        <f t="shared" si="149"/>
        <v>3593.2728837501345</v>
      </c>
    </row>
    <row r="228" spans="1:73" s="38" customFormat="1" collapsed="1">
      <c r="A228" s="24" t="s">
        <v>493</v>
      </c>
      <c r="B228" s="25" t="s">
        <v>567</v>
      </c>
      <c r="C228" s="25"/>
      <c r="D228" s="26"/>
      <c r="E228" s="25">
        <f>SUM(E198:E227)</f>
        <v>0</v>
      </c>
      <c r="F228" s="25"/>
      <c r="G228" s="25" t="s">
        <v>567</v>
      </c>
      <c r="H228" s="25"/>
      <c r="I228" s="25">
        <f t="shared" ref="I228:BT228" si="151">SUM(I198:I227)</f>
        <v>1170.7796831699379</v>
      </c>
      <c r="J228" s="25">
        <f t="shared" si="151"/>
        <v>786.38631891592161</v>
      </c>
      <c r="K228" s="25">
        <f t="shared" si="151"/>
        <v>0.81799999999999995</v>
      </c>
      <c r="L228" s="25">
        <f t="shared" si="151"/>
        <v>0</v>
      </c>
      <c r="M228" s="25">
        <f t="shared" si="151"/>
        <v>1957.9840020858592</v>
      </c>
      <c r="N228" s="25">
        <f t="shared" si="151"/>
        <v>1169.6329975344145</v>
      </c>
      <c r="O228" s="25">
        <f t="shared" si="151"/>
        <v>788.07830422563018</v>
      </c>
      <c r="P228" s="25">
        <f t="shared" si="151"/>
        <v>1.089377</v>
      </c>
      <c r="Q228" s="25">
        <f t="shared" si="151"/>
        <v>0</v>
      </c>
      <c r="R228" s="25">
        <f t="shared" si="151"/>
        <v>1958.8006787600443</v>
      </c>
      <c r="S228" s="25">
        <f t="shared" si="151"/>
        <v>1325.0387247708079</v>
      </c>
      <c r="T228" s="25">
        <f t="shared" si="151"/>
        <v>740.27732120222674</v>
      </c>
      <c r="U228" s="25">
        <f t="shared" si="151"/>
        <v>0.81799999999999995</v>
      </c>
      <c r="V228" s="25">
        <f t="shared" si="151"/>
        <v>0</v>
      </c>
      <c r="W228" s="25">
        <f t="shared" si="151"/>
        <v>2066.1340459730345</v>
      </c>
      <c r="X228" s="25">
        <f t="shared" si="151"/>
        <v>1325.9902088236702</v>
      </c>
      <c r="Y228" s="25">
        <f t="shared" si="151"/>
        <v>741.64966676854078</v>
      </c>
      <c r="Z228" s="25">
        <f t="shared" si="151"/>
        <v>0.81799999999999995</v>
      </c>
      <c r="AA228" s="25">
        <f t="shared" si="151"/>
        <v>0</v>
      </c>
      <c r="AB228" s="25">
        <f t="shared" si="151"/>
        <v>2068.4578755922107</v>
      </c>
      <c r="AC228" s="25">
        <f t="shared" si="151"/>
        <v>1353.1112814389328</v>
      </c>
      <c r="AD228" s="25">
        <f t="shared" si="151"/>
        <v>739.64966676854067</v>
      </c>
      <c r="AE228" s="25">
        <f t="shared" si="151"/>
        <v>0.81799999999999995</v>
      </c>
      <c r="AF228" s="25">
        <f t="shared" si="151"/>
        <v>0</v>
      </c>
      <c r="AG228" s="25">
        <f t="shared" si="151"/>
        <v>2093.5789482074733</v>
      </c>
      <c r="AH228" s="25">
        <f t="shared" si="151"/>
        <v>933</v>
      </c>
      <c r="AI228" s="25">
        <f t="shared" si="151"/>
        <v>623</v>
      </c>
      <c r="AJ228" s="25">
        <f t="shared" si="151"/>
        <v>0</v>
      </c>
      <c r="AK228" s="25">
        <f t="shared" si="151"/>
        <v>0</v>
      </c>
      <c r="AL228" s="25">
        <f t="shared" si="151"/>
        <v>1556</v>
      </c>
      <c r="AM228" s="25">
        <f t="shared" si="151"/>
        <v>1318</v>
      </c>
      <c r="AN228" s="25">
        <f t="shared" si="151"/>
        <v>942</v>
      </c>
      <c r="AO228" s="25">
        <f t="shared" si="151"/>
        <v>0</v>
      </c>
      <c r="AP228" s="25">
        <f t="shared" si="151"/>
        <v>0</v>
      </c>
      <c r="AQ228" s="25">
        <f t="shared" si="151"/>
        <v>2260</v>
      </c>
      <c r="AR228" s="25">
        <f t="shared" si="151"/>
        <v>1318</v>
      </c>
      <c r="AS228" s="25">
        <f t="shared" si="151"/>
        <v>942</v>
      </c>
      <c r="AT228" s="25">
        <f t="shared" si="151"/>
        <v>0</v>
      </c>
      <c r="AU228" s="25">
        <f t="shared" si="151"/>
        <v>0</v>
      </c>
      <c r="AV228" s="25">
        <f t="shared" si="151"/>
        <v>2260</v>
      </c>
      <c r="AW228" s="25">
        <f t="shared" si="151"/>
        <v>1328</v>
      </c>
      <c r="AX228" s="25">
        <f t="shared" si="151"/>
        <v>942</v>
      </c>
      <c r="AY228" s="25">
        <f t="shared" si="151"/>
        <v>0</v>
      </c>
      <c r="AZ228" s="25">
        <f t="shared" si="151"/>
        <v>0</v>
      </c>
      <c r="BA228" s="25">
        <f t="shared" si="151"/>
        <v>2270</v>
      </c>
      <c r="BB228" s="25">
        <f t="shared" si="151"/>
        <v>1313</v>
      </c>
      <c r="BC228" s="25">
        <f t="shared" si="151"/>
        <v>942</v>
      </c>
      <c r="BD228" s="25">
        <f t="shared" si="151"/>
        <v>0</v>
      </c>
      <c r="BE228" s="25">
        <f t="shared" si="151"/>
        <v>0</v>
      </c>
      <c r="BF228" s="25">
        <f t="shared" si="151"/>
        <v>2255</v>
      </c>
      <c r="BG228" s="25">
        <f t="shared" si="151"/>
        <v>1313</v>
      </c>
      <c r="BH228" s="25">
        <f t="shared" si="151"/>
        <v>942</v>
      </c>
      <c r="BI228" s="25">
        <f t="shared" si="151"/>
        <v>0</v>
      </c>
      <c r="BJ228" s="25">
        <f t="shared" si="151"/>
        <v>0</v>
      </c>
      <c r="BK228" s="25">
        <f t="shared" si="151"/>
        <v>2255</v>
      </c>
      <c r="BL228" s="25">
        <f t="shared" si="151"/>
        <v>1338</v>
      </c>
      <c r="BM228" s="25">
        <f t="shared" si="151"/>
        <v>942</v>
      </c>
      <c r="BN228" s="25">
        <f t="shared" si="151"/>
        <v>0</v>
      </c>
      <c r="BO228" s="25">
        <f t="shared" si="151"/>
        <v>0</v>
      </c>
      <c r="BP228" s="25">
        <f t="shared" si="151"/>
        <v>2280</v>
      </c>
      <c r="BQ228" s="25">
        <f t="shared" si="151"/>
        <v>15205.552895737763</v>
      </c>
      <c r="BR228" s="25">
        <f t="shared" si="151"/>
        <v>10071.04127788086</v>
      </c>
      <c r="BS228" s="25">
        <f t="shared" si="151"/>
        <v>4.3613769999999992</v>
      </c>
      <c r="BT228" s="25">
        <f t="shared" si="151"/>
        <v>0</v>
      </c>
      <c r="BU228" s="25">
        <f t="shared" ref="BU228" si="152">SUM(BU198:BU227)</f>
        <v>25280.955550618623</v>
      </c>
    </row>
    <row r="229" spans="1:73" s="46" customFormat="1" ht="15.6" hidden="1" outlineLevel="1">
      <c r="A229" s="16" t="s">
        <v>493</v>
      </c>
      <c r="B229" s="17" t="s">
        <v>568</v>
      </c>
      <c r="C229" s="17" t="s">
        <v>569</v>
      </c>
      <c r="D229" s="17" t="s">
        <v>496</v>
      </c>
      <c r="E229" s="72" t="s">
        <v>570</v>
      </c>
      <c r="F229" s="18" t="s">
        <v>571</v>
      </c>
      <c r="G229" s="17" t="s">
        <v>572</v>
      </c>
      <c r="H229" s="17" t="s">
        <v>39</v>
      </c>
      <c r="I229" s="17">
        <f>+'[1]Sell in ko tính KDT'!I228</f>
        <v>60.025674931856699</v>
      </c>
      <c r="J229" s="17">
        <f>+'[1]Sell in ko tính KDT'!J228</f>
        <v>0</v>
      </c>
      <c r="K229" s="17">
        <f>+'[1]Sell in ko tính KDT'!K228</f>
        <v>0</v>
      </c>
      <c r="L229" s="17">
        <v>0</v>
      </c>
      <c r="M229" s="17">
        <f t="shared" ref="M229:M240" si="153">I229+J229+L229+K229</f>
        <v>60.025674931856699</v>
      </c>
      <c r="N229" s="17">
        <f>+'[1]Sell in ko tính KDT'!M228</f>
        <v>61.525674931856699</v>
      </c>
      <c r="O229" s="17">
        <f>+'[1]Sell in ko tính KDT'!N228</f>
        <v>0</v>
      </c>
      <c r="P229" s="17">
        <f>+'[1]Sell in ko tính KDT'!O228</f>
        <v>0</v>
      </c>
      <c r="Q229" s="17">
        <v>0</v>
      </c>
      <c r="R229" s="17">
        <f t="shared" ref="R229:R240" si="154">N229+O229+Q229+P229</f>
        <v>61.525674931856699</v>
      </c>
      <c r="S229" s="17">
        <f>+'[1]Sell in ko tính KDT'!Q228</f>
        <v>61.525674931856699</v>
      </c>
      <c r="T229" s="17">
        <f>+'[1]Sell in ko tính KDT'!R228</f>
        <v>0</v>
      </c>
      <c r="U229" s="17">
        <f>+'[1]Sell in ko tính KDT'!S228</f>
        <v>0</v>
      </c>
      <c r="V229" s="17">
        <v>0</v>
      </c>
      <c r="W229" s="17">
        <f t="shared" ref="W229:W240" si="155">S229+T229+V229+U229</f>
        <v>61.525674931856699</v>
      </c>
      <c r="X229" s="17">
        <f>+'[1]Sell in ko tính KDT'!U228</f>
        <v>61.525674931856699</v>
      </c>
      <c r="Y229" s="17">
        <f>+'[1]Sell in ko tính KDT'!V228</f>
        <v>0</v>
      </c>
      <c r="Z229" s="17">
        <f>+'[1]Sell in ko tính KDT'!W228</f>
        <v>0</v>
      </c>
      <c r="AA229" s="17">
        <v>0</v>
      </c>
      <c r="AB229" s="17">
        <f t="shared" ref="AB229:AB240" si="156">X229+Y229+AA229+Z229</f>
        <v>61.525674931856699</v>
      </c>
      <c r="AC229" s="17">
        <f>+'[1]Sell in ko tính KDT'!Y228</f>
        <v>70.025674931856699</v>
      </c>
      <c r="AD229" s="17">
        <f>+'[1]Sell in ko tính KDT'!Z228</f>
        <v>0</v>
      </c>
      <c r="AE229" s="17">
        <f>+'[1]Sell in ko tính KDT'!AA228</f>
        <v>0</v>
      </c>
      <c r="AF229" s="17">
        <v>0</v>
      </c>
      <c r="AG229" s="17">
        <f t="shared" ref="AG229:AG240" si="157">AC229+AD229+AF229+AE229</f>
        <v>70.025674931856699</v>
      </c>
      <c r="AH229" s="17">
        <f>+'[1]Sell in ko tính KDT'!AC228</f>
        <v>33</v>
      </c>
      <c r="AI229" s="17">
        <f>+'[1]Sell in ko tính KDT'!AD228</f>
        <v>27</v>
      </c>
      <c r="AJ229" s="17">
        <f>+'[1]Sell in ko tính KDT'!AE228</f>
        <v>0</v>
      </c>
      <c r="AK229" s="17">
        <v>0</v>
      </c>
      <c r="AL229" s="17">
        <f t="shared" ref="AL229:AL240" si="158">AH229+AI229+AK229+AJ229</f>
        <v>60</v>
      </c>
      <c r="AM229" s="17">
        <f>+'[1]Sell in ko tính KDT'!AG228</f>
        <v>33</v>
      </c>
      <c r="AN229" s="17">
        <f>+'[1]Sell in ko tính KDT'!AH228</f>
        <v>27</v>
      </c>
      <c r="AO229" s="17">
        <f>+'[1]Sell in ko tính KDT'!AI228</f>
        <v>0</v>
      </c>
      <c r="AP229" s="17">
        <v>0</v>
      </c>
      <c r="AQ229" s="17">
        <f t="shared" ref="AQ229:AQ240" si="159">AM229+AN229+AP229+AO229</f>
        <v>60</v>
      </c>
      <c r="AR229" s="17">
        <f>+'[1]Sell in ko tính KDT'!AK228</f>
        <v>33</v>
      </c>
      <c r="AS229" s="17">
        <f>+'[1]Sell in ko tính KDT'!AL228</f>
        <v>27</v>
      </c>
      <c r="AT229" s="17">
        <f>+'[1]Sell in ko tính KDT'!AM228</f>
        <v>0</v>
      </c>
      <c r="AU229" s="17">
        <v>0</v>
      </c>
      <c r="AV229" s="17">
        <f t="shared" ref="AV229:AV240" si="160">AR229+AS229+AU229+AT229</f>
        <v>60</v>
      </c>
      <c r="AW229" s="17">
        <f>+'[1]Sell in ko tính KDT'!AO228</f>
        <v>33</v>
      </c>
      <c r="AX229" s="17">
        <f>+'[1]Sell in ko tính KDT'!AP228</f>
        <v>27</v>
      </c>
      <c r="AY229" s="17">
        <f>+'[1]Sell in ko tính KDT'!AQ228</f>
        <v>0</v>
      </c>
      <c r="AZ229" s="17">
        <v>0</v>
      </c>
      <c r="BA229" s="17">
        <f t="shared" ref="BA229:BA240" si="161">AW229+AX229+AZ229+AY229</f>
        <v>60</v>
      </c>
      <c r="BB229" s="17">
        <f>+'[1]Sell in ko tính KDT'!AS228</f>
        <v>33</v>
      </c>
      <c r="BC229" s="17">
        <f>+'[1]Sell in ko tính KDT'!AT228</f>
        <v>27</v>
      </c>
      <c r="BD229" s="17">
        <f>+'[1]Sell in ko tính KDT'!AU228</f>
        <v>0</v>
      </c>
      <c r="BE229" s="17">
        <v>0</v>
      </c>
      <c r="BF229" s="17">
        <f t="shared" ref="BF229:BF240" si="162">BB229+BC229+BE229+BD229</f>
        <v>60</v>
      </c>
      <c r="BG229" s="17">
        <f>+'[1]Sell in ko tính KDT'!AW228</f>
        <v>33</v>
      </c>
      <c r="BH229" s="17">
        <f>+'[1]Sell in ko tính KDT'!AX228</f>
        <v>27</v>
      </c>
      <c r="BI229" s="17">
        <f>+'[1]Sell in ko tính KDT'!AY228</f>
        <v>0</v>
      </c>
      <c r="BJ229" s="17">
        <v>0</v>
      </c>
      <c r="BK229" s="17">
        <f t="shared" ref="BK229:BK240" si="163">BG229+BH229+BJ229+BI229</f>
        <v>60</v>
      </c>
      <c r="BL229" s="17">
        <f>+'[1]Sell in ko tính KDT'!BA228</f>
        <v>33</v>
      </c>
      <c r="BM229" s="17">
        <f>+'[1]Sell in ko tính KDT'!BB228</f>
        <v>27</v>
      </c>
      <c r="BN229" s="17">
        <f>+'[1]Sell in ko tính KDT'!BC228</f>
        <v>0</v>
      </c>
      <c r="BO229" s="17">
        <v>0</v>
      </c>
      <c r="BP229" s="17">
        <f t="shared" ref="BP229:BP270" si="164">BL229+BM229+BO229+BN229</f>
        <v>60</v>
      </c>
      <c r="BQ229" s="17">
        <f t="shared" ref="BQ229:BT244" si="165">BL229+BG229+BB229+AW229+AR229+AM229+AH229+AC229+X229+S229+N229+I229</f>
        <v>545.62837465928351</v>
      </c>
      <c r="BR229" s="17">
        <f t="shared" si="165"/>
        <v>189</v>
      </c>
      <c r="BS229" s="17">
        <f t="shared" si="165"/>
        <v>0</v>
      </c>
      <c r="BT229" s="17">
        <f t="shared" si="165"/>
        <v>0</v>
      </c>
      <c r="BU229" s="17">
        <f t="shared" ref="BU229:BU270" si="166">BQ229+BR229+BT229+BS229</f>
        <v>734.62837465928351</v>
      </c>
    </row>
    <row r="230" spans="1:73" s="46" customFormat="1" hidden="1" outlineLevel="1">
      <c r="A230" s="16" t="s">
        <v>493</v>
      </c>
      <c r="B230" s="17" t="s">
        <v>568</v>
      </c>
      <c r="C230" s="17" t="s">
        <v>52</v>
      </c>
      <c r="D230" s="17" t="s">
        <v>496</v>
      </c>
      <c r="E230" s="17" t="s">
        <v>573</v>
      </c>
      <c r="F230" s="18" t="s">
        <v>574</v>
      </c>
      <c r="G230" s="17" t="s">
        <v>575</v>
      </c>
      <c r="H230" s="17" t="s">
        <v>39</v>
      </c>
      <c r="I230" s="17">
        <f>+'[1]Sell in ko tính KDT'!I229</f>
        <v>19.599999999999998</v>
      </c>
      <c r="J230" s="17">
        <f>+'[1]Sell in ko tính KDT'!J229</f>
        <v>6.3840000000000003</v>
      </c>
      <c r="K230" s="17">
        <f>+'[1]Sell in ko tính KDT'!K229</f>
        <v>0</v>
      </c>
      <c r="L230" s="17">
        <v>0</v>
      </c>
      <c r="M230" s="17">
        <f t="shared" si="153"/>
        <v>25.983999999999998</v>
      </c>
      <c r="N230" s="17">
        <f>+'[1]Sell in ko tính KDT'!M229</f>
        <v>29.4</v>
      </c>
      <c r="O230" s="17">
        <f>+'[1]Sell in ko tính KDT'!N229</f>
        <v>6.5840000000000005</v>
      </c>
      <c r="P230" s="17">
        <f>+'[1]Sell in ko tính KDT'!O229</f>
        <v>0</v>
      </c>
      <c r="Q230" s="17">
        <v>0</v>
      </c>
      <c r="R230" s="17">
        <f t="shared" si="154"/>
        <v>35.984000000000002</v>
      </c>
      <c r="S230" s="17">
        <f>+'[1]Sell in ko tính KDT'!Q229</f>
        <v>29.4</v>
      </c>
      <c r="T230" s="17">
        <f>+'[1]Sell in ko tính KDT'!R229</f>
        <v>6.0840000000000005</v>
      </c>
      <c r="U230" s="17">
        <f>+'[1]Sell in ko tính KDT'!S229</f>
        <v>0</v>
      </c>
      <c r="V230" s="17">
        <v>0</v>
      </c>
      <c r="W230" s="17">
        <f t="shared" si="155"/>
        <v>35.484000000000002</v>
      </c>
      <c r="X230" s="17">
        <f>+'[1]Sell in ko tính KDT'!U229</f>
        <v>41.000000000000007</v>
      </c>
      <c r="Y230" s="17">
        <f>+'[1]Sell in ko tính KDT'!V229</f>
        <v>6.0840000000000005</v>
      </c>
      <c r="Z230" s="17">
        <f>+'[1]Sell in ko tính KDT'!W229</f>
        <v>0</v>
      </c>
      <c r="AA230" s="17">
        <v>0</v>
      </c>
      <c r="AB230" s="17">
        <f t="shared" si="156"/>
        <v>47.08400000000001</v>
      </c>
      <c r="AC230" s="17">
        <f>+'[1]Sell in ko tính KDT'!Y229</f>
        <v>20.9</v>
      </c>
      <c r="AD230" s="17">
        <f>+'[1]Sell in ko tính KDT'!Z229</f>
        <v>6.0840000000000005</v>
      </c>
      <c r="AE230" s="17">
        <f>+'[1]Sell in ko tính KDT'!AA229</f>
        <v>0</v>
      </c>
      <c r="AF230" s="17">
        <v>0</v>
      </c>
      <c r="AG230" s="17">
        <f t="shared" si="157"/>
        <v>26.983999999999998</v>
      </c>
      <c r="AH230" s="17">
        <f>+'[1]Sell in ko tính KDT'!AC229</f>
        <v>0</v>
      </c>
      <c r="AI230" s="17">
        <f>+'[1]Sell in ko tính KDT'!AD229</f>
        <v>0</v>
      </c>
      <c r="AJ230" s="17">
        <f>+'[1]Sell in ko tính KDT'!AE229</f>
        <v>0</v>
      </c>
      <c r="AK230" s="17">
        <v>0</v>
      </c>
      <c r="AL230" s="17">
        <f t="shared" si="158"/>
        <v>0</v>
      </c>
      <c r="AM230" s="17">
        <f>+'[1]Sell in ko tính KDT'!AG229</f>
        <v>0</v>
      </c>
      <c r="AN230" s="17">
        <f>+'[1]Sell in ko tính KDT'!AH229</f>
        <v>0</v>
      </c>
      <c r="AO230" s="17">
        <f>+'[1]Sell in ko tính KDT'!AI229</f>
        <v>0</v>
      </c>
      <c r="AP230" s="17">
        <v>0</v>
      </c>
      <c r="AQ230" s="17">
        <f t="shared" si="159"/>
        <v>0</v>
      </c>
      <c r="AR230" s="17">
        <f>+'[1]Sell in ko tính KDT'!AK229</f>
        <v>0</v>
      </c>
      <c r="AS230" s="17">
        <f>+'[1]Sell in ko tính KDT'!AL229</f>
        <v>0</v>
      </c>
      <c r="AT230" s="17">
        <f>+'[1]Sell in ko tính KDT'!AM229</f>
        <v>0</v>
      </c>
      <c r="AU230" s="17">
        <v>0</v>
      </c>
      <c r="AV230" s="17">
        <f t="shared" si="160"/>
        <v>0</v>
      </c>
      <c r="AW230" s="17">
        <f>+'[1]Sell in ko tính KDT'!AO229</f>
        <v>0</v>
      </c>
      <c r="AX230" s="17">
        <f>+'[1]Sell in ko tính KDT'!AP229</f>
        <v>0</v>
      </c>
      <c r="AY230" s="17">
        <f>+'[1]Sell in ko tính KDT'!AQ229</f>
        <v>0</v>
      </c>
      <c r="AZ230" s="17">
        <v>0</v>
      </c>
      <c r="BA230" s="17">
        <f t="shared" si="161"/>
        <v>0</v>
      </c>
      <c r="BB230" s="17">
        <f>+'[1]Sell in ko tính KDT'!AS229</f>
        <v>0</v>
      </c>
      <c r="BC230" s="17">
        <f>+'[1]Sell in ko tính KDT'!AT229</f>
        <v>0</v>
      </c>
      <c r="BD230" s="17">
        <f>+'[1]Sell in ko tính KDT'!AU229</f>
        <v>0</v>
      </c>
      <c r="BE230" s="17">
        <v>0</v>
      </c>
      <c r="BF230" s="17">
        <f t="shared" si="162"/>
        <v>0</v>
      </c>
      <c r="BG230" s="17">
        <f>+'[1]Sell in ko tính KDT'!AW229</f>
        <v>0</v>
      </c>
      <c r="BH230" s="17">
        <f>+'[1]Sell in ko tính KDT'!AX229</f>
        <v>0</v>
      </c>
      <c r="BI230" s="17">
        <f>+'[1]Sell in ko tính KDT'!AY229</f>
        <v>0</v>
      </c>
      <c r="BJ230" s="17">
        <v>0</v>
      </c>
      <c r="BK230" s="17">
        <f t="shared" si="163"/>
        <v>0</v>
      </c>
      <c r="BL230" s="17">
        <f>+'[1]Sell in ko tính KDT'!BA229</f>
        <v>0</v>
      </c>
      <c r="BM230" s="17">
        <f>+'[1]Sell in ko tính KDT'!BB229</f>
        <v>0</v>
      </c>
      <c r="BN230" s="17">
        <f>+'[1]Sell in ko tính KDT'!BC229</f>
        <v>0</v>
      </c>
      <c r="BO230" s="17">
        <v>0</v>
      </c>
      <c r="BP230" s="17">
        <f t="shared" si="164"/>
        <v>0</v>
      </c>
      <c r="BQ230" s="17">
        <f t="shared" si="165"/>
        <v>140.30000000000001</v>
      </c>
      <c r="BR230" s="17">
        <f t="shared" si="165"/>
        <v>31.220000000000002</v>
      </c>
      <c r="BS230" s="17">
        <f t="shared" si="165"/>
        <v>0</v>
      </c>
      <c r="BT230" s="17">
        <f t="shared" si="165"/>
        <v>0</v>
      </c>
      <c r="BU230" s="17">
        <f t="shared" si="166"/>
        <v>171.52</v>
      </c>
    </row>
    <row r="231" spans="1:73" s="46" customFormat="1" ht="15.6" hidden="1" outlineLevel="1">
      <c r="A231" s="16" t="s">
        <v>493</v>
      </c>
      <c r="B231" s="17" t="s">
        <v>568</v>
      </c>
      <c r="C231" s="17" t="s">
        <v>52</v>
      </c>
      <c r="D231" s="17" t="s">
        <v>496</v>
      </c>
      <c r="E231" s="72" t="s">
        <v>570</v>
      </c>
      <c r="F231" s="18" t="s">
        <v>576</v>
      </c>
      <c r="G231" s="17" t="s">
        <v>577</v>
      </c>
      <c r="H231" s="17" t="s">
        <v>357</v>
      </c>
      <c r="I231" s="17">
        <f>+'[1]Sell in ko tính KDT'!I230</f>
        <v>0</v>
      </c>
      <c r="J231" s="17">
        <f>+'[1]Sell in ko tính KDT'!J230</f>
        <v>40.999999999999901</v>
      </c>
      <c r="K231" s="17">
        <f>+'[1]Sell in ko tính KDT'!K230</f>
        <v>0</v>
      </c>
      <c r="L231" s="17">
        <v>0</v>
      </c>
      <c r="M231" s="17">
        <f t="shared" si="153"/>
        <v>40.999999999999901</v>
      </c>
      <c r="N231" s="17">
        <f>+'[1]Sell in ko tính KDT'!M230</f>
        <v>0</v>
      </c>
      <c r="O231" s="17">
        <f>+'[1]Sell in ko tính KDT'!N230</f>
        <v>44.999999999999901</v>
      </c>
      <c r="P231" s="17">
        <f>+'[1]Sell in ko tính KDT'!O230</f>
        <v>0</v>
      </c>
      <c r="Q231" s="17">
        <v>0</v>
      </c>
      <c r="R231" s="17">
        <f t="shared" si="154"/>
        <v>44.999999999999901</v>
      </c>
      <c r="S231" s="17">
        <f>+'[1]Sell in ko tính KDT'!Q230</f>
        <v>0</v>
      </c>
      <c r="T231" s="17">
        <f>+'[1]Sell in ko tính KDT'!R230</f>
        <v>44.999999999999901</v>
      </c>
      <c r="U231" s="17">
        <f>+'[1]Sell in ko tính KDT'!S230</f>
        <v>0</v>
      </c>
      <c r="V231" s="17">
        <v>0</v>
      </c>
      <c r="W231" s="17">
        <f t="shared" si="155"/>
        <v>44.999999999999901</v>
      </c>
      <c r="X231" s="17">
        <f>+'[1]Sell in ko tính KDT'!U230</f>
        <v>0</v>
      </c>
      <c r="Y231" s="17">
        <f>+'[1]Sell in ko tính KDT'!V230</f>
        <v>44.999999999999901</v>
      </c>
      <c r="Z231" s="17">
        <f>+'[1]Sell in ko tính KDT'!W230</f>
        <v>0</v>
      </c>
      <c r="AA231" s="17">
        <v>0</v>
      </c>
      <c r="AB231" s="17">
        <f t="shared" si="156"/>
        <v>44.999999999999901</v>
      </c>
      <c r="AC231" s="17">
        <f>+'[1]Sell in ko tính KDT'!Y230</f>
        <v>0</v>
      </c>
      <c r="AD231" s="17">
        <f>+'[1]Sell in ko tính KDT'!Z230</f>
        <v>44.999999999999901</v>
      </c>
      <c r="AE231" s="17">
        <f>+'[1]Sell in ko tính KDT'!AA230</f>
        <v>0</v>
      </c>
      <c r="AF231" s="17">
        <v>0</v>
      </c>
      <c r="AG231" s="17">
        <f t="shared" si="157"/>
        <v>44.999999999999901</v>
      </c>
      <c r="AH231" s="17">
        <f>+'[1]Sell in ko tính KDT'!AC230</f>
        <v>22</v>
      </c>
      <c r="AI231" s="17">
        <f>+'[1]Sell in ko tính KDT'!AD230</f>
        <v>18</v>
      </c>
      <c r="AJ231" s="17">
        <f>+'[1]Sell in ko tính KDT'!AE230</f>
        <v>0</v>
      </c>
      <c r="AK231" s="17">
        <v>0</v>
      </c>
      <c r="AL231" s="17">
        <f t="shared" si="158"/>
        <v>40</v>
      </c>
      <c r="AM231" s="17">
        <f>+'[1]Sell in ko tính KDT'!AG230</f>
        <v>22</v>
      </c>
      <c r="AN231" s="17">
        <f>+'[1]Sell in ko tính KDT'!AH230</f>
        <v>18</v>
      </c>
      <c r="AO231" s="17">
        <f>+'[1]Sell in ko tính KDT'!AI230</f>
        <v>0</v>
      </c>
      <c r="AP231" s="17">
        <v>0</v>
      </c>
      <c r="AQ231" s="17">
        <f t="shared" si="159"/>
        <v>40</v>
      </c>
      <c r="AR231" s="17">
        <f>+'[1]Sell in ko tính KDT'!AK230</f>
        <v>22</v>
      </c>
      <c r="AS231" s="17">
        <f>+'[1]Sell in ko tính KDT'!AL230</f>
        <v>18</v>
      </c>
      <c r="AT231" s="17">
        <f>+'[1]Sell in ko tính KDT'!AM230</f>
        <v>0</v>
      </c>
      <c r="AU231" s="17">
        <v>0</v>
      </c>
      <c r="AV231" s="17">
        <f t="shared" si="160"/>
        <v>40</v>
      </c>
      <c r="AW231" s="17">
        <f>+'[1]Sell in ko tính KDT'!AO230</f>
        <v>22</v>
      </c>
      <c r="AX231" s="17">
        <f>+'[1]Sell in ko tính KDT'!AP230</f>
        <v>18</v>
      </c>
      <c r="AY231" s="17">
        <f>+'[1]Sell in ko tính KDT'!AQ230</f>
        <v>0</v>
      </c>
      <c r="AZ231" s="17">
        <v>0</v>
      </c>
      <c r="BA231" s="17">
        <f t="shared" si="161"/>
        <v>40</v>
      </c>
      <c r="BB231" s="17">
        <f>+'[1]Sell in ko tính KDT'!AS230</f>
        <v>22</v>
      </c>
      <c r="BC231" s="17">
        <f>+'[1]Sell in ko tính KDT'!AT230</f>
        <v>18</v>
      </c>
      <c r="BD231" s="17">
        <f>+'[1]Sell in ko tính KDT'!AU230</f>
        <v>0</v>
      </c>
      <c r="BE231" s="17">
        <v>0</v>
      </c>
      <c r="BF231" s="17">
        <f t="shared" si="162"/>
        <v>40</v>
      </c>
      <c r="BG231" s="17">
        <f>+'[1]Sell in ko tính KDT'!AW230</f>
        <v>22</v>
      </c>
      <c r="BH231" s="17">
        <f>+'[1]Sell in ko tính KDT'!AX230</f>
        <v>18</v>
      </c>
      <c r="BI231" s="17">
        <f>+'[1]Sell in ko tính KDT'!AY230</f>
        <v>0</v>
      </c>
      <c r="BJ231" s="17">
        <v>0</v>
      </c>
      <c r="BK231" s="17">
        <f t="shared" si="163"/>
        <v>40</v>
      </c>
      <c r="BL231" s="17">
        <f>+'[1]Sell in ko tính KDT'!BA230</f>
        <v>22</v>
      </c>
      <c r="BM231" s="17">
        <f>+'[1]Sell in ko tính KDT'!BB230</f>
        <v>18</v>
      </c>
      <c r="BN231" s="17">
        <f>+'[1]Sell in ko tính KDT'!BC230</f>
        <v>0</v>
      </c>
      <c r="BO231" s="17">
        <v>0</v>
      </c>
      <c r="BP231" s="17">
        <f t="shared" si="164"/>
        <v>40</v>
      </c>
      <c r="BQ231" s="17">
        <f t="shared" si="165"/>
        <v>154</v>
      </c>
      <c r="BR231" s="17">
        <f t="shared" si="165"/>
        <v>346.99999999999943</v>
      </c>
      <c r="BS231" s="17">
        <f t="shared" si="165"/>
        <v>0</v>
      </c>
      <c r="BT231" s="17">
        <f t="shared" si="165"/>
        <v>0</v>
      </c>
      <c r="BU231" s="17">
        <f t="shared" si="166"/>
        <v>500.99999999999943</v>
      </c>
    </row>
    <row r="232" spans="1:73" s="46" customFormat="1" hidden="1" outlineLevel="1">
      <c r="A232" s="16" t="s">
        <v>493</v>
      </c>
      <c r="B232" s="17" t="s">
        <v>568</v>
      </c>
      <c r="C232" s="17" t="s">
        <v>578</v>
      </c>
      <c r="D232" s="17" t="s">
        <v>496</v>
      </c>
      <c r="E232" s="17" t="s">
        <v>573</v>
      </c>
      <c r="F232" s="18" t="s">
        <v>579</v>
      </c>
      <c r="G232" s="18" t="s">
        <v>580</v>
      </c>
      <c r="H232" s="17" t="s">
        <v>357</v>
      </c>
      <c r="I232" s="17">
        <f>+'[1]Sell in ko tính KDT'!I231</f>
        <v>19.292514481404901</v>
      </c>
      <c r="J232" s="17">
        <f>+'[1]Sell in ko tính KDT'!J231</f>
        <v>20.777576671859901</v>
      </c>
      <c r="K232" s="17">
        <f>+'[1]Sell in ko tính KDT'!K231</f>
        <v>0</v>
      </c>
      <c r="L232" s="17">
        <v>0</v>
      </c>
      <c r="M232" s="17">
        <f t="shared" si="153"/>
        <v>40.070091153264798</v>
      </c>
      <c r="N232" s="17">
        <f>+'[1]Sell in ko tính KDT'!M231</f>
        <v>31.19448262894695</v>
      </c>
      <c r="O232" s="17">
        <f>+'[1]Sell in ko tính KDT'!N231</f>
        <v>15.833828291399467</v>
      </c>
      <c r="P232" s="17">
        <f>+'[1]Sell in ko tính KDT'!O231</f>
        <v>0</v>
      </c>
      <c r="Q232" s="17">
        <v>0</v>
      </c>
      <c r="R232" s="17">
        <f t="shared" si="154"/>
        <v>47.028310920346414</v>
      </c>
      <c r="S232" s="17">
        <f>+'[1]Sell in ko tính KDT'!Q231</f>
        <v>24.792514481404893</v>
      </c>
      <c r="T232" s="17">
        <f>+'[1]Sell in ko tính KDT'!R231</f>
        <v>15.833828291399463</v>
      </c>
      <c r="U232" s="17">
        <f>+'[1]Sell in ko tính KDT'!S231</f>
        <v>0</v>
      </c>
      <c r="V232" s="17">
        <v>0</v>
      </c>
      <c r="W232" s="17">
        <f t="shared" si="155"/>
        <v>40.626342772804357</v>
      </c>
      <c r="X232" s="17">
        <f>+'[1]Sell in ko tính KDT'!U231</f>
        <v>27.992514481404896</v>
      </c>
      <c r="Y232" s="17">
        <f>+'[1]Sell in ko tính KDT'!V231</f>
        <v>15.833828291399463</v>
      </c>
      <c r="Z232" s="17">
        <f>+'[1]Sell in ko tính KDT'!W231</f>
        <v>0</v>
      </c>
      <c r="AA232" s="17">
        <v>0</v>
      </c>
      <c r="AB232" s="17">
        <f t="shared" si="156"/>
        <v>43.82634277280436</v>
      </c>
      <c r="AC232" s="17">
        <f>+'[1]Sell in ko tính KDT'!Y231</f>
        <v>18.792514481404897</v>
      </c>
      <c r="AD232" s="17">
        <f>+'[1]Sell in ko tính KDT'!Z231</f>
        <v>15.833828291399463</v>
      </c>
      <c r="AE232" s="17">
        <f>+'[1]Sell in ko tính KDT'!AA231</f>
        <v>0</v>
      </c>
      <c r="AF232" s="17">
        <v>0</v>
      </c>
      <c r="AG232" s="17">
        <f t="shared" si="157"/>
        <v>34.626342772804364</v>
      </c>
      <c r="AH232" s="17">
        <f>+'[1]Sell in ko tính KDT'!AC231</f>
        <v>0</v>
      </c>
      <c r="AI232" s="17">
        <f>+'[1]Sell in ko tính KDT'!AD231</f>
        <v>0</v>
      </c>
      <c r="AJ232" s="17">
        <f>+'[1]Sell in ko tính KDT'!AE231</f>
        <v>0</v>
      </c>
      <c r="AK232" s="17">
        <v>0</v>
      </c>
      <c r="AL232" s="17">
        <f t="shared" si="158"/>
        <v>0</v>
      </c>
      <c r="AM232" s="17">
        <f>+'[1]Sell in ko tính KDT'!AG231</f>
        <v>0</v>
      </c>
      <c r="AN232" s="17">
        <f>+'[1]Sell in ko tính KDT'!AH231</f>
        <v>0</v>
      </c>
      <c r="AO232" s="17">
        <f>+'[1]Sell in ko tính KDT'!AI231</f>
        <v>0</v>
      </c>
      <c r="AP232" s="17">
        <v>0</v>
      </c>
      <c r="AQ232" s="17">
        <f t="shared" si="159"/>
        <v>0</v>
      </c>
      <c r="AR232" s="17">
        <f>+'[1]Sell in ko tính KDT'!AK231</f>
        <v>0</v>
      </c>
      <c r="AS232" s="17">
        <f>+'[1]Sell in ko tính KDT'!AL231</f>
        <v>0</v>
      </c>
      <c r="AT232" s="17">
        <f>+'[1]Sell in ko tính KDT'!AM231</f>
        <v>0</v>
      </c>
      <c r="AU232" s="17">
        <v>0</v>
      </c>
      <c r="AV232" s="17">
        <f t="shared" si="160"/>
        <v>0</v>
      </c>
      <c r="AW232" s="17">
        <f>+'[1]Sell in ko tính KDT'!AO231</f>
        <v>0</v>
      </c>
      <c r="AX232" s="17">
        <f>+'[1]Sell in ko tính KDT'!AP231</f>
        <v>0</v>
      </c>
      <c r="AY232" s="17">
        <f>+'[1]Sell in ko tính KDT'!AQ231</f>
        <v>0</v>
      </c>
      <c r="AZ232" s="17">
        <v>0</v>
      </c>
      <c r="BA232" s="17">
        <f t="shared" si="161"/>
        <v>0</v>
      </c>
      <c r="BB232" s="17">
        <f>+'[1]Sell in ko tính KDT'!AS231</f>
        <v>0</v>
      </c>
      <c r="BC232" s="17">
        <f>+'[1]Sell in ko tính KDT'!AT231</f>
        <v>0</v>
      </c>
      <c r="BD232" s="17">
        <f>+'[1]Sell in ko tính KDT'!AU231</f>
        <v>0</v>
      </c>
      <c r="BE232" s="17">
        <v>0</v>
      </c>
      <c r="BF232" s="17">
        <f t="shared" si="162"/>
        <v>0</v>
      </c>
      <c r="BG232" s="17">
        <f>+'[1]Sell in ko tính KDT'!AW231</f>
        <v>0</v>
      </c>
      <c r="BH232" s="17">
        <f>+'[1]Sell in ko tính KDT'!AX231</f>
        <v>0</v>
      </c>
      <c r="BI232" s="17">
        <f>+'[1]Sell in ko tính KDT'!AY231</f>
        <v>0</v>
      </c>
      <c r="BJ232" s="17">
        <v>0</v>
      </c>
      <c r="BK232" s="17">
        <f t="shared" si="163"/>
        <v>0</v>
      </c>
      <c r="BL232" s="17">
        <f>+'[1]Sell in ko tính KDT'!BA231</f>
        <v>0</v>
      </c>
      <c r="BM232" s="17">
        <f>+'[1]Sell in ko tính KDT'!BB231</f>
        <v>0</v>
      </c>
      <c r="BN232" s="17">
        <f>+'[1]Sell in ko tính KDT'!BC231</f>
        <v>0</v>
      </c>
      <c r="BO232" s="17">
        <v>0</v>
      </c>
      <c r="BP232" s="17">
        <f t="shared" si="164"/>
        <v>0</v>
      </c>
      <c r="BQ232" s="17">
        <f t="shared" si="165"/>
        <v>122.06454055456655</v>
      </c>
      <c r="BR232" s="17">
        <f t="shared" si="165"/>
        <v>84.112889837457757</v>
      </c>
      <c r="BS232" s="17">
        <f t="shared" si="165"/>
        <v>0</v>
      </c>
      <c r="BT232" s="17">
        <f t="shared" si="165"/>
        <v>0</v>
      </c>
      <c r="BU232" s="17">
        <f t="shared" si="166"/>
        <v>206.17743039202429</v>
      </c>
    </row>
    <row r="233" spans="1:73" s="46" customFormat="1" ht="15.6" hidden="1" outlineLevel="1">
      <c r="A233" s="16" t="s">
        <v>493</v>
      </c>
      <c r="B233" s="17" t="s">
        <v>568</v>
      </c>
      <c r="C233" s="17" t="s">
        <v>52</v>
      </c>
      <c r="D233" s="17" t="s">
        <v>496</v>
      </c>
      <c r="E233" s="72" t="s">
        <v>570</v>
      </c>
      <c r="F233" s="18" t="s">
        <v>581</v>
      </c>
      <c r="G233" s="18" t="s">
        <v>582</v>
      </c>
      <c r="H233" s="17" t="s">
        <v>357</v>
      </c>
      <c r="I233" s="17">
        <f>+'[1]Sell in ko tính KDT'!I232</f>
        <v>25.720840218726423</v>
      </c>
      <c r="J233" s="17">
        <f>+'[1]Sell in ko tính KDT'!J232</f>
        <v>18.956271818428799</v>
      </c>
      <c r="K233" s="17">
        <f>+'[1]Sell in ko tính KDT'!K232</f>
        <v>0</v>
      </c>
      <c r="L233" s="17">
        <v>0</v>
      </c>
      <c r="M233" s="17">
        <f t="shared" si="153"/>
        <v>44.677112037155226</v>
      </c>
      <c r="N233" s="17">
        <f>+'[1]Sell in ko tính KDT'!M232</f>
        <v>17.941595774281986</v>
      </c>
      <c r="O233" s="17">
        <f>+'[1]Sell in ko tính KDT'!N232</f>
        <v>22.291071818428801</v>
      </c>
      <c r="P233" s="17">
        <f>+'[1]Sell in ko tính KDT'!O232</f>
        <v>0</v>
      </c>
      <c r="Q233" s="17">
        <v>0</v>
      </c>
      <c r="R233" s="66">
        <f t="shared" si="154"/>
        <v>40.232667592710783</v>
      </c>
      <c r="S233" s="17">
        <f>+'[1]Sell in ko tính KDT'!Q232</f>
        <v>17.941595774281986</v>
      </c>
      <c r="T233" s="17">
        <f>+'[1]Sell in ko tính KDT'!R232</f>
        <v>21.291071818428826</v>
      </c>
      <c r="U233" s="17">
        <f>+'[1]Sell in ko tính KDT'!S232</f>
        <v>0</v>
      </c>
      <c r="V233" s="17">
        <v>0</v>
      </c>
      <c r="W233" s="17">
        <f t="shared" si="155"/>
        <v>39.232667592710811</v>
      </c>
      <c r="X233" s="17">
        <f>+'[1]Sell in ko tính KDT'!U232</f>
        <v>17.941595774281986</v>
      </c>
      <c r="Y233" s="17">
        <f>+'[1]Sell in ko tính KDT'!V232</f>
        <v>21.291071818428826</v>
      </c>
      <c r="Z233" s="17">
        <f>+'[1]Sell in ko tính KDT'!W232</f>
        <v>0</v>
      </c>
      <c r="AA233" s="17">
        <v>0</v>
      </c>
      <c r="AB233" s="17">
        <f t="shared" si="156"/>
        <v>39.232667592710811</v>
      </c>
      <c r="AC233" s="17">
        <f>+'[1]Sell in ko tính KDT'!Y232</f>
        <v>17.941595774281986</v>
      </c>
      <c r="AD233" s="17">
        <f>+'[1]Sell in ko tính KDT'!Z232</f>
        <v>21.291071818428826</v>
      </c>
      <c r="AE233" s="17">
        <f>+'[1]Sell in ko tính KDT'!AA232</f>
        <v>0</v>
      </c>
      <c r="AF233" s="17">
        <v>0</v>
      </c>
      <c r="AG233" s="17">
        <f t="shared" si="157"/>
        <v>39.232667592710811</v>
      </c>
      <c r="AH233" s="17">
        <f>+'[1]Sell in ko tính KDT'!AC232</f>
        <v>22</v>
      </c>
      <c r="AI233" s="17">
        <f>+'[1]Sell in ko tính KDT'!AD232</f>
        <v>18</v>
      </c>
      <c r="AJ233" s="17">
        <f>+'[1]Sell in ko tính KDT'!AE232</f>
        <v>0</v>
      </c>
      <c r="AK233" s="17">
        <v>0</v>
      </c>
      <c r="AL233" s="17">
        <f t="shared" si="158"/>
        <v>40</v>
      </c>
      <c r="AM233" s="17">
        <f>+'[1]Sell in ko tính KDT'!AG232</f>
        <v>22</v>
      </c>
      <c r="AN233" s="17">
        <f>+'[1]Sell in ko tính KDT'!AH232</f>
        <v>18</v>
      </c>
      <c r="AO233" s="17">
        <f>+'[1]Sell in ko tính KDT'!AI232</f>
        <v>0</v>
      </c>
      <c r="AP233" s="17">
        <v>0</v>
      </c>
      <c r="AQ233" s="17">
        <f t="shared" si="159"/>
        <v>40</v>
      </c>
      <c r="AR233" s="17">
        <f>+'[1]Sell in ko tính KDT'!AK232</f>
        <v>22</v>
      </c>
      <c r="AS233" s="17">
        <f>+'[1]Sell in ko tính KDT'!AL232</f>
        <v>18</v>
      </c>
      <c r="AT233" s="17">
        <f>+'[1]Sell in ko tính KDT'!AM232</f>
        <v>0</v>
      </c>
      <c r="AU233" s="17">
        <v>0</v>
      </c>
      <c r="AV233" s="17">
        <f t="shared" si="160"/>
        <v>40</v>
      </c>
      <c r="AW233" s="17">
        <f>+'[1]Sell in ko tính KDT'!AO232</f>
        <v>22</v>
      </c>
      <c r="AX233" s="17">
        <f>+'[1]Sell in ko tính KDT'!AP232</f>
        <v>18</v>
      </c>
      <c r="AY233" s="17">
        <f>+'[1]Sell in ko tính KDT'!AQ232</f>
        <v>0</v>
      </c>
      <c r="AZ233" s="17">
        <v>0</v>
      </c>
      <c r="BA233" s="17">
        <f t="shared" si="161"/>
        <v>40</v>
      </c>
      <c r="BB233" s="17">
        <f>+'[1]Sell in ko tính KDT'!AS232</f>
        <v>22</v>
      </c>
      <c r="BC233" s="17">
        <f>+'[1]Sell in ko tính KDT'!AT232</f>
        <v>18</v>
      </c>
      <c r="BD233" s="17">
        <f>+'[1]Sell in ko tính KDT'!AU232</f>
        <v>0</v>
      </c>
      <c r="BE233" s="17">
        <v>0</v>
      </c>
      <c r="BF233" s="17">
        <f t="shared" si="162"/>
        <v>40</v>
      </c>
      <c r="BG233" s="17">
        <f>+'[1]Sell in ko tính KDT'!AW232</f>
        <v>22</v>
      </c>
      <c r="BH233" s="17">
        <f>+'[1]Sell in ko tính KDT'!AX232</f>
        <v>18</v>
      </c>
      <c r="BI233" s="17">
        <f>+'[1]Sell in ko tính KDT'!AY232</f>
        <v>0</v>
      </c>
      <c r="BJ233" s="17">
        <v>0</v>
      </c>
      <c r="BK233" s="17">
        <f t="shared" si="163"/>
        <v>40</v>
      </c>
      <c r="BL233" s="17">
        <f>+'[1]Sell in ko tính KDT'!BA232</f>
        <v>22</v>
      </c>
      <c r="BM233" s="17">
        <f>+'[1]Sell in ko tính KDT'!BB232</f>
        <v>18</v>
      </c>
      <c r="BN233" s="17">
        <f>+'[1]Sell in ko tính KDT'!BC232</f>
        <v>0</v>
      </c>
      <c r="BO233" s="17">
        <v>0</v>
      </c>
      <c r="BP233" s="17">
        <f t="shared" si="164"/>
        <v>40</v>
      </c>
      <c r="BQ233" s="17">
        <f t="shared" si="165"/>
        <v>251.48722331585435</v>
      </c>
      <c r="BR233" s="17">
        <f t="shared" si="165"/>
        <v>231.12055909214411</v>
      </c>
      <c r="BS233" s="17">
        <f t="shared" si="165"/>
        <v>0</v>
      </c>
      <c r="BT233" s="17">
        <f t="shared" si="165"/>
        <v>0</v>
      </c>
      <c r="BU233" s="17">
        <f t="shared" si="166"/>
        <v>482.60778240799846</v>
      </c>
    </row>
    <row r="234" spans="1:73" s="46" customFormat="1" hidden="1" outlineLevel="1">
      <c r="A234" s="16" t="s">
        <v>493</v>
      </c>
      <c r="B234" s="17" t="s">
        <v>568</v>
      </c>
      <c r="C234" s="17" t="s">
        <v>583</v>
      </c>
      <c r="D234" s="17" t="s">
        <v>496</v>
      </c>
      <c r="E234" s="17" t="s">
        <v>573</v>
      </c>
      <c r="F234" s="39" t="s">
        <v>584</v>
      </c>
      <c r="G234" s="39" t="s">
        <v>585</v>
      </c>
      <c r="H234" s="17" t="s">
        <v>39</v>
      </c>
      <c r="I234" s="17">
        <f>+'[1]Sell in ko tính KDT'!I233</f>
        <v>9.0122554153602472</v>
      </c>
      <c r="J234" s="17">
        <f>+'[1]Sell in ko tính KDT'!J233</f>
        <v>32.635646024805098</v>
      </c>
      <c r="K234" s="17">
        <f>+'[1]Sell in ko tính KDT'!K233</f>
        <v>0</v>
      </c>
      <c r="L234" s="17">
        <v>0</v>
      </c>
      <c r="M234" s="17">
        <f t="shared" si="153"/>
        <v>41.647901440165342</v>
      </c>
      <c r="N234" s="17">
        <f>+'[1]Sell in ko tính KDT'!M233</f>
        <v>9.0122554153602472</v>
      </c>
      <c r="O234" s="17">
        <f>+'[1]Sell in ko tính KDT'!N233</f>
        <v>33.135646024805197</v>
      </c>
      <c r="P234" s="17">
        <f>+'[1]Sell in ko tính KDT'!O233</f>
        <v>0</v>
      </c>
      <c r="Q234" s="17">
        <v>0</v>
      </c>
      <c r="R234" s="66">
        <f t="shared" si="154"/>
        <v>42.147901440165441</v>
      </c>
      <c r="S234" s="17">
        <f>+'[1]Sell in ko tính KDT'!Q233</f>
        <v>9.0122554153602472</v>
      </c>
      <c r="T234" s="17">
        <f>+'[1]Sell in ko tính KDT'!R233</f>
        <v>38.635646024805183</v>
      </c>
      <c r="U234" s="17">
        <f>+'[1]Sell in ko tính KDT'!S233</f>
        <v>0</v>
      </c>
      <c r="V234" s="17">
        <v>0</v>
      </c>
      <c r="W234" s="17">
        <f t="shared" si="155"/>
        <v>47.647901440165427</v>
      </c>
      <c r="X234" s="17">
        <f>+'[1]Sell in ko tính KDT'!U233</f>
        <v>9.0122554153602472</v>
      </c>
      <c r="Y234" s="17">
        <f>+'[1]Sell in ko tính KDT'!V233</f>
        <v>38.635646024805183</v>
      </c>
      <c r="Z234" s="17">
        <f>+'[1]Sell in ko tính KDT'!W233</f>
        <v>0</v>
      </c>
      <c r="AA234" s="17">
        <v>0</v>
      </c>
      <c r="AB234" s="17">
        <f t="shared" si="156"/>
        <v>47.647901440165427</v>
      </c>
      <c r="AC234" s="17">
        <f>+'[1]Sell in ko tính KDT'!Y233</f>
        <v>9.0122554153602472</v>
      </c>
      <c r="AD234" s="17">
        <f>+'[1]Sell in ko tính KDT'!Z233</f>
        <v>40.635646024805226</v>
      </c>
      <c r="AE234" s="17">
        <f>+'[1]Sell in ko tính KDT'!AA233</f>
        <v>0</v>
      </c>
      <c r="AF234" s="17">
        <v>0</v>
      </c>
      <c r="AG234" s="17">
        <f t="shared" si="157"/>
        <v>49.647901440165469</v>
      </c>
      <c r="AH234" s="17">
        <f>+'[1]Sell in ko tính KDT'!AC233</f>
        <v>0</v>
      </c>
      <c r="AI234" s="17">
        <f>+'[1]Sell in ko tính KDT'!AD233</f>
        <v>0</v>
      </c>
      <c r="AJ234" s="17">
        <f>+'[1]Sell in ko tính KDT'!AE233</f>
        <v>0</v>
      </c>
      <c r="AK234" s="17">
        <v>0</v>
      </c>
      <c r="AL234" s="17">
        <f t="shared" si="158"/>
        <v>0</v>
      </c>
      <c r="AM234" s="17">
        <f>+'[1]Sell in ko tính KDT'!AG233</f>
        <v>0</v>
      </c>
      <c r="AN234" s="17">
        <f>+'[1]Sell in ko tính KDT'!AH233</f>
        <v>0</v>
      </c>
      <c r="AO234" s="17">
        <f>+'[1]Sell in ko tính KDT'!AI233</f>
        <v>0</v>
      </c>
      <c r="AP234" s="17">
        <v>0</v>
      </c>
      <c r="AQ234" s="17">
        <f t="shared" si="159"/>
        <v>0</v>
      </c>
      <c r="AR234" s="17">
        <f>+'[1]Sell in ko tính KDT'!AK233</f>
        <v>0</v>
      </c>
      <c r="AS234" s="17">
        <f>+'[1]Sell in ko tính KDT'!AL233</f>
        <v>0</v>
      </c>
      <c r="AT234" s="17">
        <f>+'[1]Sell in ko tính KDT'!AM233</f>
        <v>0</v>
      </c>
      <c r="AU234" s="17">
        <v>0</v>
      </c>
      <c r="AV234" s="17">
        <f t="shared" si="160"/>
        <v>0</v>
      </c>
      <c r="AW234" s="17">
        <f>+'[1]Sell in ko tính KDT'!AO233</f>
        <v>0</v>
      </c>
      <c r="AX234" s="17">
        <f>+'[1]Sell in ko tính KDT'!AP233</f>
        <v>0</v>
      </c>
      <c r="AY234" s="17">
        <f>+'[1]Sell in ko tính KDT'!AQ233</f>
        <v>0</v>
      </c>
      <c r="AZ234" s="17">
        <v>0</v>
      </c>
      <c r="BA234" s="17">
        <f t="shared" si="161"/>
        <v>0</v>
      </c>
      <c r="BB234" s="17">
        <f>+'[1]Sell in ko tính KDT'!AS233</f>
        <v>0</v>
      </c>
      <c r="BC234" s="17">
        <f>+'[1]Sell in ko tính KDT'!AT233</f>
        <v>0</v>
      </c>
      <c r="BD234" s="17">
        <f>+'[1]Sell in ko tính KDT'!AU233</f>
        <v>0</v>
      </c>
      <c r="BE234" s="17">
        <v>0</v>
      </c>
      <c r="BF234" s="17">
        <f t="shared" si="162"/>
        <v>0</v>
      </c>
      <c r="BG234" s="17">
        <f>+'[1]Sell in ko tính KDT'!AW233</f>
        <v>0</v>
      </c>
      <c r="BH234" s="17">
        <f>+'[1]Sell in ko tính KDT'!AX233</f>
        <v>0</v>
      </c>
      <c r="BI234" s="17">
        <f>+'[1]Sell in ko tính KDT'!AY233</f>
        <v>0</v>
      </c>
      <c r="BJ234" s="17">
        <v>0</v>
      </c>
      <c r="BK234" s="17">
        <f t="shared" si="163"/>
        <v>0</v>
      </c>
      <c r="BL234" s="17">
        <f>+'[1]Sell in ko tính KDT'!BA233</f>
        <v>0</v>
      </c>
      <c r="BM234" s="17">
        <f>+'[1]Sell in ko tính KDT'!BB233</f>
        <v>0</v>
      </c>
      <c r="BN234" s="17">
        <f>+'[1]Sell in ko tính KDT'!BC233</f>
        <v>0</v>
      </c>
      <c r="BO234" s="17">
        <v>0</v>
      </c>
      <c r="BP234" s="17">
        <f t="shared" si="164"/>
        <v>0</v>
      </c>
      <c r="BQ234" s="17">
        <f t="shared" si="165"/>
        <v>45.061277076801233</v>
      </c>
      <c r="BR234" s="17">
        <f t="shared" si="165"/>
        <v>183.6782301240259</v>
      </c>
      <c r="BS234" s="17">
        <f t="shared" si="165"/>
        <v>0</v>
      </c>
      <c r="BT234" s="17">
        <f t="shared" si="165"/>
        <v>0</v>
      </c>
      <c r="BU234" s="17">
        <f t="shared" si="166"/>
        <v>228.73950720082712</v>
      </c>
    </row>
    <row r="235" spans="1:73" s="46" customFormat="1" hidden="1" outlineLevel="1">
      <c r="A235" s="16" t="s">
        <v>493</v>
      </c>
      <c r="B235" s="17" t="s">
        <v>568</v>
      </c>
      <c r="C235" s="17" t="s">
        <v>583</v>
      </c>
      <c r="D235" s="17" t="s">
        <v>496</v>
      </c>
      <c r="E235" s="17" t="s">
        <v>573</v>
      </c>
      <c r="F235" s="18" t="s">
        <v>586</v>
      </c>
      <c r="G235" s="18" t="s">
        <v>587</v>
      </c>
      <c r="H235" s="17" t="s">
        <v>39</v>
      </c>
      <c r="I235" s="17">
        <f>+'[1]Sell in ko tính KDT'!I234</f>
        <v>0</v>
      </c>
      <c r="J235" s="17">
        <f>+'[1]Sell in ko tính KDT'!J234</f>
        <v>0</v>
      </c>
      <c r="K235" s="17">
        <f>+'[1]Sell in ko tính KDT'!K234</f>
        <v>0</v>
      </c>
      <c r="L235" s="17">
        <v>0</v>
      </c>
      <c r="M235" s="17">
        <f t="shared" si="153"/>
        <v>0</v>
      </c>
      <c r="N235" s="17">
        <f>+'[1]Sell in ko tính KDT'!M234</f>
        <v>0</v>
      </c>
      <c r="O235" s="17">
        <f>+'[1]Sell in ko tính KDT'!N234</f>
        <v>0</v>
      </c>
      <c r="P235" s="17">
        <f>+'[1]Sell in ko tính KDT'!O234</f>
        <v>0</v>
      </c>
      <c r="Q235" s="17">
        <v>0</v>
      </c>
      <c r="R235" s="17">
        <f t="shared" si="154"/>
        <v>0</v>
      </c>
      <c r="S235" s="17">
        <f>+'[1]Sell in ko tính KDT'!Q234</f>
        <v>0</v>
      </c>
      <c r="T235" s="17">
        <f>+'[1]Sell in ko tính KDT'!R234</f>
        <v>0</v>
      </c>
      <c r="U235" s="17">
        <f>+'[1]Sell in ko tính KDT'!S234</f>
        <v>0</v>
      </c>
      <c r="V235" s="17">
        <v>0</v>
      </c>
      <c r="W235" s="17">
        <f t="shared" si="155"/>
        <v>0</v>
      </c>
      <c r="X235" s="17">
        <f>+'[1]Sell in ko tính KDT'!U234</f>
        <v>0</v>
      </c>
      <c r="Y235" s="17">
        <f>+'[1]Sell in ko tính KDT'!V234</f>
        <v>0</v>
      </c>
      <c r="Z235" s="17">
        <f>+'[1]Sell in ko tính KDT'!W234</f>
        <v>0</v>
      </c>
      <c r="AA235" s="17">
        <v>0</v>
      </c>
      <c r="AB235" s="17">
        <f t="shared" si="156"/>
        <v>0</v>
      </c>
      <c r="AC235" s="17">
        <f>+'[1]Sell in ko tính KDT'!Y234</f>
        <v>0</v>
      </c>
      <c r="AD235" s="17">
        <f>+'[1]Sell in ko tính KDT'!Z234</f>
        <v>0</v>
      </c>
      <c r="AE235" s="17">
        <f>+'[1]Sell in ko tính KDT'!AA234</f>
        <v>0</v>
      </c>
      <c r="AF235" s="17">
        <v>0</v>
      </c>
      <c r="AG235" s="17">
        <f t="shared" si="157"/>
        <v>0</v>
      </c>
      <c r="AH235" s="17">
        <f>+'[1]Sell in ko tính KDT'!AC234</f>
        <v>0</v>
      </c>
      <c r="AI235" s="17">
        <f>+'[1]Sell in ko tính KDT'!AD234</f>
        <v>0</v>
      </c>
      <c r="AJ235" s="17">
        <f>+'[1]Sell in ko tính KDT'!AE234</f>
        <v>0</v>
      </c>
      <c r="AK235" s="17">
        <v>0</v>
      </c>
      <c r="AL235" s="17">
        <f t="shared" si="158"/>
        <v>0</v>
      </c>
      <c r="AM235" s="17">
        <f>+'[1]Sell in ko tính KDT'!AG234</f>
        <v>0</v>
      </c>
      <c r="AN235" s="17">
        <f>+'[1]Sell in ko tính KDT'!AH234</f>
        <v>0</v>
      </c>
      <c r="AO235" s="17">
        <f>+'[1]Sell in ko tính KDT'!AI234</f>
        <v>0</v>
      </c>
      <c r="AP235" s="17">
        <v>0</v>
      </c>
      <c r="AQ235" s="17">
        <f t="shared" si="159"/>
        <v>0</v>
      </c>
      <c r="AR235" s="17">
        <f>+'[1]Sell in ko tính KDT'!AK234</f>
        <v>0</v>
      </c>
      <c r="AS235" s="17">
        <f>+'[1]Sell in ko tính KDT'!AL234</f>
        <v>0</v>
      </c>
      <c r="AT235" s="17">
        <f>+'[1]Sell in ko tính KDT'!AM234</f>
        <v>0</v>
      </c>
      <c r="AU235" s="17">
        <v>0</v>
      </c>
      <c r="AV235" s="17">
        <f t="shared" si="160"/>
        <v>0</v>
      </c>
      <c r="AW235" s="17">
        <f>+'[1]Sell in ko tính KDT'!AO234</f>
        <v>0</v>
      </c>
      <c r="AX235" s="17">
        <f>+'[1]Sell in ko tính KDT'!AP234</f>
        <v>0</v>
      </c>
      <c r="AY235" s="17">
        <f>+'[1]Sell in ko tính KDT'!AQ234</f>
        <v>0</v>
      </c>
      <c r="AZ235" s="17">
        <v>0</v>
      </c>
      <c r="BA235" s="17">
        <f t="shared" si="161"/>
        <v>0</v>
      </c>
      <c r="BB235" s="17">
        <f>+'[1]Sell in ko tính KDT'!AS234</f>
        <v>0</v>
      </c>
      <c r="BC235" s="17">
        <f>+'[1]Sell in ko tính KDT'!AT234</f>
        <v>0</v>
      </c>
      <c r="BD235" s="17">
        <f>+'[1]Sell in ko tính KDT'!AU234</f>
        <v>0</v>
      </c>
      <c r="BE235" s="17">
        <v>0</v>
      </c>
      <c r="BF235" s="17">
        <f t="shared" si="162"/>
        <v>0</v>
      </c>
      <c r="BG235" s="17">
        <f>+'[1]Sell in ko tính KDT'!AW234</f>
        <v>0</v>
      </c>
      <c r="BH235" s="17">
        <f>+'[1]Sell in ko tính KDT'!AX234</f>
        <v>0</v>
      </c>
      <c r="BI235" s="17">
        <f>+'[1]Sell in ko tính KDT'!AY234</f>
        <v>0</v>
      </c>
      <c r="BJ235" s="17">
        <v>0</v>
      </c>
      <c r="BK235" s="17">
        <f t="shared" si="163"/>
        <v>0</v>
      </c>
      <c r="BL235" s="17">
        <f>+'[1]Sell in ko tính KDT'!BA234</f>
        <v>0</v>
      </c>
      <c r="BM235" s="17">
        <f>+'[1]Sell in ko tính KDT'!BB234</f>
        <v>0</v>
      </c>
      <c r="BN235" s="17">
        <f>+'[1]Sell in ko tính KDT'!BC234</f>
        <v>0</v>
      </c>
      <c r="BO235" s="17">
        <v>0</v>
      </c>
      <c r="BP235" s="17">
        <f t="shared" si="164"/>
        <v>0</v>
      </c>
      <c r="BQ235" s="17">
        <f t="shared" si="165"/>
        <v>0</v>
      </c>
      <c r="BR235" s="17">
        <f t="shared" si="165"/>
        <v>0</v>
      </c>
      <c r="BS235" s="17">
        <f t="shared" si="165"/>
        <v>0</v>
      </c>
      <c r="BT235" s="17">
        <f t="shared" si="165"/>
        <v>0</v>
      </c>
      <c r="BU235" s="17">
        <f t="shared" si="166"/>
        <v>0</v>
      </c>
    </row>
    <row r="236" spans="1:73" s="46" customFormat="1" hidden="1" outlineLevel="1">
      <c r="A236" s="16" t="s">
        <v>493</v>
      </c>
      <c r="B236" s="17" t="s">
        <v>568</v>
      </c>
      <c r="C236" s="17" t="s">
        <v>52</v>
      </c>
      <c r="D236" s="17" t="s">
        <v>496</v>
      </c>
      <c r="E236" s="31" t="s">
        <v>588</v>
      </c>
      <c r="F236" s="18" t="s">
        <v>589</v>
      </c>
      <c r="G236" s="73" t="s">
        <v>590</v>
      </c>
      <c r="H236" s="17" t="s">
        <v>45</v>
      </c>
      <c r="I236" s="17">
        <f>+'[1]Sell in ko tính KDT'!I235</f>
        <v>51.391222562206536</v>
      </c>
      <c r="J236" s="17">
        <f>+'[1]Sell in ko tính KDT'!J235</f>
        <v>9.0673274356586404</v>
      </c>
      <c r="K236" s="17">
        <f>+'[1]Sell in ko tính KDT'!K235</f>
        <v>0</v>
      </c>
      <c r="L236" s="17">
        <v>0</v>
      </c>
      <c r="M236" s="17">
        <f t="shared" si="153"/>
        <v>60.458549997865177</v>
      </c>
      <c r="N236" s="17">
        <f>+'[1]Sell in ko tính KDT'!M235</f>
        <v>45.963982562206532</v>
      </c>
      <c r="O236" s="17">
        <f>+'[1]Sell in ko tính KDT'!N235</f>
        <v>8.467327435658639</v>
      </c>
      <c r="P236" s="17">
        <f>+'[1]Sell in ko tính KDT'!O235</f>
        <v>0</v>
      </c>
      <c r="Q236" s="17">
        <v>0</v>
      </c>
      <c r="R236" s="17">
        <f t="shared" si="154"/>
        <v>54.431309997865171</v>
      </c>
      <c r="S236" s="17">
        <f>+'[1]Sell in ko tính KDT'!Q235</f>
        <v>170.00776582679995</v>
      </c>
      <c r="T236" s="17">
        <f>+'[1]Sell in ko tính KDT'!R235</f>
        <v>131.44559845532746</v>
      </c>
      <c r="U236" s="17">
        <f>+'[1]Sell in ko tính KDT'!S235</f>
        <v>0</v>
      </c>
      <c r="V236" s="17">
        <v>0</v>
      </c>
      <c r="W236" s="17">
        <f t="shared" si="155"/>
        <v>301.45336428212738</v>
      </c>
      <c r="X236" s="17">
        <f>+'[1]Sell in ko tính KDT'!U235</f>
        <v>150.37695590857192</v>
      </c>
      <c r="Y236" s="17">
        <f>+'[1]Sell in ko tính KDT'!V235</f>
        <v>149.69985686524956</v>
      </c>
      <c r="Z236" s="17">
        <f>+'[1]Sell in ko tính KDT'!W235</f>
        <v>0</v>
      </c>
      <c r="AA236" s="17">
        <v>0</v>
      </c>
      <c r="AB236" s="17">
        <f t="shared" si="156"/>
        <v>300.07681277382147</v>
      </c>
      <c r="AC236" s="17">
        <f>+'[1]Sell in ko tính KDT'!Y235</f>
        <v>129.04614616297346</v>
      </c>
      <c r="AD236" s="17">
        <f>+'[1]Sell in ko tính KDT'!Z235</f>
        <v>170.95411562097826</v>
      </c>
      <c r="AE236" s="17">
        <f>+'[1]Sell in ko tính KDT'!AA235</f>
        <v>0</v>
      </c>
      <c r="AF236" s="17">
        <v>0</v>
      </c>
      <c r="AG236" s="17">
        <f t="shared" si="157"/>
        <v>300.00026178395171</v>
      </c>
      <c r="AH236" s="17">
        <f>+'[1]Sell in ko tính KDT'!AC235</f>
        <v>165</v>
      </c>
      <c r="AI236" s="17">
        <f>+'[1]Sell in ko tính KDT'!AD235</f>
        <v>135</v>
      </c>
      <c r="AJ236" s="17">
        <f>+'[1]Sell in ko tính KDT'!AE235</f>
        <v>0</v>
      </c>
      <c r="AK236" s="17">
        <v>0</v>
      </c>
      <c r="AL236" s="17">
        <f t="shared" si="158"/>
        <v>300</v>
      </c>
      <c r="AM236" s="17">
        <f>+'[1]Sell in ko tính KDT'!AG235</f>
        <v>165</v>
      </c>
      <c r="AN236" s="17">
        <f>+'[1]Sell in ko tính KDT'!AH235</f>
        <v>135</v>
      </c>
      <c r="AO236" s="17">
        <f>+'[1]Sell in ko tính KDT'!AI235</f>
        <v>0</v>
      </c>
      <c r="AP236" s="17">
        <v>0</v>
      </c>
      <c r="AQ236" s="17">
        <f t="shared" si="159"/>
        <v>300</v>
      </c>
      <c r="AR236" s="17">
        <f>+'[1]Sell in ko tính KDT'!AK235</f>
        <v>165</v>
      </c>
      <c r="AS236" s="17">
        <f>+'[1]Sell in ko tính KDT'!AL235</f>
        <v>135</v>
      </c>
      <c r="AT236" s="17">
        <f>+'[1]Sell in ko tính KDT'!AM235</f>
        <v>0</v>
      </c>
      <c r="AU236" s="17">
        <v>0</v>
      </c>
      <c r="AV236" s="17">
        <f t="shared" si="160"/>
        <v>300</v>
      </c>
      <c r="AW236" s="17">
        <f>+'[1]Sell in ko tính KDT'!AO235</f>
        <v>165</v>
      </c>
      <c r="AX236" s="17">
        <f>+'[1]Sell in ko tính KDT'!AP235</f>
        <v>135</v>
      </c>
      <c r="AY236" s="17">
        <f>+'[1]Sell in ko tính KDT'!AQ235</f>
        <v>0</v>
      </c>
      <c r="AZ236" s="17">
        <v>0</v>
      </c>
      <c r="BA236" s="17">
        <f t="shared" si="161"/>
        <v>300</v>
      </c>
      <c r="BB236" s="17">
        <f>+'[1]Sell in ko tính KDT'!AS235</f>
        <v>165</v>
      </c>
      <c r="BC236" s="17">
        <f>+'[1]Sell in ko tính KDT'!AT235</f>
        <v>135</v>
      </c>
      <c r="BD236" s="17">
        <f>+'[1]Sell in ko tính KDT'!AU235</f>
        <v>0</v>
      </c>
      <c r="BE236" s="17">
        <v>0</v>
      </c>
      <c r="BF236" s="17">
        <f t="shared" si="162"/>
        <v>300</v>
      </c>
      <c r="BG236" s="17">
        <f>+'[1]Sell in ko tính KDT'!AW235</f>
        <v>165</v>
      </c>
      <c r="BH236" s="17">
        <f>+'[1]Sell in ko tính KDT'!AX235</f>
        <v>135</v>
      </c>
      <c r="BI236" s="17">
        <f>+'[1]Sell in ko tính KDT'!AY235</f>
        <v>0</v>
      </c>
      <c r="BJ236" s="17">
        <v>0</v>
      </c>
      <c r="BK236" s="17">
        <f t="shared" si="163"/>
        <v>300</v>
      </c>
      <c r="BL236" s="17">
        <f>+'[1]Sell in ko tính KDT'!BA235</f>
        <v>165</v>
      </c>
      <c r="BM236" s="17">
        <f>+'[1]Sell in ko tính KDT'!BB235</f>
        <v>135</v>
      </c>
      <c r="BN236" s="17">
        <f>+'[1]Sell in ko tính KDT'!BC235</f>
        <v>0</v>
      </c>
      <c r="BO236" s="17">
        <v>0</v>
      </c>
      <c r="BP236" s="17">
        <f t="shared" si="164"/>
        <v>300</v>
      </c>
      <c r="BQ236" s="17">
        <f t="shared" si="165"/>
        <v>1701.7860730227585</v>
      </c>
      <c r="BR236" s="17">
        <f t="shared" si="165"/>
        <v>1414.6342258128725</v>
      </c>
      <c r="BS236" s="17">
        <f t="shared" si="165"/>
        <v>0</v>
      </c>
      <c r="BT236" s="17">
        <f t="shared" si="165"/>
        <v>0</v>
      </c>
      <c r="BU236" s="17">
        <f t="shared" si="166"/>
        <v>3116.420298835631</v>
      </c>
    </row>
    <row r="237" spans="1:73" s="46" customFormat="1" hidden="1" outlineLevel="1">
      <c r="A237" s="16" t="s">
        <v>493</v>
      </c>
      <c r="B237" s="17" t="s">
        <v>568</v>
      </c>
      <c r="C237" s="17" t="s">
        <v>578</v>
      </c>
      <c r="D237" s="17" t="s">
        <v>496</v>
      </c>
      <c r="E237" s="31" t="s">
        <v>591</v>
      </c>
      <c r="F237" s="18" t="s">
        <v>592</v>
      </c>
      <c r="G237" s="18" t="s">
        <v>593</v>
      </c>
      <c r="H237" s="17" t="s">
        <v>45</v>
      </c>
      <c r="I237" s="17">
        <f>+'[1]Sell in ko tính KDT'!I236</f>
        <v>32.128989414609229</v>
      </c>
      <c r="J237" s="17">
        <f>+'[1]Sell in ko tính KDT'!J236</f>
        <v>11.929409278241931</v>
      </c>
      <c r="K237" s="17">
        <f>+'[1]Sell in ko tính KDT'!K236</f>
        <v>0</v>
      </c>
      <c r="L237" s="17">
        <v>0</v>
      </c>
      <c r="M237" s="17">
        <f t="shared" si="153"/>
        <v>44.058398692851156</v>
      </c>
      <c r="N237" s="17">
        <f>+'[1]Sell in ko tính KDT'!M236</f>
        <v>32.128989414609229</v>
      </c>
      <c r="O237" s="17">
        <f>+'[1]Sell in ko tính KDT'!N236</f>
        <v>13.929409278241931</v>
      </c>
      <c r="P237" s="17">
        <f>+'[1]Sell in ko tính KDT'!O236</f>
        <v>0</v>
      </c>
      <c r="Q237" s="17">
        <v>0</v>
      </c>
      <c r="R237" s="17">
        <f t="shared" si="154"/>
        <v>46.058398692851156</v>
      </c>
      <c r="S237" s="17">
        <f>+'[1]Sell in ko tính KDT'!Q236</f>
        <v>143.81044878080101</v>
      </c>
      <c r="T237" s="17">
        <f>+'[1]Sell in ko tính KDT'!R236</f>
        <v>156.23591034883887</v>
      </c>
      <c r="U237" s="17">
        <f>+'[1]Sell in ko tính KDT'!S236</f>
        <v>0</v>
      </c>
      <c r="V237" s="17">
        <v>0</v>
      </c>
      <c r="W237" s="17">
        <f t="shared" si="155"/>
        <v>300.04635912963988</v>
      </c>
      <c r="X237" s="17">
        <f>+'[1]Sell in ko tính KDT'!U236</f>
        <v>131.83427178080095</v>
      </c>
      <c r="Y237" s="17">
        <f>+'[1]Sell in ko tính KDT'!V236</f>
        <v>168.23591234883884</v>
      </c>
      <c r="Z237" s="17">
        <f>+'[1]Sell in ko tính KDT'!W236</f>
        <v>0</v>
      </c>
      <c r="AA237" s="17">
        <v>0</v>
      </c>
      <c r="AB237" s="17">
        <f t="shared" si="156"/>
        <v>300.07018412963976</v>
      </c>
      <c r="AC237" s="17">
        <f>+'[1]Sell in ko tính KDT'!Y236</f>
        <v>126.9342713259469</v>
      </c>
      <c r="AD237" s="17">
        <f>+'[1]Sell in ko tính KDT'!Z236</f>
        <v>173.23591234883884</v>
      </c>
      <c r="AE237" s="17">
        <f>+'[1]Sell in ko tính KDT'!AA236</f>
        <v>0</v>
      </c>
      <c r="AF237" s="17">
        <v>0</v>
      </c>
      <c r="AG237" s="17">
        <f t="shared" si="157"/>
        <v>300.17018367478573</v>
      </c>
      <c r="AH237" s="17">
        <f>+'[1]Sell in ko tính KDT'!AC236</f>
        <v>165</v>
      </c>
      <c r="AI237" s="17">
        <f>+'[1]Sell in ko tính KDT'!AD236</f>
        <v>135</v>
      </c>
      <c r="AJ237" s="17">
        <f>+'[1]Sell in ko tính KDT'!AE236</f>
        <v>0</v>
      </c>
      <c r="AK237" s="17">
        <v>0</v>
      </c>
      <c r="AL237" s="17">
        <f t="shared" si="158"/>
        <v>300</v>
      </c>
      <c r="AM237" s="17">
        <f>+'[1]Sell in ko tính KDT'!AG236</f>
        <v>165</v>
      </c>
      <c r="AN237" s="17">
        <f>+'[1]Sell in ko tính KDT'!AH236</f>
        <v>135</v>
      </c>
      <c r="AO237" s="17">
        <f>+'[1]Sell in ko tính KDT'!AI236</f>
        <v>0</v>
      </c>
      <c r="AP237" s="17">
        <v>0</v>
      </c>
      <c r="AQ237" s="17">
        <f t="shared" si="159"/>
        <v>300</v>
      </c>
      <c r="AR237" s="17">
        <f>+'[1]Sell in ko tính KDT'!AK236</f>
        <v>165</v>
      </c>
      <c r="AS237" s="17">
        <f>+'[1]Sell in ko tính KDT'!AL236</f>
        <v>135</v>
      </c>
      <c r="AT237" s="17">
        <f>+'[1]Sell in ko tính KDT'!AM236</f>
        <v>0</v>
      </c>
      <c r="AU237" s="17">
        <v>0</v>
      </c>
      <c r="AV237" s="17">
        <f t="shared" si="160"/>
        <v>300</v>
      </c>
      <c r="AW237" s="17">
        <f>+'[1]Sell in ko tính KDT'!AO236</f>
        <v>165</v>
      </c>
      <c r="AX237" s="17">
        <f>+'[1]Sell in ko tính KDT'!AP236</f>
        <v>135</v>
      </c>
      <c r="AY237" s="17">
        <f>+'[1]Sell in ko tính KDT'!AQ236</f>
        <v>0</v>
      </c>
      <c r="AZ237" s="17">
        <v>0</v>
      </c>
      <c r="BA237" s="17">
        <f t="shared" si="161"/>
        <v>300</v>
      </c>
      <c r="BB237" s="17">
        <f>+'[1]Sell in ko tính KDT'!AS236</f>
        <v>165</v>
      </c>
      <c r="BC237" s="17">
        <f>+'[1]Sell in ko tính KDT'!AT236</f>
        <v>135</v>
      </c>
      <c r="BD237" s="17">
        <f>+'[1]Sell in ko tính KDT'!AU236</f>
        <v>0</v>
      </c>
      <c r="BE237" s="17">
        <v>0</v>
      </c>
      <c r="BF237" s="17">
        <f t="shared" si="162"/>
        <v>300</v>
      </c>
      <c r="BG237" s="17">
        <f>+'[1]Sell in ko tính KDT'!AW236</f>
        <v>165</v>
      </c>
      <c r="BH237" s="17">
        <f>+'[1]Sell in ko tính KDT'!AX236</f>
        <v>135</v>
      </c>
      <c r="BI237" s="17">
        <f>+'[1]Sell in ko tính KDT'!AY236</f>
        <v>0</v>
      </c>
      <c r="BJ237" s="17">
        <v>0</v>
      </c>
      <c r="BK237" s="17">
        <f t="shared" si="163"/>
        <v>300</v>
      </c>
      <c r="BL237" s="17">
        <f>+'[1]Sell in ko tính KDT'!BA236</f>
        <v>165</v>
      </c>
      <c r="BM237" s="17">
        <f>+'[1]Sell in ko tính KDT'!BB236</f>
        <v>135</v>
      </c>
      <c r="BN237" s="17">
        <f>+'[1]Sell in ko tính KDT'!BC236</f>
        <v>0</v>
      </c>
      <c r="BO237" s="17">
        <v>0</v>
      </c>
      <c r="BP237" s="17">
        <f t="shared" si="164"/>
        <v>300</v>
      </c>
      <c r="BQ237" s="17">
        <f t="shared" si="165"/>
        <v>1621.8369707167669</v>
      </c>
      <c r="BR237" s="17">
        <f t="shared" si="165"/>
        <v>1468.5665536030006</v>
      </c>
      <c r="BS237" s="17">
        <f t="shared" si="165"/>
        <v>0</v>
      </c>
      <c r="BT237" s="17">
        <f t="shared" si="165"/>
        <v>0</v>
      </c>
      <c r="BU237" s="17">
        <f t="shared" si="166"/>
        <v>3090.4035243197677</v>
      </c>
    </row>
    <row r="238" spans="1:73" s="46" customFormat="1" hidden="1" outlineLevel="1">
      <c r="A238" s="16" t="s">
        <v>493</v>
      </c>
      <c r="B238" s="17" t="s">
        <v>568</v>
      </c>
      <c r="C238" s="17"/>
      <c r="D238" s="17"/>
      <c r="E238" s="17"/>
      <c r="F238" s="18"/>
      <c r="G238" s="18"/>
      <c r="H238" s="17">
        <v>0</v>
      </c>
      <c r="I238" s="17">
        <f>+'[1]Sell in ko tính KDT'!I237</f>
        <v>0</v>
      </c>
      <c r="J238" s="17">
        <f>+'[1]Sell in ko tính KDT'!J237</f>
        <v>0</v>
      </c>
      <c r="K238" s="17">
        <f>+'[1]Sell in ko tính KDT'!K237</f>
        <v>0</v>
      </c>
      <c r="L238" s="17">
        <v>0</v>
      </c>
      <c r="M238" s="17">
        <f t="shared" si="153"/>
        <v>0</v>
      </c>
      <c r="N238" s="17">
        <f>+'[1]Sell in ko tính KDT'!M237</f>
        <v>0</v>
      </c>
      <c r="O238" s="17">
        <f>+'[1]Sell in ko tính KDT'!N237</f>
        <v>0</v>
      </c>
      <c r="P238" s="17">
        <f>+'[1]Sell in ko tính KDT'!O237</f>
        <v>0</v>
      </c>
      <c r="Q238" s="17">
        <v>0</v>
      </c>
      <c r="R238" s="17">
        <f t="shared" si="154"/>
        <v>0</v>
      </c>
      <c r="S238" s="17">
        <f>+'[1]Sell in ko tính KDT'!Q237</f>
        <v>0</v>
      </c>
      <c r="T238" s="17">
        <f>+'[1]Sell in ko tính KDT'!R237</f>
        <v>0</v>
      </c>
      <c r="U238" s="17">
        <f>+'[1]Sell in ko tính KDT'!S237</f>
        <v>0</v>
      </c>
      <c r="V238" s="17">
        <v>0</v>
      </c>
      <c r="W238" s="17">
        <f t="shared" si="155"/>
        <v>0</v>
      </c>
      <c r="X238" s="17">
        <f>+'[1]Sell in ko tính KDT'!U237</f>
        <v>0</v>
      </c>
      <c r="Y238" s="17">
        <f>+'[1]Sell in ko tính KDT'!V237</f>
        <v>0</v>
      </c>
      <c r="Z238" s="17">
        <f>+'[1]Sell in ko tính KDT'!W237</f>
        <v>0</v>
      </c>
      <c r="AA238" s="17">
        <v>0</v>
      </c>
      <c r="AB238" s="17">
        <f t="shared" si="156"/>
        <v>0</v>
      </c>
      <c r="AC238" s="17">
        <f>+'[1]Sell in ko tính KDT'!Y237</f>
        <v>0</v>
      </c>
      <c r="AD238" s="17">
        <f>+'[1]Sell in ko tính KDT'!Z237</f>
        <v>0</v>
      </c>
      <c r="AE238" s="17">
        <f>+'[1]Sell in ko tính KDT'!AA237</f>
        <v>0</v>
      </c>
      <c r="AF238" s="17">
        <v>0</v>
      </c>
      <c r="AG238" s="17">
        <f t="shared" si="157"/>
        <v>0</v>
      </c>
      <c r="AH238" s="17">
        <f>+'[1]Sell in ko tính KDT'!AC237</f>
        <v>0</v>
      </c>
      <c r="AI238" s="17">
        <f>+'[1]Sell in ko tính KDT'!AD237</f>
        <v>0</v>
      </c>
      <c r="AJ238" s="17">
        <f>+'[1]Sell in ko tính KDT'!AE237</f>
        <v>0</v>
      </c>
      <c r="AK238" s="17">
        <v>0</v>
      </c>
      <c r="AL238" s="17">
        <f t="shared" si="158"/>
        <v>0</v>
      </c>
      <c r="AM238" s="17">
        <f>+'[1]Sell in ko tính KDT'!AG237</f>
        <v>0</v>
      </c>
      <c r="AN238" s="17">
        <f>+'[1]Sell in ko tính KDT'!AH237</f>
        <v>0</v>
      </c>
      <c r="AO238" s="17">
        <f>+'[1]Sell in ko tính KDT'!AI237</f>
        <v>0</v>
      </c>
      <c r="AP238" s="17">
        <v>0</v>
      </c>
      <c r="AQ238" s="17">
        <f t="shared" si="159"/>
        <v>0</v>
      </c>
      <c r="AR238" s="17">
        <f>+'[1]Sell in ko tính KDT'!AK237</f>
        <v>0</v>
      </c>
      <c r="AS238" s="17">
        <f>+'[1]Sell in ko tính KDT'!AL237</f>
        <v>0</v>
      </c>
      <c r="AT238" s="17">
        <f>+'[1]Sell in ko tính KDT'!AM237</f>
        <v>0</v>
      </c>
      <c r="AU238" s="17">
        <v>0</v>
      </c>
      <c r="AV238" s="17">
        <f t="shared" si="160"/>
        <v>0</v>
      </c>
      <c r="AW238" s="17">
        <f>+'[1]Sell in ko tính KDT'!AO237</f>
        <v>0</v>
      </c>
      <c r="AX238" s="17">
        <f>+'[1]Sell in ko tính KDT'!AP237</f>
        <v>0</v>
      </c>
      <c r="AY238" s="17">
        <f>+'[1]Sell in ko tính KDT'!AQ237</f>
        <v>0</v>
      </c>
      <c r="AZ238" s="17">
        <v>0</v>
      </c>
      <c r="BA238" s="17">
        <f t="shared" si="161"/>
        <v>0</v>
      </c>
      <c r="BB238" s="17">
        <f>+'[1]Sell in ko tính KDT'!AS237</f>
        <v>0</v>
      </c>
      <c r="BC238" s="17">
        <f>+'[1]Sell in ko tính KDT'!AT237</f>
        <v>0</v>
      </c>
      <c r="BD238" s="17">
        <f>+'[1]Sell in ko tính KDT'!AU237</f>
        <v>0</v>
      </c>
      <c r="BE238" s="17">
        <v>0</v>
      </c>
      <c r="BF238" s="17">
        <f t="shared" si="162"/>
        <v>0</v>
      </c>
      <c r="BG238" s="17">
        <f>+'[1]Sell in ko tính KDT'!AW237</f>
        <v>0</v>
      </c>
      <c r="BH238" s="17">
        <f>+'[1]Sell in ko tính KDT'!AX237</f>
        <v>0</v>
      </c>
      <c r="BI238" s="17">
        <f>+'[1]Sell in ko tính KDT'!AY237</f>
        <v>0</v>
      </c>
      <c r="BJ238" s="17">
        <v>0</v>
      </c>
      <c r="BK238" s="17">
        <f t="shared" si="163"/>
        <v>0</v>
      </c>
      <c r="BL238" s="17">
        <f>+'[1]Sell in ko tính KDT'!BA237</f>
        <v>0</v>
      </c>
      <c r="BM238" s="17">
        <f>+'[1]Sell in ko tính KDT'!BB237</f>
        <v>0</v>
      </c>
      <c r="BN238" s="17">
        <f>+'[1]Sell in ko tính KDT'!BC237</f>
        <v>0</v>
      </c>
      <c r="BO238" s="17">
        <v>0</v>
      </c>
      <c r="BP238" s="17">
        <f t="shared" si="164"/>
        <v>0</v>
      </c>
      <c r="BQ238" s="17">
        <f t="shared" si="165"/>
        <v>0</v>
      </c>
      <c r="BR238" s="17">
        <f t="shared" si="165"/>
        <v>0</v>
      </c>
      <c r="BS238" s="17">
        <f t="shared" si="165"/>
        <v>0</v>
      </c>
      <c r="BT238" s="17">
        <f t="shared" si="165"/>
        <v>0</v>
      </c>
      <c r="BU238" s="17">
        <f t="shared" si="166"/>
        <v>0</v>
      </c>
    </row>
    <row r="239" spans="1:73" s="46" customFormat="1" hidden="1" outlineLevel="1">
      <c r="A239" s="16" t="s">
        <v>493</v>
      </c>
      <c r="B239" s="17" t="s">
        <v>568</v>
      </c>
      <c r="C239" s="17"/>
      <c r="D239" s="17"/>
      <c r="E239" s="17"/>
      <c r="F239" s="18"/>
      <c r="G239" s="18"/>
      <c r="H239" s="17">
        <v>0</v>
      </c>
      <c r="I239" s="17">
        <f>+'[1]Sell in ko tính KDT'!I238</f>
        <v>0</v>
      </c>
      <c r="J239" s="17">
        <f>+'[1]Sell in ko tính KDT'!J238</f>
        <v>0</v>
      </c>
      <c r="K239" s="17">
        <f>+'[1]Sell in ko tính KDT'!K238</f>
        <v>0</v>
      </c>
      <c r="L239" s="17">
        <v>0</v>
      </c>
      <c r="M239" s="17">
        <f t="shared" si="153"/>
        <v>0</v>
      </c>
      <c r="N239" s="17">
        <f>+'[1]Sell in ko tính KDT'!M238</f>
        <v>0</v>
      </c>
      <c r="O239" s="17">
        <f>+'[1]Sell in ko tính KDT'!N238</f>
        <v>0</v>
      </c>
      <c r="P239" s="17">
        <f>+'[1]Sell in ko tính KDT'!O238</f>
        <v>0</v>
      </c>
      <c r="Q239" s="17">
        <v>0</v>
      </c>
      <c r="R239" s="17">
        <f t="shared" si="154"/>
        <v>0</v>
      </c>
      <c r="S239" s="17">
        <f>+'[1]Sell in ko tính KDT'!Q238</f>
        <v>0</v>
      </c>
      <c r="T239" s="17">
        <f>+'[1]Sell in ko tính KDT'!R238</f>
        <v>0</v>
      </c>
      <c r="U239" s="17">
        <f>+'[1]Sell in ko tính KDT'!S238</f>
        <v>0</v>
      </c>
      <c r="V239" s="17">
        <v>0</v>
      </c>
      <c r="W239" s="17">
        <f t="shared" si="155"/>
        <v>0</v>
      </c>
      <c r="X239" s="17">
        <f>+'[1]Sell in ko tính KDT'!U238</f>
        <v>0</v>
      </c>
      <c r="Y239" s="17">
        <f>+'[1]Sell in ko tính KDT'!V238</f>
        <v>0</v>
      </c>
      <c r="Z239" s="17">
        <f>+'[1]Sell in ko tính KDT'!W238</f>
        <v>0</v>
      </c>
      <c r="AA239" s="17">
        <v>0</v>
      </c>
      <c r="AB239" s="17">
        <f t="shared" si="156"/>
        <v>0</v>
      </c>
      <c r="AC239" s="17">
        <f>+'[1]Sell in ko tính KDT'!Y238</f>
        <v>0</v>
      </c>
      <c r="AD239" s="17">
        <f>+'[1]Sell in ko tính KDT'!Z238</f>
        <v>0</v>
      </c>
      <c r="AE239" s="17">
        <f>+'[1]Sell in ko tính KDT'!AA238</f>
        <v>0</v>
      </c>
      <c r="AF239" s="17">
        <v>0</v>
      </c>
      <c r="AG239" s="17">
        <f t="shared" si="157"/>
        <v>0</v>
      </c>
      <c r="AH239" s="17">
        <f>+'[1]Sell in ko tính KDT'!AC238</f>
        <v>0</v>
      </c>
      <c r="AI239" s="17">
        <f>+'[1]Sell in ko tính KDT'!AD238</f>
        <v>0</v>
      </c>
      <c r="AJ239" s="17">
        <f>+'[1]Sell in ko tính KDT'!AE238</f>
        <v>0</v>
      </c>
      <c r="AK239" s="17">
        <v>0</v>
      </c>
      <c r="AL239" s="17">
        <f t="shared" si="158"/>
        <v>0</v>
      </c>
      <c r="AM239" s="17">
        <f>+'[1]Sell in ko tính KDT'!AG238</f>
        <v>0</v>
      </c>
      <c r="AN239" s="17">
        <f>+'[1]Sell in ko tính KDT'!AH238</f>
        <v>0</v>
      </c>
      <c r="AO239" s="17">
        <f>+'[1]Sell in ko tính KDT'!AI238</f>
        <v>0</v>
      </c>
      <c r="AP239" s="17">
        <v>0</v>
      </c>
      <c r="AQ239" s="17">
        <f t="shared" si="159"/>
        <v>0</v>
      </c>
      <c r="AR239" s="17">
        <f>+'[1]Sell in ko tính KDT'!AK238</f>
        <v>0</v>
      </c>
      <c r="AS239" s="17">
        <f>+'[1]Sell in ko tính KDT'!AL238</f>
        <v>0</v>
      </c>
      <c r="AT239" s="17">
        <f>+'[1]Sell in ko tính KDT'!AM238</f>
        <v>0</v>
      </c>
      <c r="AU239" s="17">
        <v>0</v>
      </c>
      <c r="AV239" s="17">
        <f t="shared" si="160"/>
        <v>0</v>
      </c>
      <c r="AW239" s="17">
        <f>+'[1]Sell in ko tính KDT'!AO238</f>
        <v>0</v>
      </c>
      <c r="AX239" s="17">
        <f>+'[1]Sell in ko tính KDT'!AP238</f>
        <v>0</v>
      </c>
      <c r="AY239" s="17">
        <f>+'[1]Sell in ko tính KDT'!AQ238</f>
        <v>0</v>
      </c>
      <c r="AZ239" s="17">
        <v>0</v>
      </c>
      <c r="BA239" s="17">
        <f t="shared" si="161"/>
        <v>0</v>
      </c>
      <c r="BB239" s="17">
        <f>+'[1]Sell in ko tính KDT'!AS238</f>
        <v>0</v>
      </c>
      <c r="BC239" s="17">
        <f>+'[1]Sell in ko tính KDT'!AT238</f>
        <v>0</v>
      </c>
      <c r="BD239" s="17">
        <f>+'[1]Sell in ko tính KDT'!AU238</f>
        <v>0</v>
      </c>
      <c r="BE239" s="17">
        <v>0</v>
      </c>
      <c r="BF239" s="17">
        <f t="shared" si="162"/>
        <v>0</v>
      </c>
      <c r="BG239" s="17">
        <f>+'[1]Sell in ko tính KDT'!AW238</f>
        <v>0</v>
      </c>
      <c r="BH239" s="17">
        <f>+'[1]Sell in ko tính KDT'!AX238</f>
        <v>0</v>
      </c>
      <c r="BI239" s="17">
        <f>+'[1]Sell in ko tính KDT'!AY238</f>
        <v>0</v>
      </c>
      <c r="BJ239" s="17">
        <v>0</v>
      </c>
      <c r="BK239" s="17">
        <f t="shared" si="163"/>
        <v>0</v>
      </c>
      <c r="BL239" s="17">
        <f>+'[1]Sell in ko tính KDT'!BA238</f>
        <v>0</v>
      </c>
      <c r="BM239" s="17">
        <f>+'[1]Sell in ko tính KDT'!BB238</f>
        <v>0</v>
      </c>
      <c r="BN239" s="17">
        <f>+'[1]Sell in ko tính KDT'!BC238</f>
        <v>0</v>
      </c>
      <c r="BO239" s="17">
        <v>0</v>
      </c>
      <c r="BP239" s="17">
        <f t="shared" si="164"/>
        <v>0</v>
      </c>
      <c r="BQ239" s="17">
        <f t="shared" si="165"/>
        <v>0</v>
      </c>
      <c r="BR239" s="17">
        <f t="shared" si="165"/>
        <v>0</v>
      </c>
      <c r="BS239" s="17">
        <f t="shared" si="165"/>
        <v>0</v>
      </c>
      <c r="BT239" s="17">
        <f t="shared" si="165"/>
        <v>0</v>
      </c>
      <c r="BU239" s="17">
        <f t="shared" si="166"/>
        <v>0</v>
      </c>
    </row>
    <row r="240" spans="1:73" s="46" customFormat="1" hidden="1" outlineLevel="1">
      <c r="A240" s="16" t="s">
        <v>493</v>
      </c>
      <c r="B240" s="17" t="s">
        <v>568</v>
      </c>
      <c r="C240" s="17"/>
      <c r="D240" s="17"/>
      <c r="E240" s="17"/>
      <c r="F240" s="18"/>
      <c r="G240" s="17"/>
      <c r="H240" s="17">
        <v>0</v>
      </c>
      <c r="I240" s="17">
        <f>+'[1]Sell in ko tính KDT'!I239</f>
        <v>0</v>
      </c>
      <c r="J240" s="17">
        <f>+'[1]Sell in ko tính KDT'!J239</f>
        <v>0</v>
      </c>
      <c r="K240" s="17">
        <f>+'[1]Sell in ko tính KDT'!K239</f>
        <v>0</v>
      </c>
      <c r="L240" s="17">
        <v>0</v>
      </c>
      <c r="M240" s="17">
        <f t="shared" si="153"/>
        <v>0</v>
      </c>
      <c r="N240" s="17">
        <f>+'[1]Sell in ko tính KDT'!M239</f>
        <v>0</v>
      </c>
      <c r="O240" s="17">
        <f>+'[1]Sell in ko tính KDT'!N239</f>
        <v>0</v>
      </c>
      <c r="P240" s="17">
        <f>+'[1]Sell in ko tính KDT'!O239</f>
        <v>0</v>
      </c>
      <c r="Q240" s="17">
        <v>0</v>
      </c>
      <c r="R240" s="17">
        <f t="shared" si="154"/>
        <v>0</v>
      </c>
      <c r="S240" s="17">
        <f>+'[1]Sell in ko tính KDT'!Q239</f>
        <v>0</v>
      </c>
      <c r="T240" s="17">
        <f>+'[1]Sell in ko tính KDT'!R239</f>
        <v>0</v>
      </c>
      <c r="U240" s="17">
        <f>+'[1]Sell in ko tính KDT'!S239</f>
        <v>0</v>
      </c>
      <c r="V240" s="17">
        <v>0</v>
      </c>
      <c r="W240" s="17">
        <f t="shared" si="155"/>
        <v>0</v>
      </c>
      <c r="X240" s="17">
        <f>+'[1]Sell in ko tính KDT'!U239</f>
        <v>0</v>
      </c>
      <c r="Y240" s="17">
        <f>+'[1]Sell in ko tính KDT'!V239</f>
        <v>0</v>
      </c>
      <c r="Z240" s="17">
        <f>+'[1]Sell in ko tính KDT'!W239</f>
        <v>0</v>
      </c>
      <c r="AA240" s="17">
        <v>0</v>
      </c>
      <c r="AB240" s="17">
        <f t="shared" si="156"/>
        <v>0</v>
      </c>
      <c r="AC240" s="17">
        <f>+'[1]Sell in ko tính KDT'!Y239</f>
        <v>0</v>
      </c>
      <c r="AD240" s="17">
        <f>+'[1]Sell in ko tính KDT'!Z239</f>
        <v>0</v>
      </c>
      <c r="AE240" s="17">
        <f>+'[1]Sell in ko tính KDT'!AA239</f>
        <v>0</v>
      </c>
      <c r="AF240" s="17">
        <v>0</v>
      </c>
      <c r="AG240" s="17">
        <f t="shared" si="157"/>
        <v>0</v>
      </c>
      <c r="AH240" s="17">
        <f>+'[1]Sell in ko tính KDT'!AC239</f>
        <v>0</v>
      </c>
      <c r="AI240" s="17">
        <f>+'[1]Sell in ko tính KDT'!AD239</f>
        <v>0</v>
      </c>
      <c r="AJ240" s="17">
        <f>+'[1]Sell in ko tính KDT'!AE239</f>
        <v>0</v>
      </c>
      <c r="AK240" s="17">
        <v>0</v>
      </c>
      <c r="AL240" s="17">
        <f t="shared" si="158"/>
        <v>0</v>
      </c>
      <c r="AM240" s="17">
        <f>+'[1]Sell in ko tính KDT'!AG239</f>
        <v>0</v>
      </c>
      <c r="AN240" s="17">
        <f>+'[1]Sell in ko tính KDT'!AH239</f>
        <v>0</v>
      </c>
      <c r="AO240" s="17">
        <f>+'[1]Sell in ko tính KDT'!AI239</f>
        <v>0</v>
      </c>
      <c r="AP240" s="17">
        <v>0</v>
      </c>
      <c r="AQ240" s="17">
        <f t="shared" si="159"/>
        <v>0</v>
      </c>
      <c r="AR240" s="17">
        <f>+'[1]Sell in ko tính KDT'!AK239</f>
        <v>0</v>
      </c>
      <c r="AS240" s="17">
        <f>+'[1]Sell in ko tính KDT'!AL239</f>
        <v>0</v>
      </c>
      <c r="AT240" s="17">
        <f>+'[1]Sell in ko tính KDT'!AM239</f>
        <v>0</v>
      </c>
      <c r="AU240" s="17">
        <v>0</v>
      </c>
      <c r="AV240" s="17">
        <f t="shared" si="160"/>
        <v>0</v>
      </c>
      <c r="AW240" s="17">
        <f>+'[1]Sell in ko tính KDT'!AO239</f>
        <v>0</v>
      </c>
      <c r="AX240" s="17">
        <f>+'[1]Sell in ko tính KDT'!AP239</f>
        <v>0</v>
      </c>
      <c r="AY240" s="17">
        <f>+'[1]Sell in ko tính KDT'!AQ239</f>
        <v>0</v>
      </c>
      <c r="AZ240" s="17">
        <v>0</v>
      </c>
      <c r="BA240" s="17">
        <f t="shared" si="161"/>
        <v>0</v>
      </c>
      <c r="BB240" s="17">
        <f>+'[1]Sell in ko tính KDT'!AS239</f>
        <v>0</v>
      </c>
      <c r="BC240" s="17">
        <f>+'[1]Sell in ko tính KDT'!AT239</f>
        <v>0</v>
      </c>
      <c r="BD240" s="17">
        <f>+'[1]Sell in ko tính KDT'!AU239</f>
        <v>0</v>
      </c>
      <c r="BE240" s="17">
        <v>0</v>
      </c>
      <c r="BF240" s="17">
        <f t="shared" si="162"/>
        <v>0</v>
      </c>
      <c r="BG240" s="17">
        <f>+'[1]Sell in ko tính KDT'!AW239</f>
        <v>0</v>
      </c>
      <c r="BH240" s="17">
        <f>+'[1]Sell in ko tính KDT'!AX239</f>
        <v>0</v>
      </c>
      <c r="BI240" s="17">
        <f>+'[1]Sell in ko tính KDT'!AY239</f>
        <v>0</v>
      </c>
      <c r="BJ240" s="17">
        <v>0</v>
      </c>
      <c r="BK240" s="17">
        <f t="shared" si="163"/>
        <v>0</v>
      </c>
      <c r="BL240" s="17">
        <f>+'[1]Sell in ko tính KDT'!BA239</f>
        <v>0</v>
      </c>
      <c r="BM240" s="17">
        <f>+'[1]Sell in ko tính KDT'!BB239</f>
        <v>0</v>
      </c>
      <c r="BN240" s="17">
        <f>+'[1]Sell in ko tính KDT'!BC239</f>
        <v>0</v>
      </c>
      <c r="BO240" s="17">
        <v>0</v>
      </c>
      <c r="BP240" s="17">
        <f t="shared" si="164"/>
        <v>0</v>
      </c>
      <c r="BQ240" s="17">
        <f t="shared" si="165"/>
        <v>0</v>
      </c>
      <c r="BR240" s="17">
        <f t="shared" si="165"/>
        <v>0</v>
      </c>
      <c r="BS240" s="17">
        <f t="shared" si="165"/>
        <v>0</v>
      </c>
      <c r="BT240" s="17">
        <f t="shared" si="165"/>
        <v>0</v>
      </c>
      <c r="BU240" s="17">
        <f t="shared" si="166"/>
        <v>0</v>
      </c>
    </row>
    <row r="241" spans="1:73" s="38" customFormat="1" collapsed="1">
      <c r="A241" s="24" t="s">
        <v>493</v>
      </c>
      <c r="B241" s="25" t="s">
        <v>594</v>
      </c>
      <c r="C241" s="25"/>
      <c r="D241" s="26"/>
      <c r="E241" s="25">
        <f>SUM(E238:E240)</f>
        <v>0</v>
      </c>
      <c r="F241" s="25"/>
      <c r="G241" s="25" t="s">
        <v>594</v>
      </c>
      <c r="H241" s="25"/>
      <c r="I241" s="25">
        <f>SUM(I229:I240)</f>
        <v>217.17149702416404</v>
      </c>
      <c r="J241" s="25">
        <f t="shared" ref="J241:BU241" si="167">SUM(J229:J240)</f>
        <v>140.75023122899429</v>
      </c>
      <c r="K241" s="25">
        <f t="shared" si="167"/>
        <v>0</v>
      </c>
      <c r="L241" s="25">
        <f t="shared" si="167"/>
        <v>0</v>
      </c>
      <c r="M241" s="25">
        <f t="shared" si="167"/>
        <v>357.92172825315828</v>
      </c>
      <c r="N241" s="25">
        <f t="shared" si="167"/>
        <v>227.16698072726163</v>
      </c>
      <c r="O241" s="25">
        <f t="shared" si="167"/>
        <v>145.24128284853396</v>
      </c>
      <c r="P241" s="25">
        <f t="shared" si="167"/>
        <v>0</v>
      </c>
      <c r="Q241" s="25">
        <f t="shared" si="167"/>
        <v>0</v>
      </c>
      <c r="R241" s="25">
        <f t="shared" si="167"/>
        <v>372.40826357579556</v>
      </c>
      <c r="S241" s="25">
        <f t="shared" si="167"/>
        <v>456.49025521050476</v>
      </c>
      <c r="T241" s="25">
        <f t="shared" si="167"/>
        <v>414.52605493879969</v>
      </c>
      <c r="U241" s="25">
        <f t="shared" si="167"/>
        <v>0</v>
      </c>
      <c r="V241" s="25">
        <f t="shared" si="167"/>
        <v>0</v>
      </c>
      <c r="W241" s="25">
        <f t="shared" si="167"/>
        <v>871.01631014930445</v>
      </c>
      <c r="X241" s="25">
        <f t="shared" si="167"/>
        <v>439.68326829227669</v>
      </c>
      <c r="Y241" s="25">
        <f t="shared" si="167"/>
        <v>444.78031534872179</v>
      </c>
      <c r="Z241" s="25">
        <f t="shared" si="167"/>
        <v>0</v>
      </c>
      <c r="AA241" s="25">
        <f t="shared" si="167"/>
        <v>0</v>
      </c>
      <c r="AB241" s="25">
        <f t="shared" si="167"/>
        <v>884.46358364099842</v>
      </c>
      <c r="AC241" s="25">
        <f t="shared" si="167"/>
        <v>392.65245809182414</v>
      </c>
      <c r="AD241" s="25">
        <f t="shared" si="167"/>
        <v>473.03457410445048</v>
      </c>
      <c r="AE241" s="25">
        <f t="shared" si="167"/>
        <v>0</v>
      </c>
      <c r="AF241" s="25">
        <f t="shared" si="167"/>
        <v>0</v>
      </c>
      <c r="AG241" s="25">
        <f t="shared" si="167"/>
        <v>865.68703219627469</v>
      </c>
      <c r="AH241" s="25">
        <f t="shared" si="167"/>
        <v>407</v>
      </c>
      <c r="AI241" s="25">
        <f t="shared" si="167"/>
        <v>333</v>
      </c>
      <c r="AJ241" s="25">
        <f t="shared" si="167"/>
        <v>0</v>
      </c>
      <c r="AK241" s="25">
        <f t="shared" si="167"/>
        <v>0</v>
      </c>
      <c r="AL241" s="25">
        <f t="shared" si="167"/>
        <v>740</v>
      </c>
      <c r="AM241" s="25">
        <f t="shared" si="167"/>
        <v>407</v>
      </c>
      <c r="AN241" s="25">
        <f t="shared" si="167"/>
        <v>333</v>
      </c>
      <c r="AO241" s="25">
        <f t="shared" si="167"/>
        <v>0</v>
      </c>
      <c r="AP241" s="25">
        <f t="shared" si="167"/>
        <v>0</v>
      </c>
      <c r="AQ241" s="25">
        <f t="shared" si="167"/>
        <v>740</v>
      </c>
      <c r="AR241" s="25">
        <f t="shared" si="167"/>
        <v>407</v>
      </c>
      <c r="AS241" s="25">
        <f t="shared" si="167"/>
        <v>333</v>
      </c>
      <c r="AT241" s="25">
        <f t="shared" si="167"/>
        <v>0</v>
      </c>
      <c r="AU241" s="25">
        <f t="shared" si="167"/>
        <v>0</v>
      </c>
      <c r="AV241" s="25">
        <f t="shared" si="167"/>
        <v>740</v>
      </c>
      <c r="AW241" s="25">
        <f t="shared" si="167"/>
        <v>407</v>
      </c>
      <c r="AX241" s="25">
        <f t="shared" si="167"/>
        <v>333</v>
      </c>
      <c r="AY241" s="25">
        <f t="shared" si="167"/>
        <v>0</v>
      </c>
      <c r="AZ241" s="25">
        <f t="shared" si="167"/>
        <v>0</v>
      </c>
      <c r="BA241" s="25">
        <f t="shared" si="167"/>
        <v>740</v>
      </c>
      <c r="BB241" s="25">
        <f t="shared" si="167"/>
        <v>407</v>
      </c>
      <c r="BC241" s="25">
        <f t="shared" si="167"/>
        <v>333</v>
      </c>
      <c r="BD241" s="25">
        <f t="shared" si="167"/>
        <v>0</v>
      </c>
      <c r="BE241" s="25">
        <f t="shared" si="167"/>
        <v>0</v>
      </c>
      <c r="BF241" s="25">
        <f t="shared" si="167"/>
        <v>740</v>
      </c>
      <c r="BG241" s="25">
        <f t="shared" si="167"/>
        <v>407</v>
      </c>
      <c r="BH241" s="25">
        <f t="shared" si="167"/>
        <v>333</v>
      </c>
      <c r="BI241" s="25">
        <f t="shared" si="167"/>
        <v>0</v>
      </c>
      <c r="BJ241" s="25">
        <f t="shared" si="167"/>
        <v>0</v>
      </c>
      <c r="BK241" s="25">
        <f t="shared" si="167"/>
        <v>740</v>
      </c>
      <c r="BL241" s="25">
        <f t="shared" si="167"/>
        <v>407</v>
      </c>
      <c r="BM241" s="25">
        <f t="shared" si="167"/>
        <v>333</v>
      </c>
      <c r="BN241" s="25">
        <f t="shared" si="167"/>
        <v>0</v>
      </c>
      <c r="BO241" s="25">
        <f t="shared" si="167"/>
        <v>0</v>
      </c>
      <c r="BP241" s="25">
        <f t="shared" si="167"/>
        <v>740</v>
      </c>
      <c r="BQ241" s="25">
        <f t="shared" si="167"/>
        <v>4582.1644593460305</v>
      </c>
      <c r="BR241" s="25">
        <f t="shared" si="167"/>
        <v>3949.3324584695006</v>
      </c>
      <c r="BS241" s="25">
        <f t="shared" si="167"/>
        <v>0</v>
      </c>
      <c r="BT241" s="25">
        <f t="shared" si="167"/>
        <v>0</v>
      </c>
      <c r="BU241" s="25">
        <f t="shared" si="167"/>
        <v>8531.4969178155316</v>
      </c>
    </row>
    <row r="242" spans="1:73" s="46" customFormat="1" hidden="1" outlineLevel="1">
      <c r="A242" s="16" t="s">
        <v>493</v>
      </c>
      <c r="B242" s="17" t="s">
        <v>595</v>
      </c>
      <c r="C242" s="17" t="s">
        <v>596</v>
      </c>
      <c r="D242" s="17" t="s">
        <v>597</v>
      </c>
      <c r="E242" s="17" t="s">
        <v>597</v>
      </c>
      <c r="F242" s="18" t="s">
        <v>598</v>
      </c>
      <c r="G242" s="17" t="s">
        <v>599</v>
      </c>
      <c r="H242" s="17" t="s">
        <v>39</v>
      </c>
      <c r="I242" s="17">
        <f>+'[1]Sell in ko tính KDT'!I241</f>
        <v>13.3669667112675</v>
      </c>
      <c r="J242" s="17">
        <f>+'[1]Sell in ko tính KDT'!J241</f>
        <v>31.605502463737402</v>
      </c>
      <c r="K242" s="17">
        <f>+'[1]Sell in ko tính KDT'!K241</f>
        <v>0</v>
      </c>
      <c r="L242" s="17">
        <v>0</v>
      </c>
      <c r="M242" s="17">
        <f>I242+J242+L242+K242</f>
        <v>44.972469175004903</v>
      </c>
      <c r="N242" s="17">
        <f>+'[1]Sell in ko tính KDT'!M241</f>
        <v>13.3669667112675</v>
      </c>
      <c r="O242" s="17">
        <f>+'[1]Sell in ko tính KDT'!N241</f>
        <v>31.605502463737402</v>
      </c>
      <c r="P242" s="17">
        <f>+'[1]Sell in ko tính KDT'!O241</f>
        <v>0</v>
      </c>
      <c r="Q242" s="17">
        <v>0</v>
      </c>
      <c r="R242" s="17">
        <f t="shared" ref="R242:R254" si="168">N242+O242+Q242+P242</f>
        <v>44.972469175004903</v>
      </c>
      <c r="S242" s="17">
        <f>+'[1]Sell in ko tính KDT'!Q241</f>
        <v>13.3669667112675</v>
      </c>
      <c r="T242" s="17">
        <f>+'[1]Sell in ko tính KDT'!R241</f>
        <v>31.605502463737359</v>
      </c>
      <c r="U242" s="17">
        <f>+'[1]Sell in ko tính KDT'!S241</f>
        <v>0</v>
      </c>
      <c r="V242" s="17">
        <v>0</v>
      </c>
      <c r="W242" s="17">
        <f t="shared" ref="W242:W254" si="169">S242+T242+V242+U242</f>
        <v>44.972469175004861</v>
      </c>
      <c r="X242" s="17">
        <f>+'[1]Sell in ko tính KDT'!U241</f>
        <v>13.3669667112675</v>
      </c>
      <c r="Y242" s="17">
        <f>+'[1]Sell in ko tính KDT'!V241</f>
        <v>31.605502463737402</v>
      </c>
      <c r="Z242" s="17">
        <f>+'[1]Sell in ko tính KDT'!W241</f>
        <v>0</v>
      </c>
      <c r="AA242" s="17">
        <v>0</v>
      </c>
      <c r="AB242" s="17">
        <f t="shared" ref="AB242:AB254" si="170">X242+Y242+AA242+Z242</f>
        <v>44.972469175004903</v>
      </c>
      <c r="AC242" s="17">
        <f>+'[1]Sell in ko tính KDT'!Y241</f>
        <v>13.3669667112675</v>
      </c>
      <c r="AD242" s="17">
        <f>+'[1]Sell in ko tính KDT'!Z241</f>
        <v>31.605502463737402</v>
      </c>
      <c r="AE242" s="17">
        <f>+'[1]Sell in ko tính KDT'!AA241</f>
        <v>0</v>
      </c>
      <c r="AF242" s="17">
        <v>0</v>
      </c>
      <c r="AG242" s="17">
        <f t="shared" ref="AG242:AG254" si="171">AC242+AD242+AF242+AE242</f>
        <v>44.972469175004903</v>
      </c>
      <c r="AH242" s="17">
        <f>+'[1]Sell in ko tính KDT'!AC241</f>
        <v>0</v>
      </c>
      <c r="AI242" s="17">
        <f>+'[1]Sell in ko tính KDT'!AD241</f>
        <v>0</v>
      </c>
      <c r="AJ242" s="17">
        <f>+'[1]Sell in ko tính KDT'!AE241</f>
        <v>0</v>
      </c>
      <c r="AK242" s="17">
        <v>0</v>
      </c>
      <c r="AL242" s="17">
        <f t="shared" ref="AL242:AL254" si="172">AH242+AI242+AK242+AJ242</f>
        <v>0</v>
      </c>
      <c r="AM242" s="17">
        <f>+'[1]Sell in ko tính KDT'!AG241</f>
        <v>0</v>
      </c>
      <c r="AN242" s="17">
        <f>+'[1]Sell in ko tính KDT'!AH241</f>
        <v>0</v>
      </c>
      <c r="AO242" s="17">
        <f>+'[1]Sell in ko tính KDT'!AI241</f>
        <v>0</v>
      </c>
      <c r="AP242" s="17">
        <v>0</v>
      </c>
      <c r="AQ242" s="17">
        <f t="shared" ref="AQ242:AQ254" si="173">AM242+AN242+AP242+AO242</f>
        <v>0</v>
      </c>
      <c r="AR242" s="17">
        <f>+'[1]Sell in ko tính KDT'!AK241</f>
        <v>0</v>
      </c>
      <c r="AS242" s="17">
        <f>+'[1]Sell in ko tính KDT'!AL241</f>
        <v>0</v>
      </c>
      <c r="AT242" s="17">
        <f>+'[1]Sell in ko tính KDT'!AM241</f>
        <v>0</v>
      </c>
      <c r="AU242" s="17">
        <v>0</v>
      </c>
      <c r="AV242" s="17">
        <f t="shared" ref="AV242:AV254" si="174">AR242+AS242+AU242+AT242</f>
        <v>0</v>
      </c>
      <c r="AW242" s="17">
        <f>+'[1]Sell in ko tính KDT'!AO241</f>
        <v>0</v>
      </c>
      <c r="AX242" s="17">
        <f>+'[1]Sell in ko tính KDT'!AP241</f>
        <v>0</v>
      </c>
      <c r="AY242" s="17">
        <f>+'[1]Sell in ko tính KDT'!AQ241</f>
        <v>0</v>
      </c>
      <c r="AZ242" s="17">
        <v>0</v>
      </c>
      <c r="BA242" s="17">
        <f t="shared" ref="BA242:BA254" si="175">AW242+AX242+AZ242+AY242</f>
        <v>0</v>
      </c>
      <c r="BB242" s="17">
        <f>+'[1]Sell in ko tính KDT'!AS241</f>
        <v>0</v>
      </c>
      <c r="BC242" s="17">
        <f>+'[1]Sell in ko tính KDT'!AT241</f>
        <v>0</v>
      </c>
      <c r="BD242" s="17">
        <f>+'[1]Sell in ko tính KDT'!AU241</f>
        <v>0</v>
      </c>
      <c r="BE242" s="17">
        <v>0</v>
      </c>
      <c r="BF242" s="17">
        <f t="shared" ref="BF242:BF254" si="176">BB242+BC242+BE242+BD242</f>
        <v>0</v>
      </c>
      <c r="BG242" s="17">
        <f>+'[1]Sell in ko tính KDT'!AW241</f>
        <v>0</v>
      </c>
      <c r="BH242" s="17">
        <f>+'[1]Sell in ko tính KDT'!AX241</f>
        <v>0</v>
      </c>
      <c r="BI242" s="17">
        <f>+'[1]Sell in ko tính KDT'!AY241</f>
        <v>0</v>
      </c>
      <c r="BJ242" s="17">
        <v>0</v>
      </c>
      <c r="BK242" s="17">
        <f t="shared" ref="BK242:BK254" si="177">BG242+BH242+BJ242+BI242</f>
        <v>0</v>
      </c>
      <c r="BL242" s="17">
        <f>+'[1]Sell in ko tính KDT'!BA241</f>
        <v>0</v>
      </c>
      <c r="BM242" s="17">
        <f>+'[1]Sell in ko tính KDT'!BB241</f>
        <v>0</v>
      </c>
      <c r="BN242" s="17">
        <f>+'[1]Sell in ko tính KDT'!BC241</f>
        <v>0</v>
      </c>
      <c r="BO242" s="17">
        <v>0</v>
      </c>
      <c r="BP242" s="17">
        <f t="shared" si="164"/>
        <v>0</v>
      </c>
      <c r="BQ242" s="17">
        <f t="shared" ref="BQ242:BT254" si="178">BL242+BG242+BB242+AW242+AR242+AM242+AH242+AC242+X242+S242+N242+I242</f>
        <v>66.8348335563375</v>
      </c>
      <c r="BR242" s="17">
        <f t="shared" si="178"/>
        <v>158.02751231868695</v>
      </c>
      <c r="BS242" s="17">
        <f t="shared" si="165"/>
        <v>0</v>
      </c>
      <c r="BT242" s="17">
        <f t="shared" si="165"/>
        <v>0</v>
      </c>
      <c r="BU242" s="17">
        <f t="shared" si="166"/>
        <v>224.86234587502446</v>
      </c>
    </row>
    <row r="243" spans="1:73" s="46" customFormat="1" hidden="1" outlineLevel="1">
      <c r="A243" s="16" t="s">
        <v>493</v>
      </c>
      <c r="B243" s="17" t="s">
        <v>595</v>
      </c>
      <c r="C243" s="17" t="s">
        <v>600</v>
      </c>
      <c r="D243" s="17" t="s">
        <v>597</v>
      </c>
      <c r="E243" s="17" t="s">
        <v>597</v>
      </c>
      <c r="F243" s="18" t="s">
        <v>601</v>
      </c>
      <c r="G243" s="17" t="s">
        <v>602</v>
      </c>
      <c r="H243" s="17" t="s">
        <v>39</v>
      </c>
      <c r="I243" s="17">
        <f>+'[1]Sell in ko tính KDT'!I242</f>
        <v>29.397086877343355</v>
      </c>
      <c r="J243" s="17">
        <f>+'[1]Sell in ko tính KDT'!J242</f>
        <v>16.254258409922091</v>
      </c>
      <c r="K243" s="17">
        <f>+'[1]Sell in ko tính KDT'!K242</f>
        <v>0</v>
      </c>
      <c r="L243" s="17">
        <v>0</v>
      </c>
      <c r="M243" s="17">
        <f t="shared" ref="M243:M254" si="179">I243+J243+L243+K243</f>
        <v>45.651345287265443</v>
      </c>
      <c r="N243" s="17">
        <f>+'[1]Sell in ko tính KDT'!M242</f>
        <v>29.797086877343354</v>
      </c>
      <c r="O243" s="17">
        <f>+'[1]Sell in ko tính KDT'!N242</f>
        <v>16.254258409922091</v>
      </c>
      <c r="P243" s="17">
        <f>+'[1]Sell in ko tính KDT'!O242</f>
        <v>0</v>
      </c>
      <c r="Q243" s="17">
        <v>0</v>
      </c>
      <c r="R243" s="17">
        <f t="shared" si="168"/>
        <v>46.051345287265448</v>
      </c>
      <c r="S243" s="17">
        <f>+'[1]Sell in ko tính KDT'!Q242</f>
        <v>31.397086877343369</v>
      </c>
      <c r="T243" s="17">
        <f>+'[1]Sell in ko tính KDT'!R242</f>
        <v>16.254258409922091</v>
      </c>
      <c r="U243" s="17">
        <f>+'[1]Sell in ko tính KDT'!S242</f>
        <v>0</v>
      </c>
      <c r="V243" s="17">
        <v>0</v>
      </c>
      <c r="W243" s="17">
        <f t="shared" si="169"/>
        <v>47.651345287265457</v>
      </c>
      <c r="X243" s="17">
        <f>+'[1]Sell in ko tính KDT'!U242</f>
        <v>29.797086877343357</v>
      </c>
      <c r="Y243" s="17">
        <f>+'[1]Sell in ko tính KDT'!V242</f>
        <v>16.254258409922091</v>
      </c>
      <c r="Z243" s="17">
        <f>+'[1]Sell in ko tính KDT'!W242</f>
        <v>0</v>
      </c>
      <c r="AA243" s="17">
        <v>0</v>
      </c>
      <c r="AB243" s="17">
        <f t="shared" si="170"/>
        <v>46.051345287265448</v>
      </c>
      <c r="AC243" s="17">
        <f>+'[1]Sell in ko tính KDT'!Y242</f>
        <v>29.397086877343369</v>
      </c>
      <c r="AD243" s="17">
        <f>+'[1]Sell in ko tính KDT'!Z242</f>
        <v>16.254258409922091</v>
      </c>
      <c r="AE243" s="17">
        <f>+'[1]Sell in ko tính KDT'!AA242</f>
        <v>0</v>
      </c>
      <c r="AF243" s="17">
        <v>0</v>
      </c>
      <c r="AG243" s="17">
        <f t="shared" si="171"/>
        <v>45.651345287265457</v>
      </c>
      <c r="AH243" s="17">
        <f>+'[1]Sell in ko tính KDT'!AC242</f>
        <v>0</v>
      </c>
      <c r="AI243" s="17">
        <f>+'[1]Sell in ko tính KDT'!AD242</f>
        <v>0</v>
      </c>
      <c r="AJ243" s="17">
        <f>+'[1]Sell in ko tính KDT'!AE242</f>
        <v>0</v>
      </c>
      <c r="AK243" s="17">
        <v>0</v>
      </c>
      <c r="AL243" s="17">
        <f t="shared" si="172"/>
        <v>0</v>
      </c>
      <c r="AM243" s="17">
        <f>+'[1]Sell in ko tính KDT'!AG242</f>
        <v>0</v>
      </c>
      <c r="AN243" s="17">
        <f>+'[1]Sell in ko tính KDT'!AH242</f>
        <v>0</v>
      </c>
      <c r="AO243" s="17">
        <f>+'[1]Sell in ko tính KDT'!AI242</f>
        <v>0</v>
      </c>
      <c r="AP243" s="17">
        <v>0</v>
      </c>
      <c r="AQ243" s="17">
        <f t="shared" si="173"/>
        <v>0</v>
      </c>
      <c r="AR243" s="17">
        <f>+'[1]Sell in ko tính KDT'!AK242</f>
        <v>0</v>
      </c>
      <c r="AS243" s="17">
        <f>+'[1]Sell in ko tính KDT'!AL242</f>
        <v>0</v>
      </c>
      <c r="AT243" s="17">
        <f>+'[1]Sell in ko tính KDT'!AM242</f>
        <v>0</v>
      </c>
      <c r="AU243" s="17">
        <v>0</v>
      </c>
      <c r="AV243" s="17">
        <f t="shared" si="174"/>
        <v>0</v>
      </c>
      <c r="AW243" s="17">
        <f>+'[1]Sell in ko tính KDT'!AO242</f>
        <v>0</v>
      </c>
      <c r="AX243" s="17">
        <f>+'[1]Sell in ko tính KDT'!AP242</f>
        <v>0</v>
      </c>
      <c r="AY243" s="17">
        <f>+'[1]Sell in ko tính KDT'!AQ242</f>
        <v>0</v>
      </c>
      <c r="AZ243" s="17">
        <v>0</v>
      </c>
      <c r="BA243" s="17">
        <f t="shared" si="175"/>
        <v>0</v>
      </c>
      <c r="BB243" s="17">
        <f>+'[1]Sell in ko tính KDT'!AS242</f>
        <v>0</v>
      </c>
      <c r="BC243" s="17">
        <f>+'[1]Sell in ko tính KDT'!AT242</f>
        <v>0</v>
      </c>
      <c r="BD243" s="17">
        <f>+'[1]Sell in ko tính KDT'!AU242</f>
        <v>0</v>
      </c>
      <c r="BE243" s="17">
        <v>0</v>
      </c>
      <c r="BF243" s="17">
        <f t="shared" si="176"/>
        <v>0</v>
      </c>
      <c r="BG243" s="17">
        <f>+'[1]Sell in ko tính KDT'!AW242</f>
        <v>0</v>
      </c>
      <c r="BH243" s="17">
        <f>+'[1]Sell in ko tính KDT'!AX242</f>
        <v>0</v>
      </c>
      <c r="BI243" s="17">
        <f>+'[1]Sell in ko tính KDT'!AY242</f>
        <v>0</v>
      </c>
      <c r="BJ243" s="17">
        <v>0</v>
      </c>
      <c r="BK243" s="17">
        <f t="shared" si="177"/>
        <v>0</v>
      </c>
      <c r="BL243" s="17">
        <f>+'[1]Sell in ko tính KDT'!BA242</f>
        <v>0</v>
      </c>
      <c r="BM243" s="17">
        <f>+'[1]Sell in ko tính KDT'!BB242</f>
        <v>0</v>
      </c>
      <c r="BN243" s="17">
        <f>+'[1]Sell in ko tính KDT'!BC242</f>
        <v>0</v>
      </c>
      <c r="BO243" s="17">
        <v>0</v>
      </c>
      <c r="BP243" s="17">
        <f t="shared" si="164"/>
        <v>0</v>
      </c>
      <c r="BQ243" s="17">
        <f t="shared" si="178"/>
        <v>149.78543438671682</v>
      </c>
      <c r="BR243" s="17">
        <f t="shared" si="178"/>
        <v>81.271292049610452</v>
      </c>
      <c r="BS243" s="17">
        <f t="shared" si="165"/>
        <v>0</v>
      </c>
      <c r="BT243" s="17">
        <f t="shared" si="165"/>
        <v>0</v>
      </c>
      <c r="BU243" s="17">
        <f t="shared" si="166"/>
        <v>231.05672643632727</v>
      </c>
    </row>
    <row r="244" spans="1:73" s="46" customFormat="1" hidden="1" outlineLevel="1">
      <c r="A244" s="16" t="s">
        <v>493</v>
      </c>
      <c r="B244" s="17" t="s">
        <v>595</v>
      </c>
      <c r="C244" s="17" t="s">
        <v>603</v>
      </c>
      <c r="D244" s="17" t="s">
        <v>597</v>
      </c>
      <c r="E244" s="17" t="s">
        <v>597</v>
      </c>
      <c r="F244" s="18" t="s">
        <v>604</v>
      </c>
      <c r="G244" s="17" t="s">
        <v>605</v>
      </c>
      <c r="H244" s="17" t="s">
        <v>357</v>
      </c>
      <c r="I244" s="17">
        <f>+'[1]Sell in ko tính KDT'!I243</f>
        <v>13.711946318169121</v>
      </c>
      <c r="J244" s="17">
        <f>+'[1]Sell in ko tính KDT'!J243</f>
        <v>35.673275113117384</v>
      </c>
      <c r="K244" s="17">
        <f>+'[1]Sell in ko tính KDT'!K243</f>
        <v>0</v>
      </c>
      <c r="L244" s="17">
        <v>0</v>
      </c>
      <c r="M244" s="17">
        <f t="shared" si="179"/>
        <v>49.385221431286503</v>
      </c>
      <c r="N244" s="17">
        <f>+'[1]Sell in ko tính KDT'!M243</f>
        <v>13.711946318169121</v>
      </c>
      <c r="O244" s="17">
        <f>+'[1]Sell in ko tính KDT'!N243</f>
        <v>35.673275113117384</v>
      </c>
      <c r="P244" s="17">
        <f>+'[1]Sell in ko tính KDT'!O243</f>
        <v>0</v>
      </c>
      <c r="Q244" s="17">
        <v>0</v>
      </c>
      <c r="R244" s="17">
        <f t="shared" si="168"/>
        <v>49.385221431286503</v>
      </c>
      <c r="S244" s="17">
        <f>+'[1]Sell in ko tính KDT'!Q243</f>
        <v>13.711946318169121</v>
      </c>
      <c r="T244" s="17">
        <f>+'[1]Sell in ko tính KDT'!R243</f>
        <v>35.673275113117384</v>
      </c>
      <c r="U244" s="17">
        <f>+'[1]Sell in ko tính KDT'!S243</f>
        <v>0</v>
      </c>
      <c r="V244" s="17">
        <v>0</v>
      </c>
      <c r="W244" s="17">
        <f t="shared" si="169"/>
        <v>49.385221431286503</v>
      </c>
      <c r="X244" s="17">
        <f>+'[1]Sell in ko tính KDT'!U243</f>
        <v>13.711946318169121</v>
      </c>
      <c r="Y244" s="17">
        <f>+'[1]Sell in ko tính KDT'!V243</f>
        <v>35.673275113117384</v>
      </c>
      <c r="Z244" s="17">
        <f>+'[1]Sell in ko tính KDT'!W243</f>
        <v>0</v>
      </c>
      <c r="AA244" s="17">
        <v>0</v>
      </c>
      <c r="AB244" s="17">
        <f t="shared" si="170"/>
        <v>49.385221431286503</v>
      </c>
      <c r="AC244" s="17">
        <f>+'[1]Sell in ko tính KDT'!Y243</f>
        <v>13.711946318169121</v>
      </c>
      <c r="AD244" s="17">
        <f>+'[1]Sell in ko tính KDT'!Z243</f>
        <v>35.673275113117384</v>
      </c>
      <c r="AE244" s="17">
        <f>+'[1]Sell in ko tính KDT'!AA243</f>
        <v>0</v>
      </c>
      <c r="AF244" s="17">
        <v>0</v>
      </c>
      <c r="AG244" s="17">
        <f t="shared" si="171"/>
        <v>49.385221431286503</v>
      </c>
      <c r="AH244" s="17">
        <f>+'[1]Sell in ko tính KDT'!AC243</f>
        <v>0</v>
      </c>
      <c r="AI244" s="17">
        <f>+'[1]Sell in ko tính KDT'!AD243</f>
        <v>0</v>
      </c>
      <c r="AJ244" s="17">
        <f>+'[1]Sell in ko tính KDT'!AE243</f>
        <v>0</v>
      </c>
      <c r="AK244" s="17">
        <v>0</v>
      </c>
      <c r="AL244" s="17">
        <f t="shared" si="172"/>
        <v>0</v>
      </c>
      <c r="AM244" s="17">
        <f>+'[1]Sell in ko tính KDT'!AG243</f>
        <v>0</v>
      </c>
      <c r="AN244" s="17">
        <f>+'[1]Sell in ko tính KDT'!AH243</f>
        <v>0</v>
      </c>
      <c r="AO244" s="17">
        <f>+'[1]Sell in ko tính KDT'!AI243</f>
        <v>0</v>
      </c>
      <c r="AP244" s="17">
        <v>0</v>
      </c>
      <c r="AQ244" s="17">
        <f t="shared" si="173"/>
        <v>0</v>
      </c>
      <c r="AR244" s="17">
        <f>+'[1]Sell in ko tính KDT'!AK243</f>
        <v>0</v>
      </c>
      <c r="AS244" s="17">
        <f>+'[1]Sell in ko tính KDT'!AL243</f>
        <v>0</v>
      </c>
      <c r="AT244" s="17">
        <f>+'[1]Sell in ko tính KDT'!AM243</f>
        <v>0</v>
      </c>
      <c r="AU244" s="17">
        <v>0</v>
      </c>
      <c r="AV244" s="17">
        <f t="shared" si="174"/>
        <v>0</v>
      </c>
      <c r="AW244" s="17">
        <f>+'[1]Sell in ko tính KDT'!AO243</f>
        <v>0</v>
      </c>
      <c r="AX244" s="17">
        <f>+'[1]Sell in ko tính KDT'!AP243</f>
        <v>0</v>
      </c>
      <c r="AY244" s="17">
        <f>+'[1]Sell in ko tính KDT'!AQ243</f>
        <v>0</v>
      </c>
      <c r="AZ244" s="17">
        <v>0</v>
      </c>
      <c r="BA244" s="17">
        <f t="shared" si="175"/>
        <v>0</v>
      </c>
      <c r="BB244" s="17">
        <f>+'[1]Sell in ko tính KDT'!AS243</f>
        <v>0</v>
      </c>
      <c r="BC244" s="17">
        <f>+'[1]Sell in ko tính KDT'!AT243</f>
        <v>0</v>
      </c>
      <c r="BD244" s="17">
        <f>+'[1]Sell in ko tính KDT'!AU243</f>
        <v>0</v>
      </c>
      <c r="BE244" s="17">
        <v>0</v>
      </c>
      <c r="BF244" s="17">
        <f t="shared" si="176"/>
        <v>0</v>
      </c>
      <c r="BG244" s="17">
        <f>+'[1]Sell in ko tính KDT'!AW243</f>
        <v>0</v>
      </c>
      <c r="BH244" s="17">
        <f>+'[1]Sell in ko tính KDT'!AX243</f>
        <v>0</v>
      </c>
      <c r="BI244" s="17">
        <f>+'[1]Sell in ko tính KDT'!AY243</f>
        <v>0</v>
      </c>
      <c r="BJ244" s="17">
        <v>0</v>
      </c>
      <c r="BK244" s="17">
        <f t="shared" si="177"/>
        <v>0</v>
      </c>
      <c r="BL244" s="17">
        <f>+'[1]Sell in ko tính KDT'!BA243</f>
        <v>0</v>
      </c>
      <c r="BM244" s="17">
        <f>+'[1]Sell in ko tính KDT'!BB243</f>
        <v>0</v>
      </c>
      <c r="BN244" s="17">
        <f>+'[1]Sell in ko tính KDT'!BC243</f>
        <v>0</v>
      </c>
      <c r="BO244" s="17">
        <v>0</v>
      </c>
      <c r="BP244" s="17">
        <f t="shared" si="164"/>
        <v>0</v>
      </c>
      <c r="BQ244" s="17">
        <f t="shared" si="178"/>
        <v>68.559731590845601</v>
      </c>
      <c r="BR244" s="17">
        <f t="shared" si="178"/>
        <v>178.36637556558691</v>
      </c>
      <c r="BS244" s="17">
        <f t="shared" si="165"/>
        <v>0</v>
      </c>
      <c r="BT244" s="17">
        <f t="shared" si="165"/>
        <v>0</v>
      </c>
      <c r="BU244" s="17">
        <f t="shared" si="166"/>
        <v>246.92610715643252</v>
      </c>
    </row>
    <row r="245" spans="1:73" s="46" customFormat="1" hidden="1" outlineLevel="1">
      <c r="A245" s="16" t="s">
        <v>493</v>
      </c>
      <c r="B245" s="17" t="s">
        <v>595</v>
      </c>
      <c r="C245" s="17" t="s">
        <v>606</v>
      </c>
      <c r="D245" s="17" t="s">
        <v>597</v>
      </c>
      <c r="E245" s="17" t="s">
        <v>597</v>
      </c>
      <c r="F245" s="55" t="s">
        <v>607</v>
      </c>
      <c r="G245" s="31" t="s">
        <v>608</v>
      </c>
      <c r="H245" s="17" t="s">
        <v>357</v>
      </c>
      <c r="I245" s="17">
        <f>+'[1]Sell in ko tính KDT'!I244</f>
        <v>51.027525362919434</v>
      </c>
      <c r="J245" s="17">
        <f>+'[1]Sell in ko tính KDT'!J244</f>
        <v>12.224114848854265</v>
      </c>
      <c r="K245" s="17">
        <f>+'[1]Sell in ko tính KDT'!K244</f>
        <v>0</v>
      </c>
      <c r="L245" s="17">
        <v>0</v>
      </c>
      <c r="M245" s="17">
        <f t="shared" si="179"/>
        <v>63.251640211773697</v>
      </c>
      <c r="N245" s="17">
        <f>+'[1]Sell in ko tính KDT'!M244</f>
        <v>51.027525362919434</v>
      </c>
      <c r="O245" s="17">
        <f>+'[1]Sell in ko tính KDT'!N244</f>
        <v>30.884665095227859</v>
      </c>
      <c r="P245" s="17">
        <f>+'[1]Sell in ko tính KDT'!O244</f>
        <v>0</v>
      </c>
      <c r="Q245" s="17">
        <v>0</v>
      </c>
      <c r="R245" s="17">
        <f t="shared" si="168"/>
        <v>81.912190458147293</v>
      </c>
      <c r="S245" s="17">
        <f>+'[1]Sell in ko tính KDT'!Q244</f>
        <v>51.027525362919434</v>
      </c>
      <c r="T245" s="17">
        <f>+'[1]Sell in ko tính KDT'!R244</f>
        <v>30.884665095227856</v>
      </c>
      <c r="U245" s="17">
        <f>+'[1]Sell in ko tính KDT'!S244</f>
        <v>0</v>
      </c>
      <c r="V245" s="17">
        <v>0</v>
      </c>
      <c r="W245" s="17">
        <f t="shared" si="169"/>
        <v>81.912190458147293</v>
      </c>
      <c r="X245" s="17">
        <f>+'[1]Sell in ko tính KDT'!U244</f>
        <v>44.297525362919437</v>
      </c>
      <c r="Y245" s="17">
        <f>+'[1]Sell in ko tính KDT'!V244</f>
        <v>30.884665095227856</v>
      </c>
      <c r="Z245" s="17">
        <f>+'[1]Sell in ko tính KDT'!W244</f>
        <v>0</v>
      </c>
      <c r="AA245" s="17">
        <v>0</v>
      </c>
      <c r="AB245" s="17">
        <f t="shared" si="170"/>
        <v>75.182190458147289</v>
      </c>
      <c r="AC245" s="17">
        <f>+'[1]Sell in ko tính KDT'!Y244</f>
        <v>42.697525362919443</v>
      </c>
      <c r="AD245" s="17">
        <f>+'[1]Sell in ko tính KDT'!Z244</f>
        <v>9.7074043281479163</v>
      </c>
      <c r="AE245" s="17">
        <f>+'[1]Sell in ko tính KDT'!AA244</f>
        <v>0</v>
      </c>
      <c r="AF245" s="17">
        <v>0</v>
      </c>
      <c r="AG245" s="17">
        <f t="shared" si="171"/>
        <v>52.404929691067359</v>
      </c>
      <c r="AH245" s="17">
        <f>+'[1]Sell in ko tính KDT'!AC244</f>
        <v>22</v>
      </c>
      <c r="AI245" s="17">
        <f>+'[1]Sell in ko tính KDT'!AD244</f>
        <v>18</v>
      </c>
      <c r="AJ245" s="17">
        <f>+'[1]Sell in ko tính KDT'!AE244</f>
        <v>0</v>
      </c>
      <c r="AK245" s="17">
        <v>0</v>
      </c>
      <c r="AL245" s="17">
        <f t="shared" si="172"/>
        <v>40</v>
      </c>
      <c r="AM245" s="17">
        <f>+'[1]Sell in ko tính KDT'!AG244</f>
        <v>22</v>
      </c>
      <c r="AN245" s="17">
        <f>+'[1]Sell in ko tính KDT'!AH244</f>
        <v>18</v>
      </c>
      <c r="AO245" s="17">
        <f>+'[1]Sell in ko tính KDT'!AI244</f>
        <v>0</v>
      </c>
      <c r="AP245" s="17">
        <v>0</v>
      </c>
      <c r="AQ245" s="17">
        <f t="shared" si="173"/>
        <v>40</v>
      </c>
      <c r="AR245" s="17">
        <f>+'[1]Sell in ko tính KDT'!AK244</f>
        <v>30</v>
      </c>
      <c r="AS245" s="17">
        <f>+'[1]Sell in ko tính KDT'!AL244</f>
        <v>20</v>
      </c>
      <c r="AT245" s="17">
        <f>+'[1]Sell in ko tính KDT'!AM244</f>
        <v>0</v>
      </c>
      <c r="AU245" s="17">
        <v>0</v>
      </c>
      <c r="AV245" s="17">
        <f t="shared" si="174"/>
        <v>50</v>
      </c>
      <c r="AW245" s="17">
        <f>+'[1]Sell in ko tính KDT'!AO244</f>
        <v>22</v>
      </c>
      <c r="AX245" s="17">
        <f>+'[1]Sell in ko tính KDT'!AP244</f>
        <v>18</v>
      </c>
      <c r="AY245" s="17">
        <f>+'[1]Sell in ko tính KDT'!AQ244</f>
        <v>0</v>
      </c>
      <c r="AZ245" s="17">
        <v>0</v>
      </c>
      <c r="BA245" s="17">
        <f t="shared" si="175"/>
        <v>40</v>
      </c>
      <c r="BB245" s="17">
        <f>+'[1]Sell in ko tính KDT'!AS244</f>
        <v>22</v>
      </c>
      <c r="BC245" s="17">
        <f>+'[1]Sell in ko tính KDT'!AT244</f>
        <v>18</v>
      </c>
      <c r="BD245" s="17">
        <f>+'[1]Sell in ko tính KDT'!AU244</f>
        <v>0</v>
      </c>
      <c r="BE245" s="17">
        <v>0</v>
      </c>
      <c r="BF245" s="17">
        <f t="shared" si="176"/>
        <v>40</v>
      </c>
      <c r="BG245" s="17">
        <f>+'[1]Sell in ko tính KDT'!AW244</f>
        <v>0</v>
      </c>
      <c r="BH245" s="17">
        <f>+'[1]Sell in ko tính KDT'!AX244</f>
        <v>0</v>
      </c>
      <c r="BI245" s="17">
        <f>+'[1]Sell in ko tính KDT'!AY244</f>
        <v>0</v>
      </c>
      <c r="BJ245" s="17">
        <v>0</v>
      </c>
      <c r="BK245" s="17">
        <f t="shared" si="177"/>
        <v>0</v>
      </c>
      <c r="BL245" s="17">
        <f>+'[1]Sell in ko tính KDT'!BA244</f>
        <v>0</v>
      </c>
      <c r="BM245" s="17">
        <f>+'[1]Sell in ko tính KDT'!BB244</f>
        <v>0</v>
      </c>
      <c r="BN245" s="17">
        <f>+'[1]Sell in ko tính KDT'!BC244</f>
        <v>0</v>
      </c>
      <c r="BO245" s="17">
        <v>0</v>
      </c>
      <c r="BP245" s="17">
        <f t="shared" si="164"/>
        <v>0</v>
      </c>
      <c r="BQ245" s="17">
        <f t="shared" si="178"/>
        <v>358.07762681459718</v>
      </c>
      <c r="BR245" s="17">
        <f t="shared" si="178"/>
        <v>206.58551446268575</v>
      </c>
      <c r="BS245" s="17">
        <f t="shared" si="178"/>
        <v>0</v>
      </c>
      <c r="BT245" s="17">
        <f t="shared" si="178"/>
        <v>0</v>
      </c>
      <c r="BU245" s="17">
        <f t="shared" si="166"/>
        <v>564.66314127728288</v>
      </c>
    </row>
    <row r="246" spans="1:73" s="46" customFormat="1" hidden="1" outlineLevel="1">
      <c r="A246" s="16" t="s">
        <v>493</v>
      </c>
      <c r="B246" s="17" t="s">
        <v>595</v>
      </c>
      <c r="C246" s="17" t="s">
        <v>609</v>
      </c>
      <c r="D246" s="17" t="s">
        <v>597</v>
      </c>
      <c r="E246" s="17" t="s">
        <v>597</v>
      </c>
      <c r="F246" s="18" t="s">
        <v>610</v>
      </c>
      <c r="G246" s="17" t="s">
        <v>611</v>
      </c>
      <c r="H246" s="17" t="s">
        <v>357</v>
      </c>
      <c r="I246" s="17">
        <f>+'[1]Sell in ko tính KDT'!I245</f>
        <v>16.708708389084375</v>
      </c>
      <c r="J246" s="17">
        <f>+'[1]Sell in ko tính KDT'!J245</f>
        <v>33.86303835400436</v>
      </c>
      <c r="K246" s="17">
        <f>+'[1]Sell in ko tính KDT'!K245</f>
        <v>0</v>
      </c>
      <c r="L246" s="17">
        <v>0</v>
      </c>
      <c r="M246" s="17">
        <f t="shared" si="179"/>
        <v>50.571746743088738</v>
      </c>
      <c r="N246" s="17">
        <f>+'[1]Sell in ko tính KDT'!M245</f>
        <v>16.708708389084375</v>
      </c>
      <c r="O246" s="17">
        <f>+'[1]Sell in ko tính KDT'!N245</f>
        <v>33.86303835400436</v>
      </c>
      <c r="P246" s="17">
        <f>+'[1]Sell in ko tính KDT'!O245</f>
        <v>0</v>
      </c>
      <c r="Q246" s="17">
        <v>0</v>
      </c>
      <c r="R246" s="17">
        <f t="shared" si="168"/>
        <v>50.571746743088738</v>
      </c>
      <c r="S246" s="17">
        <f>+'[1]Sell in ko tính KDT'!Q245</f>
        <v>16.708708389084375</v>
      </c>
      <c r="T246" s="17">
        <f>+'[1]Sell in ko tính KDT'!R245</f>
        <v>33.86303835400436</v>
      </c>
      <c r="U246" s="17">
        <f>+'[1]Sell in ko tính KDT'!S245</f>
        <v>0</v>
      </c>
      <c r="V246" s="17">
        <v>0</v>
      </c>
      <c r="W246" s="17">
        <f t="shared" si="169"/>
        <v>50.571746743088738</v>
      </c>
      <c r="X246" s="17">
        <f>+'[1]Sell in ko tính KDT'!U245</f>
        <v>0</v>
      </c>
      <c r="Y246" s="17">
        <f>+'[1]Sell in ko tính KDT'!V245</f>
        <v>58.150717805339198</v>
      </c>
      <c r="Z246" s="17">
        <f>+'[1]Sell in ko tính KDT'!W245</f>
        <v>0</v>
      </c>
      <c r="AA246" s="17">
        <v>0</v>
      </c>
      <c r="AB246" s="17">
        <f t="shared" si="170"/>
        <v>58.150717805339198</v>
      </c>
      <c r="AC246" s="17">
        <f>+'[1]Sell in ko tính KDT'!Y245</f>
        <v>0</v>
      </c>
      <c r="AD246" s="17">
        <f>+'[1]Sell in ko tính KDT'!Z245</f>
        <v>50.150717805339184</v>
      </c>
      <c r="AE246" s="17">
        <f>+'[1]Sell in ko tính KDT'!AA245</f>
        <v>0</v>
      </c>
      <c r="AF246" s="17">
        <v>0</v>
      </c>
      <c r="AG246" s="17">
        <f t="shared" si="171"/>
        <v>50.150717805339184</v>
      </c>
      <c r="AH246" s="17">
        <f>+'[1]Sell in ko tính KDT'!AC245</f>
        <v>0</v>
      </c>
      <c r="AI246" s="17">
        <f>+'[1]Sell in ko tính KDT'!AD245</f>
        <v>0</v>
      </c>
      <c r="AJ246" s="17">
        <f>+'[1]Sell in ko tính KDT'!AE245</f>
        <v>0</v>
      </c>
      <c r="AK246" s="17">
        <v>0</v>
      </c>
      <c r="AL246" s="17">
        <f t="shared" si="172"/>
        <v>0</v>
      </c>
      <c r="AM246" s="17">
        <f>+'[1]Sell in ko tính KDT'!AG245</f>
        <v>0</v>
      </c>
      <c r="AN246" s="17">
        <f>+'[1]Sell in ko tính KDT'!AH245</f>
        <v>0</v>
      </c>
      <c r="AO246" s="17">
        <f>+'[1]Sell in ko tính KDT'!AI245</f>
        <v>0</v>
      </c>
      <c r="AP246" s="17">
        <v>0</v>
      </c>
      <c r="AQ246" s="17">
        <f t="shared" si="173"/>
        <v>0</v>
      </c>
      <c r="AR246" s="17">
        <f>+'[1]Sell in ko tính KDT'!AK245</f>
        <v>0</v>
      </c>
      <c r="AS246" s="17">
        <f>+'[1]Sell in ko tính KDT'!AL245</f>
        <v>0</v>
      </c>
      <c r="AT246" s="17">
        <f>+'[1]Sell in ko tính KDT'!AM245</f>
        <v>0</v>
      </c>
      <c r="AU246" s="17">
        <v>0</v>
      </c>
      <c r="AV246" s="17">
        <f t="shared" si="174"/>
        <v>0</v>
      </c>
      <c r="AW246" s="17">
        <f>+'[1]Sell in ko tính KDT'!AO245</f>
        <v>0</v>
      </c>
      <c r="AX246" s="17">
        <f>+'[1]Sell in ko tính KDT'!AP245</f>
        <v>0</v>
      </c>
      <c r="AY246" s="17">
        <f>+'[1]Sell in ko tính KDT'!AQ245</f>
        <v>0</v>
      </c>
      <c r="AZ246" s="17">
        <v>0</v>
      </c>
      <c r="BA246" s="17">
        <f t="shared" si="175"/>
        <v>0</v>
      </c>
      <c r="BB246" s="17">
        <f>+'[1]Sell in ko tính KDT'!AS245</f>
        <v>0</v>
      </c>
      <c r="BC246" s="17">
        <f>+'[1]Sell in ko tính KDT'!AT245</f>
        <v>0</v>
      </c>
      <c r="BD246" s="17">
        <f>+'[1]Sell in ko tính KDT'!AU245</f>
        <v>0</v>
      </c>
      <c r="BE246" s="17">
        <v>0</v>
      </c>
      <c r="BF246" s="17">
        <f t="shared" si="176"/>
        <v>0</v>
      </c>
      <c r="BG246" s="17">
        <f>+'[1]Sell in ko tính KDT'!AW245</f>
        <v>0</v>
      </c>
      <c r="BH246" s="17">
        <f>+'[1]Sell in ko tính KDT'!AX245</f>
        <v>0</v>
      </c>
      <c r="BI246" s="17">
        <f>+'[1]Sell in ko tính KDT'!AY245</f>
        <v>0</v>
      </c>
      <c r="BJ246" s="17">
        <v>0</v>
      </c>
      <c r="BK246" s="17">
        <f t="shared" si="177"/>
        <v>0</v>
      </c>
      <c r="BL246" s="17">
        <f>+'[1]Sell in ko tính KDT'!BA245</f>
        <v>0</v>
      </c>
      <c r="BM246" s="17">
        <f>+'[1]Sell in ko tính KDT'!BB245</f>
        <v>0</v>
      </c>
      <c r="BN246" s="17">
        <f>+'[1]Sell in ko tính KDT'!BC245</f>
        <v>0</v>
      </c>
      <c r="BO246" s="17">
        <v>0</v>
      </c>
      <c r="BP246" s="17">
        <f t="shared" si="164"/>
        <v>0</v>
      </c>
      <c r="BQ246" s="17">
        <f t="shared" si="178"/>
        <v>50.126125167253122</v>
      </c>
      <c r="BR246" s="17">
        <f t="shared" si="178"/>
        <v>209.89055067269146</v>
      </c>
      <c r="BS246" s="17">
        <f t="shared" si="178"/>
        <v>0</v>
      </c>
      <c r="BT246" s="17">
        <f t="shared" si="178"/>
        <v>0</v>
      </c>
      <c r="BU246" s="17">
        <f t="shared" si="166"/>
        <v>260.01667583994458</v>
      </c>
    </row>
    <row r="247" spans="1:73" s="46" customFormat="1" hidden="1" outlineLevel="1">
      <c r="A247" s="16" t="s">
        <v>493</v>
      </c>
      <c r="B247" s="17" t="s">
        <v>595</v>
      </c>
      <c r="C247" s="17" t="s">
        <v>609</v>
      </c>
      <c r="D247" s="17" t="s">
        <v>597</v>
      </c>
      <c r="E247" s="17" t="s">
        <v>597</v>
      </c>
      <c r="F247" s="18" t="s">
        <v>612</v>
      </c>
      <c r="G247" s="17" t="s">
        <v>613</v>
      </c>
      <c r="H247" s="17" t="s">
        <v>39</v>
      </c>
      <c r="I247" s="17">
        <f>+'[1]Sell in ko tính KDT'!I246</f>
        <v>14.366543984120458</v>
      </c>
      <c r="J247" s="17">
        <f>+'[1]Sell in ko tính KDT'!J246</f>
        <v>12.628832568929884</v>
      </c>
      <c r="K247" s="17">
        <f>+'[1]Sell in ko tính KDT'!K246</f>
        <v>0</v>
      </c>
      <c r="L247" s="17">
        <v>0</v>
      </c>
      <c r="M247" s="17">
        <f t="shared" si="179"/>
        <v>26.995376553050342</v>
      </c>
      <c r="N247" s="17">
        <f>+'[1]Sell in ko tính KDT'!M246</f>
        <v>14.366543984120458</v>
      </c>
      <c r="O247" s="17">
        <f>+'[1]Sell in ko tính KDT'!N246</f>
        <v>10.628832568929891</v>
      </c>
      <c r="P247" s="17">
        <f>+'[1]Sell in ko tính KDT'!O246</f>
        <v>0</v>
      </c>
      <c r="Q247" s="17">
        <v>0</v>
      </c>
      <c r="R247" s="17">
        <f t="shared" si="168"/>
        <v>24.995376553050349</v>
      </c>
      <c r="S247" s="17">
        <f>+'[1]Sell in ko tính KDT'!Q246</f>
        <v>14.366543984120458</v>
      </c>
      <c r="T247" s="17">
        <f>+'[1]Sell in ko tính KDT'!R246</f>
        <v>10.628832568929887</v>
      </c>
      <c r="U247" s="17">
        <f>+'[1]Sell in ko tính KDT'!S246</f>
        <v>0</v>
      </c>
      <c r="V247" s="17">
        <v>0</v>
      </c>
      <c r="W247" s="17">
        <f t="shared" si="169"/>
        <v>24.995376553050345</v>
      </c>
      <c r="X247" s="17">
        <f>+'[1]Sell in ko tính KDT'!U246</f>
        <v>26.366543984120458</v>
      </c>
      <c r="Y247" s="17">
        <f>+'[1]Sell in ko tính KDT'!V246</f>
        <v>10.628832568929887</v>
      </c>
      <c r="Z247" s="17">
        <f>+'[1]Sell in ko tính KDT'!W246</f>
        <v>0</v>
      </c>
      <c r="AA247" s="17">
        <v>0</v>
      </c>
      <c r="AB247" s="17">
        <f t="shared" si="170"/>
        <v>36.995376553050349</v>
      </c>
      <c r="AC247" s="17">
        <f>+'[1]Sell in ko tính KDT'!Y246</f>
        <v>29.366543984120415</v>
      </c>
      <c r="AD247" s="17">
        <f>+'[1]Sell in ko tính KDT'!Z246</f>
        <v>10.628832568929887</v>
      </c>
      <c r="AE247" s="17">
        <f>+'[1]Sell in ko tính KDT'!AA246</f>
        <v>0</v>
      </c>
      <c r="AF247" s="17">
        <v>0</v>
      </c>
      <c r="AG247" s="17">
        <f t="shared" si="171"/>
        <v>39.995376553050306</v>
      </c>
      <c r="AH247" s="17">
        <f>+'[1]Sell in ko tính KDT'!AC246</f>
        <v>0</v>
      </c>
      <c r="AI247" s="17">
        <f>+'[1]Sell in ko tính KDT'!AD246</f>
        <v>0</v>
      </c>
      <c r="AJ247" s="17">
        <f>+'[1]Sell in ko tính KDT'!AE246</f>
        <v>0</v>
      </c>
      <c r="AK247" s="17">
        <v>0</v>
      </c>
      <c r="AL247" s="17">
        <f t="shared" si="172"/>
        <v>0</v>
      </c>
      <c r="AM247" s="17">
        <f>+'[1]Sell in ko tính KDT'!AG246</f>
        <v>0</v>
      </c>
      <c r="AN247" s="17">
        <f>+'[1]Sell in ko tính KDT'!AH246</f>
        <v>0</v>
      </c>
      <c r="AO247" s="17">
        <f>+'[1]Sell in ko tính KDT'!AI246</f>
        <v>0</v>
      </c>
      <c r="AP247" s="17">
        <v>0</v>
      </c>
      <c r="AQ247" s="17">
        <f t="shared" si="173"/>
        <v>0</v>
      </c>
      <c r="AR247" s="17">
        <f>+'[1]Sell in ko tính KDT'!AK246</f>
        <v>0</v>
      </c>
      <c r="AS247" s="17">
        <f>+'[1]Sell in ko tính KDT'!AL246</f>
        <v>0</v>
      </c>
      <c r="AT247" s="17">
        <f>+'[1]Sell in ko tính KDT'!AM246</f>
        <v>0</v>
      </c>
      <c r="AU247" s="17">
        <v>0</v>
      </c>
      <c r="AV247" s="17">
        <f t="shared" si="174"/>
        <v>0</v>
      </c>
      <c r="AW247" s="17">
        <f>+'[1]Sell in ko tính KDT'!AO246</f>
        <v>0</v>
      </c>
      <c r="AX247" s="17">
        <f>+'[1]Sell in ko tính KDT'!AP246</f>
        <v>0</v>
      </c>
      <c r="AY247" s="17">
        <f>+'[1]Sell in ko tính KDT'!AQ246</f>
        <v>0</v>
      </c>
      <c r="AZ247" s="17">
        <v>0</v>
      </c>
      <c r="BA247" s="17">
        <f t="shared" si="175"/>
        <v>0</v>
      </c>
      <c r="BB247" s="17">
        <f>+'[1]Sell in ko tính KDT'!AS246</f>
        <v>0</v>
      </c>
      <c r="BC247" s="17">
        <f>+'[1]Sell in ko tính KDT'!AT246</f>
        <v>0</v>
      </c>
      <c r="BD247" s="17">
        <f>+'[1]Sell in ko tính KDT'!AU246</f>
        <v>0</v>
      </c>
      <c r="BE247" s="17">
        <v>0</v>
      </c>
      <c r="BF247" s="17">
        <f t="shared" si="176"/>
        <v>0</v>
      </c>
      <c r="BG247" s="17">
        <f>+'[1]Sell in ko tính KDT'!AW246</f>
        <v>0</v>
      </c>
      <c r="BH247" s="17">
        <f>+'[1]Sell in ko tính KDT'!AX246</f>
        <v>0</v>
      </c>
      <c r="BI247" s="17">
        <f>+'[1]Sell in ko tính KDT'!AY246</f>
        <v>0</v>
      </c>
      <c r="BJ247" s="17">
        <v>0</v>
      </c>
      <c r="BK247" s="17">
        <f t="shared" si="177"/>
        <v>0</v>
      </c>
      <c r="BL247" s="17">
        <f>+'[1]Sell in ko tính KDT'!BA246</f>
        <v>0</v>
      </c>
      <c r="BM247" s="17">
        <f>+'[1]Sell in ko tính KDT'!BB246</f>
        <v>0</v>
      </c>
      <c r="BN247" s="17">
        <f>+'[1]Sell in ko tính KDT'!BC246</f>
        <v>0</v>
      </c>
      <c r="BO247" s="17">
        <v>0</v>
      </c>
      <c r="BP247" s="17">
        <f t="shared" si="164"/>
        <v>0</v>
      </c>
      <c r="BQ247" s="17">
        <f t="shared" si="178"/>
        <v>98.832719920602244</v>
      </c>
      <c r="BR247" s="17">
        <f t="shared" si="178"/>
        <v>55.144162844649429</v>
      </c>
      <c r="BS247" s="17">
        <f t="shared" si="178"/>
        <v>0</v>
      </c>
      <c r="BT247" s="17">
        <f t="shared" si="178"/>
        <v>0</v>
      </c>
      <c r="BU247" s="17">
        <f t="shared" si="166"/>
        <v>153.97688276525167</v>
      </c>
    </row>
    <row r="248" spans="1:73" s="46" customFormat="1" hidden="1" outlineLevel="1">
      <c r="A248" s="16" t="s">
        <v>493</v>
      </c>
      <c r="B248" s="17" t="s">
        <v>595</v>
      </c>
      <c r="C248" s="17" t="s">
        <v>614</v>
      </c>
      <c r="D248" s="17" t="s">
        <v>597</v>
      </c>
      <c r="E248" s="31" t="s">
        <v>615</v>
      </c>
      <c r="F248" s="39" t="s">
        <v>616</v>
      </c>
      <c r="G248" s="23" t="s">
        <v>617</v>
      </c>
      <c r="H248" s="17" t="s">
        <v>357</v>
      </c>
      <c r="I248" s="17">
        <f>+'[1]Sell in ko tính KDT'!I247</f>
        <v>0</v>
      </c>
      <c r="J248" s="17">
        <f>+'[1]Sell in ko tính KDT'!J247</f>
        <v>0</v>
      </c>
      <c r="K248" s="17">
        <f>+'[1]Sell in ko tính KDT'!K247</f>
        <v>0</v>
      </c>
      <c r="L248" s="17">
        <v>0</v>
      </c>
      <c r="M248" s="17">
        <f t="shared" si="179"/>
        <v>0</v>
      </c>
      <c r="N248" s="17">
        <f>+'[1]Sell in ko tính KDT'!M247</f>
        <v>0</v>
      </c>
      <c r="O248" s="17">
        <f>+'[1]Sell in ko tính KDT'!N247</f>
        <v>0</v>
      </c>
      <c r="P248" s="17">
        <f>+'[1]Sell in ko tính KDT'!O247</f>
        <v>0</v>
      </c>
      <c r="Q248" s="17">
        <v>0</v>
      </c>
      <c r="R248" s="17">
        <f t="shared" si="168"/>
        <v>0</v>
      </c>
      <c r="S248" s="17">
        <f>+'[1]Sell in ko tính KDT'!Q247</f>
        <v>0</v>
      </c>
      <c r="T248" s="17">
        <f>+'[1]Sell in ko tính KDT'!R247</f>
        <v>0</v>
      </c>
      <c r="U248" s="17">
        <f>+'[1]Sell in ko tính KDT'!S247</f>
        <v>0</v>
      </c>
      <c r="V248" s="17">
        <v>0</v>
      </c>
      <c r="W248" s="17">
        <f t="shared" si="169"/>
        <v>0</v>
      </c>
      <c r="X248" s="17">
        <f>+'[1]Sell in ko tính KDT'!U247</f>
        <v>163.71573592061532</v>
      </c>
      <c r="Y248" s="17">
        <f>+'[1]Sell in ko tính KDT'!V247</f>
        <v>135.29513914517452</v>
      </c>
      <c r="Z248" s="17">
        <f>+'[1]Sell in ko tính KDT'!W247</f>
        <v>1</v>
      </c>
      <c r="AA248" s="17">
        <v>0</v>
      </c>
      <c r="AB248" s="17">
        <f t="shared" si="170"/>
        <v>300.01087506578983</v>
      </c>
      <c r="AC248" s="17">
        <f>+'[1]Sell in ko tính KDT'!Y247</f>
        <v>163.71573592061532</v>
      </c>
      <c r="AD248" s="17">
        <f>+'[1]Sell in ko tính KDT'!Z247</f>
        <v>135.29513914517452</v>
      </c>
      <c r="AE248" s="17">
        <f>+'[1]Sell in ko tính KDT'!AA247</f>
        <v>1</v>
      </c>
      <c r="AF248" s="17">
        <v>0</v>
      </c>
      <c r="AG248" s="17">
        <f t="shared" si="171"/>
        <v>300.01087506578983</v>
      </c>
      <c r="AH248" s="17">
        <f>+'[1]Sell in ko tính KDT'!AC247</f>
        <v>22</v>
      </c>
      <c r="AI248" s="17">
        <f>+'[1]Sell in ko tính KDT'!AD247</f>
        <v>18</v>
      </c>
      <c r="AJ248" s="17">
        <f>+'[1]Sell in ko tính KDT'!AE247</f>
        <v>0</v>
      </c>
      <c r="AK248" s="17">
        <v>0</v>
      </c>
      <c r="AL248" s="17">
        <f t="shared" si="172"/>
        <v>40</v>
      </c>
      <c r="AM248" s="17">
        <f>+'[1]Sell in ko tính KDT'!AG247</f>
        <v>33</v>
      </c>
      <c r="AN248" s="17">
        <f>+'[1]Sell in ko tính KDT'!AH247</f>
        <v>27</v>
      </c>
      <c r="AO248" s="17">
        <f>+'[1]Sell in ko tính KDT'!AI247</f>
        <v>0</v>
      </c>
      <c r="AP248" s="17">
        <v>0</v>
      </c>
      <c r="AQ248" s="17">
        <f t="shared" si="173"/>
        <v>60</v>
      </c>
      <c r="AR248" s="17">
        <f>+'[1]Sell in ko tính KDT'!AK247</f>
        <v>33</v>
      </c>
      <c r="AS248" s="17">
        <f>+'[1]Sell in ko tính KDT'!AL247</f>
        <v>27</v>
      </c>
      <c r="AT248" s="17">
        <f>+'[1]Sell in ko tính KDT'!AM247</f>
        <v>0</v>
      </c>
      <c r="AU248" s="17">
        <v>0</v>
      </c>
      <c r="AV248" s="17">
        <f t="shared" si="174"/>
        <v>60</v>
      </c>
      <c r="AW248" s="17">
        <f>+'[1]Sell in ko tính KDT'!AO247</f>
        <v>22</v>
      </c>
      <c r="AX248" s="17">
        <f>+'[1]Sell in ko tính KDT'!AP247</f>
        <v>18</v>
      </c>
      <c r="AY248" s="17">
        <f>+'[1]Sell in ko tính KDT'!AQ247</f>
        <v>0</v>
      </c>
      <c r="AZ248" s="17">
        <v>0</v>
      </c>
      <c r="BA248" s="17">
        <f t="shared" si="175"/>
        <v>40</v>
      </c>
      <c r="BB248" s="17">
        <f>+'[1]Sell in ko tính KDT'!AS247</f>
        <v>22</v>
      </c>
      <c r="BC248" s="17">
        <f>+'[1]Sell in ko tính KDT'!AT247</f>
        <v>18</v>
      </c>
      <c r="BD248" s="17">
        <f>+'[1]Sell in ko tính KDT'!AU247</f>
        <v>0</v>
      </c>
      <c r="BE248" s="17">
        <v>0</v>
      </c>
      <c r="BF248" s="17">
        <f t="shared" si="176"/>
        <v>40</v>
      </c>
      <c r="BG248" s="17">
        <f>+'[1]Sell in ko tính KDT'!AW247</f>
        <v>22</v>
      </c>
      <c r="BH248" s="17">
        <f>+'[1]Sell in ko tính KDT'!AX247</f>
        <v>18</v>
      </c>
      <c r="BI248" s="17">
        <f>+'[1]Sell in ko tính KDT'!AY247</f>
        <v>0</v>
      </c>
      <c r="BJ248" s="17">
        <v>0</v>
      </c>
      <c r="BK248" s="17">
        <f t="shared" si="177"/>
        <v>40</v>
      </c>
      <c r="BL248" s="17">
        <f>+'[1]Sell in ko tính KDT'!BA247</f>
        <v>33</v>
      </c>
      <c r="BM248" s="17">
        <f>+'[1]Sell in ko tính KDT'!BB247</f>
        <v>27</v>
      </c>
      <c r="BN248" s="17">
        <f>+'[1]Sell in ko tính KDT'!BC247</f>
        <v>0</v>
      </c>
      <c r="BO248" s="17">
        <v>0</v>
      </c>
      <c r="BP248" s="17">
        <f t="shared" si="164"/>
        <v>60</v>
      </c>
      <c r="BQ248" s="17">
        <f t="shared" si="178"/>
        <v>514.43147184123063</v>
      </c>
      <c r="BR248" s="17">
        <f t="shared" si="178"/>
        <v>423.59027829034903</v>
      </c>
      <c r="BS248" s="17">
        <f t="shared" si="178"/>
        <v>2</v>
      </c>
      <c r="BT248" s="17">
        <f t="shared" si="178"/>
        <v>0</v>
      </c>
      <c r="BU248" s="17">
        <f t="shared" si="166"/>
        <v>940.02175013157967</v>
      </c>
    </row>
    <row r="249" spans="1:73" s="46" customFormat="1" hidden="1" outlineLevel="1">
      <c r="A249" s="16" t="s">
        <v>493</v>
      </c>
      <c r="B249" s="17" t="s">
        <v>595</v>
      </c>
      <c r="C249" s="17" t="s">
        <v>596</v>
      </c>
      <c r="D249" s="17" t="s">
        <v>597</v>
      </c>
      <c r="E249" s="31" t="s">
        <v>615</v>
      </c>
      <c r="F249" s="18" t="s">
        <v>618</v>
      </c>
      <c r="G249" s="17" t="s">
        <v>619</v>
      </c>
      <c r="H249" s="17" t="s">
        <v>357</v>
      </c>
      <c r="I249" s="17">
        <f>+'[1]Sell in ko tính KDT'!I248</f>
        <v>9.3890387749040638</v>
      </c>
      <c r="J249" s="17">
        <f>+'[1]Sell in ko tính KDT'!J248</f>
        <v>17.641943770227577</v>
      </c>
      <c r="K249" s="17">
        <f>+'[1]Sell in ko tính KDT'!K248</f>
        <v>0</v>
      </c>
      <c r="L249" s="17">
        <v>0</v>
      </c>
      <c r="M249" s="17">
        <f t="shared" si="179"/>
        <v>27.030982545131643</v>
      </c>
      <c r="N249" s="17">
        <f>+'[1]Sell in ko tính KDT'!M248</f>
        <v>9.3890387749040638</v>
      </c>
      <c r="O249" s="17">
        <f>+'[1]Sell in ko tính KDT'!N248</f>
        <v>17.641943770227577</v>
      </c>
      <c r="P249" s="17">
        <f>+'[1]Sell in ko tính KDT'!O248</f>
        <v>0</v>
      </c>
      <c r="Q249" s="17">
        <v>0</v>
      </c>
      <c r="R249" s="17">
        <f t="shared" si="168"/>
        <v>27.030982545131643</v>
      </c>
      <c r="S249" s="17">
        <f>+'[1]Sell in ko tính KDT'!Q248</f>
        <v>9.3890387749040638</v>
      </c>
      <c r="T249" s="17">
        <f>+'[1]Sell in ko tính KDT'!R248</f>
        <v>17.641943770227577</v>
      </c>
      <c r="U249" s="17">
        <f>+'[1]Sell in ko tính KDT'!S248</f>
        <v>0</v>
      </c>
      <c r="V249" s="17">
        <v>0</v>
      </c>
      <c r="W249" s="17">
        <f t="shared" si="169"/>
        <v>27.030982545131643</v>
      </c>
      <c r="X249" s="17">
        <f>+'[1]Sell in ko tính KDT'!U248</f>
        <v>88.669313127581404</v>
      </c>
      <c r="Y249" s="17">
        <f>+'[1]Sell in ko tính KDT'!V248</f>
        <v>211.7033252427309</v>
      </c>
      <c r="Z249" s="17">
        <f>+'[1]Sell in ko tính KDT'!W248</f>
        <v>0</v>
      </c>
      <c r="AA249" s="17">
        <v>0</v>
      </c>
      <c r="AB249" s="17">
        <f t="shared" si="170"/>
        <v>300.3726383703123</v>
      </c>
      <c r="AC249" s="17">
        <f>+'[1]Sell in ko tính KDT'!Y248</f>
        <v>88.669313127581404</v>
      </c>
      <c r="AD249" s="17">
        <f>+'[1]Sell in ko tính KDT'!Z248</f>
        <v>211.7033252427309</v>
      </c>
      <c r="AE249" s="17">
        <f>+'[1]Sell in ko tính KDT'!AA248</f>
        <v>0</v>
      </c>
      <c r="AF249" s="17">
        <v>0</v>
      </c>
      <c r="AG249" s="17">
        <f t="shared" si="171"/>
        <v>300.3726383703123</v>
      </c>
      <c r="AH249" s="17">
        <f>+'[1]Sell in ko tính KDT'!AC248</f>
        <v>33</v>
      </c>
      <c r="AI249" s="17">
        <f>+'[1]Sell in ko tính KDT'!AD248</f>
        <v>27</v>
      </c>
      <c r="AJ249" s="17">
        <f>+'[1]Sell in ko tính KDT'!AE248</f>
        <v>0</v>
      </c>
      <c r="AK249" s="17">
        <v>0</v>
      </c>
      <c r="AL249" s="17">
        <f t="shared" si="172"/>
        <v>60</v>
      </c>
      <c r="AM249" s="17">
        <f>+'[1]Sell in ko tính KDT'!AG248</f>
        <v>22</v>
      </c>
      <c r="AN249" s="17">
        <f>+'[1]Sell in ko tính KDT'!AH248</f>
        <v>18</v>
      </c>
      <c r="AO249" s="17">
        <f>+'[1]Sell in ko tính KDT'!AI248</f>
        <v>0</v>
      </c>
      <c r="AP249" s="17">
        <v>0</v>
      </c>
      <c r="AQ249" s="17">
        <f t="shared" si="173"/>
        <v>40</v>
      </c>
      <c r="AR249" s="17">
        <f>+'[1]Sell in ko tính KDT'!AK248</f>
        <v>22</v>
      </c>
      <c r="AS249" s="17">
        <f>+'[1]Sell in ko tính KDT'!AL248</f>
        <v>18</v>
      </c>
      <c r="AT249" s="17">
        <f>+'[1]Sell in ko tính KDT'!AM248</f>
        <v>0</v>
      </c>
      <c r="AU249" s="17">
        <v>0</v>
      </c>
      <c r="AV249" s="17">
        <f t="shared" si="174"/>
        <v>40</v>
      </c>
      <c r="AW249" s="17">
        <f>+'[1]Sell in ko tính KDT'!AO248</f>
        <v>22</v>
      </c>
      <c r="AX249" s="17">
        <f>+'[1]Sell in ko tính KDT'!AP248</f>
        <v>18</v>
      </c>
      <c r="AY249" s="17">
        <f>+'[1]Sell in ko tính KDT'!AQ248</f>
        <v>0</v>
      </c>
      <c r="AZ249" s="17">
        <v>0</v>
      </c>
      <c r="BA249" s="17">
        <f t="shared" si="175"/>
        <v>40</v>
      </c>
      <c r="BB249" s="17">
        <f>+'[1]Sell in ko tính KDT'!AS248</f>
        <v>22</v>
      </c>
      <c r="BC249" s="17">
        <f>+'[1]Sell in ko tính KDT'!AT248</f>
        <v>18</v>
      </c>
      <c r="BD249" s="17">
        <f>+'[1]Sell in ko tính KDT'!AU248</f>
        <v>0</v>
      </c>
      <c r="BE249" s="17">
        <v>0</v>
      </c>
      <c r="BF249" s="17">
        <f t="shared" si="176"/>
        <v>40</v>
      </c>
      <c r="BG249" s="17">
        <f>+'[1]Sell in ko tính KDT'!AW248</f>
        <v>33</v>
      </c>
      <c r="BH249" s="17">
        <f>+'[1]Sell in ko tính KDT'!AX248</f>
        <v>27</v>
      </c>
      <c r="BI249" s="17">
        <f>+'[1]Sell in ko tính KDT'!AY248</f>
        <v>0</v>
      </c>
      <c r="BJ249" s="17">
        <v>0</v>
      </c>
      <c r="BK249" s="17">
        <f t="shared" si="177"/>
        <v>60</v>
      </c>
      <c r="BL249" s="17">
        <f>+'[1]Sell in ko tính KDT'!BA248</f>
        <v>22</v>
      </c>
      <c r="BM249" s="17">
        <f>+'[1]Sell in ko tính KDT'!BB248</f>
        <v>18</v>
      </c>
      <c r="BN249" s="17">
        <f>+'[1]Sell in ko tính KDT'!BC248</f>
        <v>0</v>
      </c>
      <c r="BO249" s="17">
        <v>0</v>
      </c>
      <c r="BP249" s="17">
        <f t="shared" si="164"/>
        <v>40</v>
      </c>
      <c r="BQ249" s="17">
        <f t="shared" si="178"/>
        <v>381.505742579875</v>
      </c>
      <c r="BR249" s="17">
        <f t="shared" si="178"/>
        <v>620.33248179614463</v>
      </c>
      <c r="BS249" s="17">
        <f t="shared" si="178"/>
        <v>0</v>
      </c>
      <c r="BT249" s="17">
        <f t="shared" si="178"/>
        <v>0</v>
      </c>
      <c r="BU249" s="17">
        <f t="shared" si="166"/>
        <v>1001.8382243760196</v>
      </c>
    </row>
    <row r="250" spans="1:73" s="46" customFormat="1" hidden="1" outlineLevel="1">
      <c r="A250" s="16" t="s">
        <v>493</v>
      </c>
      <c r="B250" s="17" t="s">
        <v>595</v>
      </c>
      <c r="C250" s="17" t="s">
        <v>620</v>
      </c>
      <c r="D250" s="17" t="s">
        <v>597</v>
      </c>
      <c r="E250" s="31" t="s">
        <v>615</v>
      </c>
      <c r="F250" s="18" t="s">
        <v>621</v>
      </c>
      <c r="G250" s="17" t="s">
        <v>622</v>
      </c>
      <c r="H250" s="17" t="s">
        <v>357</v>
      </c>
      <c r="I250" s="17">
        <f>+'[1]Sell in ko tính KDT'!I249</f>
        <v>30.653453398609031</v>
      </c>
      <c r="J250" s="17">
        <f>+'[1]Sell in ko tính KDT'!J249</f>
        <v>12.136512946075166</v>
      </c>
      <c r="K250" s="17">
        <f>+'[1]Sell in ko tính KDT'!K249</f>
        <v>2.4000000000000004</v>
      </c>
      <c r="L250" s="17">
        <v>0</v>
      </c>
      <c r="M250" s="17">
        <f t="shared" si="179"/>
        <v>45.189966344684194</v>
      </c>
      <c r="N250" s="17">
        <f>+'[1]Sell in ko tính KDT'!M249</f>
        <v>30.653453398609031</v>
      </c>
      <c r="O250" s="17">
        <f>+'[1]Sell in ko tính KDT'!N249</f>
        <v>12.136512946075161</v>
      </c>
      <c r="P250" s="17">
        <f>+'[1]Sell in ko tính KDT'!O249</f>
        <v>2.4000000000000004</v>
      </c>
      <c r="Q250" s="17">
        <v>0</v>
      </c>
      <c r="R250" s="17">
        <f t="shared" si="168"/>
        <v>45.189966344684187</v>
      </c>
      <c r="S250" s="17">
        <f>+'[1]Sell in ko tính KDT'!Q249</f>
        <v>30.653453398609031</v>
      </c>
      <c r="T250" s="17">
        <f>+'[1]Sell in ko tính KDT'!R249</f>
        <v>12.136512946075161</v>
      </c>
      <c r="U250" s="17">
        <f>+'[1]Sell in ko tính KDT'!S249</f>
        <v>2.4000000000000004</v>
      </c>
      <c r="V250" s="17">
        <v>0</v>
      </c>
      <c r="W250" s="17">
        <f t="shared" si="169"/>
        <v>45.189966344684187</v>
      </c>
      <c r="X250" s="17">
        <f>+'[1]Sell in ko tính KDT'!U249</f>
        <v>43.5</v>
      </c>
      <c r="Y250" s="17">
        <f>+'[1]Sell in ko tính KDT'!V249</f>
        <v>11.636172273281394</v>
      </c>
      <c r="Z250" s="17">
        <f>+'[1]Sell in ko tính KDT'!W249</f>
        <v>12</v>
      </c>
      <c r="AA250" s="17">
        <v>0</v>
      </c>
      <c r="AB250" s="17">
        <f t="shared" si="170"/>
        <v>67.136172273281403</v>
      </c>
      <c r="AC250" s="17">
        <f>+'[1]Sell in ko tính KDT'!Y249</f>
        <v>43.5</v>
      </c>
      <c r="AD250" s="17">
        <f>+'[1]Sell in ko tính KDT'!Z249</f>
        <v>14.836172273281393</v>
      </c>
      <c r="AE250" s="17">
        <f>+'[1]Sell in ko tính KDT'!AA249</f>
        <v>12</v>
      </c>
      <c r="AF250" s="17">
        <v>0</v>
      </c>
      <c r="AG250" s="17">
        <f t="shared" si="171"/>
        <v>70.336172273281392</v>
      </c>
      <c r="AH250" s="17">
        <f>+'[1]Sell in ko tính KDT'!AC249</f>
        <v>22</v>
      </c>
      <c r="AI250" s="17">
        <f>+'[1]Sell in ko tính KDT'!AD249</f>
        <v>18</v>
      </c>
      <c r="AJ250" s="17">
        <f>+'[1]Sell in ko tính KDT'!AE249</f>
        <v>0</v>
      </c>
      <c r="AK250" s="17">
        <v>0</v>
      </c>
      <c r="AL250" s="17">
        <f t="shared" si="172"/>
        <v>40</v>
      </c>
      <c r="AM250" s="17">
        <f>+'[1]Sell in ko tính KDT'!AG249</f>
        <v>22</v>
      </c>
      <c r="AN250" s="17">
        <f>+'[1]Sell in ko tính KDT'!AH249</f>
        <v>18</v>
      </c>
      <c r="AO250" s="17">
        <f>+'[1]Sell in ko tính KDT'!AI249</f>
        <v>0</v>
      </c>
      <c r="AP250" s="17">
        <v>0</v>
      </c>
      <c r="AQ250" s="17">
        <f t="shared" si="173"/>
        <v>40</v>
      </c>
      <c r="AR250" s="17">
        <f>+'[1]Sell in ko tính KDT'!AK249</f>
        <v>22</v>
      </c>
      <c r="AS250" s="17">
        <f>+'[1]Sell in ko tính KDT'!AL249</f>
        <v>18</v>
      </c>
      <c r="AT250" s="17">
        <f>+'[1]Sell in ko tính KDT'!AM249</f>
        <v>0</v>
      </c>
      <c r="AU250" s="17">
        <v>0</v>
      </c>
      <c r="AV250" s="17">
        <f t="shared" si="174"/>
        <v>40</v>
      </c>
      <c r="AW250" s="17">
        <f>+'[1]Sell in ko tính KDT'!AO249</f>
        <v>33</v>
      </c>
      <c r="AX250" s="17">
        <f>+'[1]Sell in ko tính KDT'!AP249</f>
        <v>27</v>
      </c>
      <c r="AY250" s="17">
        <f>+'[1]Sell in ko tính KDT'!AQ249</f>
        <v>0</v>
      </c>
      <c r="AZ250" s="17">
        <v>0</v>
      </c>
      <c r="BA250" s="17">
        <f t="shared" si="175"/>
        <v>60</v>
      </c>
      <c r="BB250" s="17">
        <f>+'[1]Sell in ko tính KDT'!AS249</f>
        <v>33</v>
      </c>
      <c r="BC250" s="17">
        <f>+'[1]Sell in ko tính KDT'!AT249</f>
        <v>27</v>
      </c>
      <c r="BD250" s="17">
        <f>+'[1]Sell in ko tính KDT'!AU249</f>
        <v>0</v>
      </c>
      <c r="BE250" s="17">
        <v>0</v>
      </c>
      <c r="BF250" s="17">
        <f t="shared" si="176"/>
        <v>60</v>
      </c>
      <c r="BG250" s="17">
        <f>+'[1]Sell in ko tính KDT'!AW249</f>
        <v>22</v>
      </c>
      <c r="BH250" s="17">
        <f>+'[1]Sell in ko tính KDT'!AX249</f>
        <v>18</v>
      </c>
      <c r="BI250" s="17">
        <f>+'[1]Sell in ko tính KDT'!AY249</f>
        <v>0</v>
      </c>
      <c r="BJ250" s="17">
        <v>0</v>
      </c>
      <c r="BK250" s="17">
        <f t="shared" si="177"/>
        <v>40</v>
      </c>
      <c r="BL250" s="17">
        <f>+'[1]Sell in ko tính KDT'!BA249</f>
        <v>22</v>
      </c>
      <c r="BM250" s="17">
        <f>+'[1]Sell in ko tính KDT'!BB249</f>
        <v>18</v>
      </c>
      <c r="BN250" s="17">
        <f>+'[1]Sell in ko tính KDT'!BC249</f>
        <v>0</v>
      </c>
      <c r="BO250" s="17">
        <v>0</v>
      </c>
      <c r="BP250" s="17">
        <f t="shared" si="164"/>
        <v>40</v>
      </c>
      <c r="BQ250" s="17">
        <f t="shared" si="178"/>
        <v>354.96036019582709</v>
      </c>
      <c r="BR250" s="17">
        <f t="shared" si="178"/>
        <v>206.88188338478827</v>
      </c>
      <c r="BS250" s="17">
        <f t="shared" si="178"/>
        <v>31.199999999999996</v>
      </c>
      <c r="BT250" s="17">
        <f t="shared" si="178"/>
        <v>0</v>
      </c>
      <c r="BU250" s="17">
        <f t="shared" si="166"/>
        <v>593.04224358061538</v>
      </c>
    </row>
    <row r="251" spans="1:73" s="46" customFormat="1" hidden="1" outlineLevel="1">
      <c r="A251" s="16" t="s">
        <v>493</v>
      </c>
      <c r="B251" s="17" t="s">
        <v>595</v>
      </c>
      <c r="C251" s="17" t="s">
        <v>546</v>
      </c>
      <c r="D251" s="17" t="s">
        <v>597</v>
      </c>
      <c r="E251" s="17" t="s">
        <v>597</v>
      </c>
      <c r="F251" s="18" t="s">
        <v>623</v>
      </c>
      <c r="G251" s="17" t="s">
        <v>624</v>
      </c>
      <c r="H251" s="17" t="s">
        <v>357</v>
      </c>
      <c r="I251" s="17">
        <f>+'[1]Sell in ko tính KDT'!I250</f>
        <v>0</v>
      </c>
      <c r="J251" s="17">
        <f>+'[1]Sell in ko tính KDT'!J250</f>
        <v>0</v>
      </c>
      <c r="K251" s="17">
        <f>+'[1]Sell in ko tính KDT'!K250</f>
        <v>0</v>
      </c>
      <c r="L251" s="17">
        <v>0</v>
      </c>
      <c r="M251" s="17">
        <f t="shared" si="179"/>
        <v>0</v>
      </c>
      <c r="N251" s="17">
        <f>+'[1]Sell in ko tính KDT'!M250</f>
        <v>0</v>
      </c>
      <c r="O251" s="17">
        <f>+'[1]Sell in ko tính KDT'!N250</f>
        <v>0</v>
      </c>
      <c r="P251" s="17">
        <f>+'[1]Sell in ko tính KDT'!O250</f>
        <v>0</v>
      </c>
      <c r="Q251" s="17">
        <v>0</v>
      </c>
      <c r="R251" s="17">
        <f t="shared" si="168"/>
        <v>0</v>
      </c>
      <c r="S251" s="17">
        <f>+'[1]Sell in ko tính KDT'!Q250</f>
        <v>0</v>
      </c>
      <c r="T251" s="17">
        <f>+'[1]Sell in ko tính KDT'!R250</f>
        <v>0</v>
      </c>
      <c r="U251" s="17">
        <f>+'[1]Sell in ko tính KDT'!S250</f>
        <v>0</v>
      </c>
      <c r="V251" s="17">
        <v>0</v>
      </c>
      <c r="W251" s="17">
        <f t="shared" si="169"/>
        <v>0</v>
      </c>
      <c r="X251" s="17">
        <f>+'[1]Sell in ko tính KDT'!U250</f>
        <v>0</v>
      </c>
      <c r="Y251" s="17">
        <f>+'[1]Sell in ko tính KDT'!V250</f>
        <v>0</v>
      </c>
      <c r="Z251" s="17">
        <f>+'[1]Sell in ko tính KDT'!W250</f>
        <v>0</v>
      </c>
      <c r="AA251" s="17">
        <v>0</v>
      </c>
      <c r="AB251" s="17">
        <f t="shared" si="170"/>
        <v>0</v>
      </c>
      <c r="AC251" s="17">
        <f>+'[1]Sell in ko tính KDT'!Y250</f>
        <v>66</v>
      </c>
      <c r="AD251" s="17">
        <f>+'[1]Sell in ko tính KDT'!Z250</f>
        <v>0</v>
      </c>
      <c r="AE251" s="17">
        <f>+'[1]Sell in ko tính KDT'!AA250</f>
        <v>0</v>
      </c>
      <c r="AF251" s="17">
        <v>0</v>
      </c>
      <c r="AG251" s="17">
        <f t="shared" si="171"/>
        <v>66</v>
      </c>
      <c r="AH251" s="17">
        <f>+'[1]Sell in ko tính KDT'!AC250</f>
        <v>0</v>
      </c>
      <c r="AI251" s="17">
        <f>+'[1]Sell in ko tính KDT'!AD250</f>
        <v>0</v>
      </c>
      <c r="AJ251" s="17">
        <f>+'[1]Sell in ko tính KDT'!AE250</f>
        <v>0</v>
      </c>
      <c r="AK251" s="17">
        <v>0</v>
      </c>
      <c r="AL251" s="17">
        <f t="shared" si="172"/>
        <v>0</v>
      </c>
      <c r="AM251" s="17">
        <f>+'[1]Sell in ko tính KDT'!AG250</f>
        <v>0</v>
      </c>
      <c r="AN251" s="17">
        <f>+'[1]Sell in ko tính KDT'!AH250</f>
        <v>0</v>
      </c>
      <c r="AO251" s="17">
        <f>+'[1]Sell in ko tính KDT'!AI250</f>
        <v>0</v>
      </c>
      <c r="AP251" s="17">
        <v>0</v>
      </c>
      <c r="AQ251" s="17">
        <f t="shared" si="173"/>
        <v>0</v>
      </c>
      <c r="AR251" s="17">
        <f>+'[1]Sell in ko tính KDT'!AK250</f>
        <v>0</v>
      </c>
      <c r="AS251" s="17">
        <f>+'[1]Sell in ko tính KDT'!AL250</f>
        <v>0</v>
      </c>
      <c r="AT251" s="17">
        <f>+'[1]Sell in ko tính KDT'!AM250</f>
        <v>0</v>
      </c>
      <c r="AU251" s="17">
        <v>0</v>
      </c>
      <c r="AV251" s="17">
        <f t="shared" si="174"/>
        <v>0</v>
      </c>
      <c r="AW251" s="17">
        <f>+'[1]Sell in ko tính KDT'!AO250</f>
        <v>0</v>
      </c>
      <c r="AX251" s="17">
        <f>+'[1]Sell in ko tính KDT'!AP250</f>
        <v>0</v>
      </c>
      <c r="AY251" s="17">
        <f>+'[1]Sell in ko tính KDT'!AQ250</f>
        <v>0</v>
      </c>
      <c r="AZ251" s="17">
        <v>0</v>
      </c>
      <c r="BA251" s="17">
        <f t="shared" si="175"/>
        <v>0</v>
      </c>
      <c r="BB251" s="17">
        <f>+'[1]Sell in ko tính KDT'!AS250</f>
        <v>0</v>
      </c>
      <c r="BC251" s="17">
        <f>+'[1]Sell in ko tính KDT'!AT250</f>
        <v>0</v>
      </c>
      <c r="BD251" s="17">
        <f>+'[1]Sell in ko tính KDT'!AU250</f>
        <v>0</v>
      </c>
      <c r="BE251" s="17">
        <v>0</v>
      </c>
      <c r="BF251" s="17">
        <f t="shared" si="176"/>
        <v>0</v>
      </c>
      <c r="BG251" s="17">
        <f>+'[1]Sell in ko tính KDT'!AW250</f>
        <v>0</v>
      </c>
      <c r="BH251" s="17">
        <f>+'[1]Sell in ko tính KDT'!AX250</f>
        <v>0</v>
      </c>
      <c r="BI251" s="17">
        <f>+'[1]Sell in ko tính KDT'!AY250</f>
        <v>0</v>
      </c>
      <c r="BJ251" s="17">
        <v>0</v>
      </c>
      <c r="BK251" s="17">
        <f t="shared" si="177"/>
        <v>0</v>
      </c>
      <c r="BL251" s="17">
        <f>+'[1]Sell in ko tính KDT'!BA250</f>
        <v>0</v>
      </c>
      <c r="BM251" s="17">
        <f>+'[1]Sell in ko tính KDT'!BB250</f>
        <v>0</v>
      </c>
      <c r="BN251" s="17">
        <f>+'[1]Sell in ko tính KDT'!BC250</f>
        <v>0</v>
      </c>
      <c r="BO251" s="17">
        <v>0</v>
      </c>
      <c r="BP251" s="17">
        <f t="shared" si="164"/>
        <v>0</v>
      </c>
      <c r="BQ251" s="17">
        <f t="shared" si="178"/>
        <v>66</v>
      </c>
      <c r="BR251" s="17">
        <f t="shared" si="178"/>
        <v>0</v>
      </c>
      <c r="BS251" s="17">
        <f t="shared" si="178"/>
        <v>0</v>
      </c>
      <c r="BT251" s="17">
        <f t="shared" si="178"/>
        <v>0</v>
      </c>
      <c r="BU251" s="17">
        <f t="shared" si="166"/>
        <v>66</v>
      </c>
    </row>
    <row r="252" spans="1:73" s="46" customFormat="1" hidden="1" outlineLevel="1">
      <c r="A252" s="16" t="s">
        <v>493</v>
      </c>
      <c r="B252" s="17" t="s">
        <v>595</v>
      </c>
      <c r="C252" s="17" t="s">
        <v>625</v>
      </c>
      <c r="D252" s="17" t="s">
        <v>597</v>
      </c>
      <c r="E252" s="17" t="s">
        <v>597</v>
      </c>
      <c r="F252" s="18" t="s">
        <v>626</v>
      </c>
      <c r="G252" s="17" t="s">
        <v>627</v>
      </c>
      <c r="H252" s="17" t="s">
        <v>357</v>
      </c>
      <c r="I252" s="17">
        <f>+'[1]Sell in ko tính KDT'!I251</f>
        <v>0</v>
      </c>
      <c r="J252" s="17">
        <f>+'[1]Sell in ko tính KDT'!J251</f>
        <v>0</v>
      </c>
      <c r="K252" s="17">
        <f>+'[1]Sell in ko tính KDT'!K251</f>
        <v>0</v>
      </c>
      <c r="L252" s="17">
        <v>0</v>
      </c>
      <c r="M252" s="17">
        <f t="shared" si="179"/>
        <v>0</v>
      </c>
      <c r="N252" s="17">
        <f>+'[1]Sell in ko tính KDT'!M251</f>
        <v>0</v>
      </c>
      <c r="O252" s="17">
        <f>+'[1]Sell in ko tính KDT'!N251</f>
        <v>0</v>
      </c>
      <c r="P252" s="17">
        <f>+'[1]Sell in ko tính KDT'!O251</f>
        <v>0</v>
      </c>
      <c r="Q252" s="17">
        <v>0</v>
      </c>
      <c r="R252" s="17">
        <f t="shared" si="168"/>
        <v>0</v>
      </c>
      <c r="S252" s="17">
        <f>+'[1]Sell in ko tính KDT'!Q251</f>
        <v>0</v>
      </c>
      <c r="T252" s="17">
        <f>+'[1]Sell in ko tính KDT'!R251</f>
        <v>0</v>
      </c>
      <c r="U252" s="17">
        <f>+'[1]Sell in ko tính KDT'!S251</f>
        <v>0</v>
      </c>
      <c r="V252" s="17">
        <v>0</v>
      </c>
      <c r="W252" s="17">
        <f t="shared" si="169"/>
        <v>0</v>
      </c>
      <c r="X252" s="17">
        <f>+'[1]Sell in ko tính KDT'!U251</f>
        <v>30</v>
      </c>
      <c r="Y252" s="17">
        <f>+'[1]Sell in ko tính KDT'!V251</f>
        <v>30</v>
      </c>
      <c r="Z252" s="17">
        <f>+'[1]Sell in ko tính KDT'!W251</f>
        <v>0</v>
      </c>
      <c r="AA252" s="17">
        <v>0</v>
      </c>
      <c r="AB252" s="17">
        <f t="shared" si="170"/>
        <v>60</v>
      </c>
      <c r="AC252" s="17">
        <f>+'[1]Sell in ko tính KDT'!Y251</f>
        <v>30</v>
      </c>
      <c r="AD252" s="17">
        <f>+'[1]Sell in ko tính KDT'!Z251</f>
        <v>30</v>
      </c>
      <c r="AE252" s="17">
        <f>+'[1]Sell in ko tính KDT'!AA251</f>
        <v>0</v>
      </c>
      <c r="AF252" s="17">
        <v>0</v>
      </c>
      <c r="AG252" s="17">
        <f t="shared" si="171"/>
        <v>60</v>
      </c>
      <c r="AH252" s="17">
        <f>+'[1]Sell in ko tính KDT'!AC251</f>
        <v>0</v>
      </c>
      <c r="AI252" s="17">
        <f>+'[1]Sell in ko tính KDT'!AD251</f>
        <v>0</v>
      </c>
      <c r="AJ252" s="17">
        <f>+'[1]Sell in ko tính KDT'!AE251</f>
        <v>0</v>
      </c>
      <c r="AK252" s="17">
        <v>0</v>
      </c>
      <c r="AL252" s="17">
        <f t="shared" si="172"/>
        <v>0</v>
      </c>
      <c r="AM252" s="17">
        <f>+'[1]Sell in ko tính KDT'!AG251</f>
        <v>0</v>
      </c>
      <c r="AN252" s="17">
        <f>+'[1]Sell in ko tính KDT'!AH251</f>
        <v>0</v>
      </c>
      <c r="AO252" s="17">
        <f>+'[1]Sell in ko tính KDT'!AI251</f>
        <v>0</v>
      </c>
      <c r="AP252" s="17">
        <v>0</v>
      </c>
      <c r="AQ252" s="17">
        <f t="shared" si="173"/>
        <v>0</v>
      </c>
      <c r="AR252" s="17">
        <f>+'[1]Sell in ko tính KDT'!AK251</f>
        <v>0</v>
      </c>
      <c r="AS252" s="17">
        <f>+'[1]Sell in ko tính KDT'!AL251</f>
        <v>0</v>
      </c>
      <c r="AT252" s="17">
        <f>+'[1]Sell in ko tính KDT'!AM251</f>
        <v>0</v>
      </c>
      <c r="AU252" s="17">
        <v>0</v>
      </c>
      <c r="AV252" s="17">
        <f t="shared" si="174"/>
        <v>0</v>
      </c>
      <c r="AW252" s="17">
        <f>+'[1]Sell in ko tính KDT'!AO251</f>
        <v>0</v>
      </c>
      <c r="AX252" s="17">
        <f>+'[1]Sell in ko tính KDT'!AP251</f>
        <v>0</v>
      </c>
      <c r="AY252" s="17">
        <f>+'[1]Sell in ko tính KDT'!AQ251</f>
        <v>0</v>
      </c>
      <c r="AZ252" s="17">
        <v>0</v>
      </c>
      <c r="BA252" s="17">
        <f t="shared" si="175"/>
        <v>0</v>
      </c>
      <c r="BB252" s="17">
        <f>+'[1]Sell in ko tính KDT'!AS251</f>
        <v>0</v>
      </c>
      <c r="BC252" s="17">
        <f>+'[1]Sell in ko tính KDT'!AT251</f>
        <v>0</v>
      </c>
      <c r="BD252" s="17">
        <f>+'[1]Sell in ko tính KDT'!AU251</f>
        <v>0</v>
      </c>
      <c r="BE252" s="17">
        <v>0</v>
      </c>
      <c r="BF252" s="17">
        <f t="shared" si="176"/>
        <v>0</v>
      </c>
      <c r="BG252" s="17">
        <f>+'[1]Sell in ko tính KDT'!AW251</f>
        <v>0</v>
      </c>
      <c r="BH252" s="17">
        <f>+'[1]Sell in ko tính KDT'!AX251</f>
        <v>0</v>
      </c>
      <c r="BI252" s="17">
        <f>+'[1]Sell in ko tính KDT'!AY251</f>
        <v>0</v>
      </c>
      <c r="BJ252" s="17">
        <v>0</v>
      </c>
      <c r="BK252" s="17">
        <f t="shared" si="177"/>
        <v>0</v>
      </c>
      <c r="BL252" s="17">
        <f>+'[1]Sell in ko tính KDT'!BA251</f>
        <v>0</v>
      </c>
      <c r="BM252" s="17">
        <f>+'[1]Sell in ko tính KDT'!BB251</f>
        <v>0</v>
      </c>
      <c r="BN252" s="17">
        <f>+'[1]Sell in ko tính KDT'!BC251</f>
        <v>0</v>
      </c>
      <c r="BO252" s="17">
        <v>0</v>
      </c>
      <c r="BP252" s="17">
        <f t="shared" si="164"/>
        <v>0</v>
      </c>
      <c r="BQ252" s="17">
        <f t="shared" si="178"/>
        <v>60</v>
      </c>
      <c r="BR252" s="17">
        <f t="shared" si="178"/>
        <v>60</v>
      </c>
      <c r="BS252" s="17">
        <f t="shared" si="178"/>
        <v>0</v>
      </c>
      <c r="BT252" s="17">
        <f t="shared" si="178"/>
        <v>0</v>
      </c>
      <c r="BU252" s="17">
        <f t="shared" si="166"/>
        <v>120</v>
      </c>
    </row>
    <row r="253" spans="1:73" s="46" customFormat="1" hidden="1" outlineLevel="1">
      <c r="A253" s="16" t="s">
        <v>493</v>
      </c>
      <c r="B253" s="17" t="s">
        <v>595</v>
      </c>
      <c r="C253" s="17" t="s">
        <v>614</v>
      </c>
      <c r="D253" s="17" t="s">
        <v>597</v>
      </c>
      <c r="E253" s="17" t="s">
        <v>597</v>
      </c>
      <c r="F253" s="18" t="s">
        <v>628</v>
      </c>
      <c r="G253" s="17" t="s">
        <v>629</v>
      </c>
      <c r="H253" s="17" t="s">
        <v>39</v>
      </c>
      <c r="I253" s="17">
        <f>+'[1]Sell in ko tính KDT'!I252</f>
        <v>50</v>
      </c>
      <c r="J253" s="17">
        <f>+'[1]Sell in ko tính KDT'!J252</f>
        <v>0</v>
      </c>
      <c r="K253" s="17">
        <f>+'[1]Sell in ko tính KDT'!K252</f>
        <v>0</v>
      </c>
      <c r="L253" s="17">
        <v>0</v>
      </c>
      <c r="M253" s="17">
        <f t="shared" si="179"/>
        <v>50</v>
      </c>
      <c r="N253" s="17">
        <f>+'[1]Sell in ko tính KDT'!M252</f>
        <v>60</v>
      </c>
      <c r="O253" s="17">
        <f>+'[1]Sell in ko tính KDT'!N252</f>
        <v>0</v>
      </c>
      <c r="P253" s="17">
        <f>+'[1]Sell in ko tính KDT'!O252</f>
        <v>0</v>
      </c>
      <c r="Q253" s="17">
        <v>0</v>
      </c>
      <c r="R253" s="17">
        <f t="shared" si="168"/>
        <v>60</v>
      </c>
      <c r="S253" s="17">
        <f>+'[1]Sell in ko tính KDT'!Q252</f>
        <v>60</v>
      </c>
      <c r="T253" s="17">
        <f>+'[1]Sell in ko tính KDT'!R252</f>
        <v>0</v>
      </c>
      <c r="U253" s="17">
        <f>+'[1]Sell in ko tính KDT'!S252</f>
        <v>0</v>
      </c>
      <c r="V253" s="17">
        <v>0</v>
      </c>
      <c r="W253" s="17">
        <f t="shared" si="169"/>
        <v>60</v>
      </c>
      <c r="X253" s="17">
        <f>+'[1]Sell in ko tính KDT'!U252</f>
        <v>60</v>
      </c>
      <c r="Y253" s="17">
        <f>+'[1]Sell in ko tính KDT'!V252</f>
        <v>0</v>
      </c>
      <c r="Z253" s="17">
        <f>+'[1]Sell in ko tính KDT'!W252</f>
        <v>0</v>
      </c>
      <c r="AA253" s="17">
        <v>0</v>
      </c>
      <c r="AB253" s="17">
        <f t="shared" si="170"/>
        <v>60</v>
      </c>
      <c r="AC253" s="17">
        <f>+'[1]Sell in ko tính KDT'!Y252</f>
        <v>60</v>
      </c>
      <c r="AD253" s="17">
        <f>+'[1]Sell in ko tính KDT'!Z252</f>
        <v>0</v>
      </c>
      <c r="AE253" s="17">
        <f>+'[1]Sell in ko tính KDT'!AA252</f>
        <v>0</v>
      </c>
      <c r="AF253" s="17">
        <v>0</v>
      </c>
      <c r="AG253" s="17">
        <f t="shared" si="171"/>
        <v>60</v>
      </c>
      <c r="AH253" s="17">
        <f>+'[1]Sell in ko tính KDT'!AC252</f>
        <v>0</v>
      </c>
      <c r="AI253" s="17">
        <f>+'[1]Sell in ko tính KDT'!AD252</f>
        <v>0</v>
      </c>
      <c r="AJ253" s="17">
        <f>+'[1]Sell in ko tính KDT'!AE252</f>
        <v>0</v>
      </c>
      <c r="AK253" s="17">
        <v>0</v>
      </c>
      <c r="AL253" s="17">
        <f t="shared" si="172"/>
        <v>0</v>
      </c>
      <c r="AM253" s="17">
        <f>+'[1]Sell in ko tính KDT'!AG252</f>
        <v>0</v>
      </c>
      <c r="AN253" s="17">
        <f>+'[1]Sell in ko tính KDT'!AH252</f>
        <v>0</v>
      </c>
      <c r="AO253" s="17">
        <f>+'[1]Sell in ko tính KDT'!AI252</f>
        <v>0</v>
      </c>
      <c r="AP253" s="17">
        <v>0</v>
      </c>
      <c r="AQ253" s="17">
        <f t="shared" si="173"/>
        <v>0</v>
      </c>
      <c r="AR253" s="17">
        <f>+'[1]Sell in ko tính KDT'!AK252</f>
        <v>0</v>
      </c>
      <c r="AS253" s="17">
        <f>+'[1]Sell in ko tính KDT'!AL252</f>
        <v>0</v>
      </c>
      <c r="AT253" s="17">
        <f>+'[1]Sell in ko tính KDT'!AM252</f>
        <v>0</v>
      </c>
      <c r="AU253" s="17">
        <v>0</v>
      </c>
      <c r="AV253" s="17">
        <f t="shared" si="174"/>
        <v>0</v>
      </c>
      <c r="AW253" s="17">
        <f>+'[1]Sell in ko tính KDT'!AO252</f>
        <v>0</v>
      </c>
      <c r="AX253" s="17">
        <f>+'[1]Sell in ko tính KDT'!AP252</f>
        <v>0</v>
      </c>
      <c r="AY253" s="17">
        <f>+'[1]Sell in ko tính KDT'!AQ252</f>
        <v>0</v>
      </c>
      <c r="AZ253" s="17">
        <v>0</v>
      </c>
      <c r="BA253" s="17">
        <f t="shared" si="175"/>
        <v>0</v>
      </c>
      <c r="BB253" s="17">
        <f>+'[1]Sell in ko tính KDT'!AS252</f>
        <v>0</v>
      </c>
      <c r="BC253" s="17">
        <f>+'[1]Sell in ko tính KDT'!AT252</f>
        <v>0</v>
      </c>
      <c r="BD253" s="17">
        <f>+'[1]Sell in ko tính KDT'!AU252</f>
        <v>0</v>
      </c>
      <c r="BE253" s="17">
        <v>0</v>
      </c>
      <c r="BF253" s="17">
        <f t="shared" si="176"/>
        <v>0</v>
      </c>
      <c r="BG253" s="17">
        <f>+'[1]Sell in ko tính KDT'!AW252</f>
        <v>0</v>
      </c>
      <c r="BH253" s="17">
        <f>+'[1]Sell in ko tính KDT'!AX252</f>
        <v>0</v>
      </c>
      <c r="BI253" s="17">
        <f>+'[1]Sell in ko tính KDT'!AY252</f>
        <v>0</v>
      </c>
      <c r="BJ253" s="17">
        <v>0</v>
      </c>
      <c r="BK253" s="17">
        <f t="shared" si="177"/>
        <v>0</v>
      </c>
      <c r="BL253" s="17">
        <f>+'[1]Sell in ko tính KDT'!BA252</f>
        <v>0</v>
      </c>
      <c r="BM253" s="17">
        <f>+'[1]Sell in ko tính KDT'!BB252</f>
        <v>0</v>
      </c>
      <c r="BN253" s="17">
        <f>+'[1]Sell in ko tính KDT'!BC252</f>
        <v>0</v>
      </c>
      <c r="BO253" s="17">
        <v>0</v>
      </c>
      <c r="BP253" s="17">
        <f t="shared" si="164"/>
        <v>0</v>
      </c>
      <c r="BQ253" s="17">
        <f t="shared" si="178"/>
        <v>290</v>
      </c>
      <c r="BR253" s="17">
        <f t="shared" si="178"/>
        <v>0</v>
      </c>
      <c r="BS253" s="17">
        <f t="shared" si="178"/>
        <v>0</v>
      </c>
      <c r="BT253" s="17">
        <f t="shared" si="178"/>
        <v>0</v>
      </c>
      <c r="BU253" s="17">
        <f t="shared" si="166"/>
        <v>290</v>
      </c>
    </row>
    <row r="254" spans="1:73" s="46" customFormat="1" hidden="1" outlineLevel="1">
      <c r="A254" s="16" t="s">
        <v>493</v>
      </c>
      <c r="B254" s="17" t="s">
        <v>595</v>
      </c>
      <c r="C254" s="17" t="s">
        <v>630</v>
      </c>
      <c r="D254" s="17" t="s">
        <v>597</v>
      </c>
      <c r="E254" s="17" t="s">
        <v>597</v>
      </c>
      <c r="F254" s="18" t="s">
        <v>631</v>
      </c>
      <c r="G254" s="17" t="s">
        <v>632</v>
      </c>
      <c r="H254" s="17" t="s">
        <v>39</v>
      </c>
      <c r="I254" s="17">
        <f>+'[1]Sell in ko tính KDT'!I253</f>
        <v>0</v>
      </c>
      <c r="J254" s="17">
        <f>+'[1]Sell in ko tính KDT'!J253</f>
        <v>0</v>
      </c>
      <c r="K254" s="17">
        <f>+'[1]Sell in ko tính KDT'!K253</f>
        <v>0</v>
      </c>
      <c r="L254" s="17">
        <v>0</v>
      </c>
      <c r="M254" s="17">
        <f t="shared" si="179"/>
        <v>0</v>
      </c>
      <c r="N254" s="17">
        <f>+'[1]Sell in ko tính KDT'!M253</f>
        <v>0</v>
      </c>
      <c r="O254" s="17">
        <f>+'[1]Sell in ko tính KDT'!N253</f>
        <v>0</v>
      </c>
      <c r="P254" s="17">
        <f>+'[1]Sell in ko tính KDT'!O253</f>
        <v>0</v>
      </c>
      <c r="Q254" s="17">
        <v>0</v>
      </c>
      <c r="R254" s="17">
        <f t="shared" si="168"/>
        <v>0</v>
      </c>
      <c r="S254" s="17">
        <f>+'[1]Sell in ko tính KDT'!Q253</f>
        <v>0</v>
      </c>
      <c r="T254" s="17">
        <f>+'[1]Sell in ko tính KDT'!R253</f>
        <v>0</v>
      </c>
      <c r="U254" s="17">
        <f>+'[1]Sell in ko tính KDT'!S253</f>
        <v>0</v>
      </c>
      <c r="V254" s="17">
        <v>0</v>
      </c>
      <c r="W254" s="17">
        <f t="shared" si="169"/>
        <v>0</v>
      </c>
      <c r="X254" s="17">
        <f>+'[1]Sell in ko tính KDT'!U253</f>
        <v>0</v>
      </c>
      <c r="Y254" s="17">
        <f>+'[1]Sell in ko tính KDT'!V253</f>
        <v>0</v>
      </c>
      <c r="Z254" s="17">
        <f>+'[1]Sell in ko tính KDT'!W253</f>
        <v>0</v>
      </c>
      <c r="AA254" s="17">
        <v>0</v>
      </c>
      <c r="AB254" s="17">
        <f t="shared" si="170"/>
        <v>0</v>
      </c>
      <c r="AC254" s="17">
        <f>+'[1]Sell in ko tính KDT'!Y253</f>
        <v>0</v>
      </c>
      <c r="AD254" s="17">
        <f>+'[1]Sell in ko tính KDT'!Z253</f>
        <v>0</v>
      </c>
      <c r="AE254" s="17">
        <f>+'[1]Sell in ko tính KDT'!AA253</f>
        <v>0</v>
      </c>
      <c r="AF254" s="17">
        <v>0</v>
      </c>
      <c r="AG254" s="17">
        <f t="shared" si="171"/>
        <v>0</v>
      </c>
      <c r="AH254" s="17">
        <f>+'[1]Sell in ko tính KDT'!AC253</f>
        <v>0</v>
      </c>
      <c r="AI254" s="17">
        <f>+'[1]Sell in ko tính KDT'!AD253</f>
        <v>0</v>
      </c>
      <c r="AJ254" s="17">
        <f>+'[1]Sell in ko tính KDT'!AE253</f>
        <v>0</v>
      </c>
      <c r="AK254" s="17">
        <v>0</v>
      </c>
      <c r="AL254" s="17">
        <f t="shared" si="172"/>
        <v>0</v>
      </c>
      <c r="AM254" s="17">
        <f>+'[1]Sell in ko tính KDT'!AG253</f>
        <v>0</v>
      </c>
      <c r="AN254" s="17">
        <f>+'[1]Sell in ko tính KDT'!AH253</f>
        <v>0</v>
      </c>
      <c r="AO254" s="17">
        <f>+'[1]Sell in ko tính KDT'!AI253</f>
        <v>0</v>
      </c>
      <c r="AP254" s="17">
        <v>0</v>
      </c>
      <c r="AQ254" s="17">
        <f t="shared" si="173"/>
        <v>0</v>
      </c>
      <c r="AR254" s="17">
        <f>+'[1]Sell in ko tính KDT'!AK253</f>
        <v>0</v>
      </c>
      <c r="AS254" s="17">
        <f>+'[1]Sell in ko tính KDT'!AL253</f>
        <v>0</v>
      </c>
      <c r="AT254" s="17">
        <f>+'[1]Sell in ko tính KDT'!AM253</f>
        <v>0</v>
      </c>
      <c r="AU254" s="17">
        <v>0</v>
      </c>
      <c r="AV254" s="17">
        <f t="shared" si="174"/>
        <v>0</v>
      </c>
      <c r="AW254" s="17">
        <f>+'[1]Sell in ko tính KDT'!AO253</f>
        <v>0</v>
      </c>
      <c r="AX254" s="17">
        <f>+'[1]Sell in ko tính KDT'!AP253</f>
        <v>0</v>
      </c>
      <c r="AY254" s="17">
        <f>+'[1]Sell in ko tính KDT'!AQ253</f>
        <v>0</v>
      </c>
      <c r="AZ254" s="17">
        <v>0</v>
      </c>
      <c r="BA254" s="17">
        <f t="shared" si="175"/>
        <v>0</v>
      </c>
      <c r="BB254" s="17">
        <f>+'[1]Sell in ko tính KDT'!AS253</f>
        <v>0</v>
      </c>
      <c r="BC254" s="17">
        <f>+'[1]Sell in ko tính KDT'!AT253</f>
        <v>0</v>
      </c>
      <c r="BD254" s="17">
        <f>+'[1]Sell in ko tính KDT'!AU253</f>
        <v>0</v>
      </c>
      <c r="BE254" s="17">
        <v>0</v>
      </c>
      <c r="BF254" s="17">
        <f t="shared" si="176"/>
        <v>0</v>
      </c>
      <c r="BG254" s="17">
        <f>+'[1]Sell in ko tính KDT'!AW253</f>
        <v>0</v>
      </c>
      <c r="BH254" s="17">
        <f>+'[1]Sell in ko tính KDT'!AX253</f>
        <v>0</v>
      </c>
      <c r="BI254" s="17">
        <f>+'[1]Sell in ko tính KDT'!AY253</f>
        <v>0</v>
      </c>
      <c r="BJ254" s="17">
        <v>0</v>
      </c>
      <c r="BK254" s="17">
        <f t="shared" si="177"/>
        <v>0</v>
      </c>
      <c r="BL254" s="17">
        <f>+'[1]Sell in ko tính KDT'!BA253</f>
        <v>0</v>
      </c>
      <c r="BM254" s="17">
        <f>+'[1]Sell in ko tính KDT'!BB253</f>
        <v>0</v>
      </c>
      <c r="BN254" s="17">
        <f>+'[1]Sell in ko tính KDT'!BC253</f>
        <v>0</v>
      </c>
      <c r="BO254" s="17">
        <v>0</v>
      </c>
      <c r="BP254" s="17">
        <f t="shared" si="164"/>
        <v>0</v>
      </c>
      <c r="BQ254" s="17">
        <f t="shared" si="178"/>
        <v>0</v>
      </c>
      <c r="BR254" s="17">
        <f t="shared" si="178"/>
        <v>0</v>
      </c>
      <c r="BS254" s="17">
        <f t="shared" si="178"/>
        <v>0</v>
      </c>
      <c r="BT254" s="17">
        <f t="shared" si="178"/>
        <v>0</v>
      </c>
      <c r="BU254" s="17">
        <f t="shared" si="166"/>
        <v>0</v>
      </c>
    </row>
    <row r="255" spans="1:73" s="38" customFormat="1" collapsed="1">
      <c r="A255" s="24" t="s">
        <v>493</v>
      </c>
      <c r="B255" s="25" t="s">
        <v>633</v>
      </c>
      <c r="C255" s="25"/>
      <c r="D255" s="26"/>
      <c r="E255" s="25" t="s">
        <v>182</v>
      </c>
      <c r="F255" s="25"/>
      <c r="G255" s="25" t="s">
        <v>633</v>
      </c>
      <c r="H255" s="25"/>
      <c r="I255" s="25">
        <f>SUM(I242:I254)</f>
        <v>228.62126981641734</v>
      </c>
      <c r="J255" s="25">
        <f t="shared" ref="J255:BU255" si="180">SUM(J242:J254)</f>
        <v>172.02747847486813</v>
      </c>
      <c r="K255" s="25">
        <f t="shared" si="180"/>
        <v>2.4000000000000004</v>
      </c>
      <c r="L255" s="25">
        <f t="shared" si="180"/>
        <v>0</v>
      </c>
      <c r="M255" s="25">
        <f t="shared" si="180"/>
        <v>403.04874829128545</v>
      </c>
      <c r="N255" s="25">
        <f t="shared" si="180"/>
        <v>239.02126981641734</v>
      </c>
      <c r="O255" s="25">
        <f t="shared" si="180"/>
        <v>188.68802872124172</v>
      </c>
      <c r="P255" s="25">
        <f t="shared" si="180"/>
        <v>2.4000000000000004</v>
      </c>
      <c r="Q255" s="25">
        <f t="shared" si="180"/>
        <v>0</v>
      </c>
      <c r="R255" s="25">
        <f t="shared" si="180"/>
        <v>430.10929853765901</v>
      </c>
      <c r="S255" s="25">
        <f t="shared" si="180"/>
        <v>240.62126981641737</v>
      </c>
      <c r="T255" s="25">
        <f t="shared" si="180"/>
        <v>188.68802872124169</v>
      </c>
      <c r="U255" s="25">
        <f t="shared" si="180"/>
        <v>2.4000000000000004</v>
      </c>
      <c r="V255" s="25">
        <f t="shared" si="180"/>
        <v>0</v>
      </c>
      <c r="W255" s="25">
        <f t="shared" si="180"/>
        <v>431.70929853765898</v>
      </c>
      <c r="X255" s="25">
        <f t="shared" si="180"/>
        <v>513.42511830201659</v>
      </c>
      <c r="Y255" s="25">
        <f t="shared" si="180"/>
        <v>571.83188811746061</v>
      </c>
      <c r="Z255" s="25">
        <f t="shared" si="180"/>
        <v>13</v>
      </c>
      <c r="AA255" s="25">
        <f t="shared" si="180"/>
        <v>0</v>
      </c>
      <c r="AB255" s="25">
        <f t="shared" si="180"/>
        <v>1098.2570064194772</v>
      </c>
      <c r="AC255" s="25">
        <f t="shared" si="180"/>
        <v>580.42511830201659</v>
      </c>
      <c r="AD255" s="25">
        <f t="shared" si="180"/>
        <v>545.85462735038061</v>
      </c>
      <c r="AE255" s="25">
        <f t="shared" si="180"/>
        <v>13</v>
      </c>
      <c r="AF255" s="25">
        <f t="shared" si="180"/>
        <v>0</v>
      </c>
      <c r="AG255" s="25">
        <f t="shared" si="180"/>
        <v>1139.2797456523972</v>
      </c>
      <c r="AH255" s="25">
        <f t="shared" si="180"/>
        <v>99</v>
      </c>
      <c r="AI255" s="25">
        <f t="shared" si="180"/>
        <v>81</v>
      </c>
      <c r="AJ255" s="25">
        <f t="shared" si="180"/>
        <v>0</v>
      </c>
      <c r="AK255" s="25">
        <f t="shared" si="180"/>
        <v>0</v>
      </c>
      <c r="AL255" s="25">
        <f t="shared" si="180"/>
        <v>180</v>
      </c>
      <c r="AM255" s="25">
        <f t="shared" si="180"/>
        <v>99</v>
      </c>
      <c r="AN255" s="25">
        <f t="shared" si="180"/>
        <v>81</v>
      </c>
      <c r="AO255" s="25">
        <f t="shared" si="180"/>
        <v>0</v>
      </c>
      <c r="AP255" s="25">
        <f t="shared" si="180"/>
        <v>0</v>
      </c>
      <c r="AQ255" s="25">
        <f t="shared" si="180"/>
        <v>180</v>
      </c>
      <c r="AR255" s="25">
        <f t="shared" si="180"/>
        <v>107</v>
      </c>
      <c r="AS255" s="25">
        <f t="shared" si="180"/>
        <v>83</v>
      </c>
      <c r="AT255" s="25">
        <f t="shared" si="180"/>
        <v>0</v>
      </c>
      <c r="AU255" s="25">
        <f t="shared" si="180"/>
        <v>0</v>
      </c>
      <c r="AV255" s="25">
        <f t="shared" si="180"/>
        <v>190</v>
      </c>
      <c r="AW255" s="25">
        <f t="shared" si="180"/>
        <v>99</v>
      </c>
      <c r="AX255" s="25">
        <f t="shared" si="180"/>
        <v>81</v>
      </c>
      <c r="AY255" s="25">
        <f t="shared" si="180"/>
        <v>0</v>
      </c>
      <c r="AZ255" s="25">
        <f t="shared" si="180"/>
        <v>0</v>
      </c>
      <c r="BA255" s="25">
        <f t="shared" si="180"/>
        <v>180</v>
      </c>
      <c r="BB255" s="25">
        <f t="shared" si="180"/>
        <v>99</v>
      </c>
      <c r="BC255" s="25">
        <f t="shared" si="180"/>
        <v>81</v>
      </c>
      <c r="BD255" s="25">
        <f t="shared" si="180"/>
        <v>0</v>
      </c>
      <c r="BE255" s="25">
        <f t="shared" si="180"/>
        <v>0</v>
      </c>
      <c r="BF255" s="25">
        <f t="shared" si="180"/>
        <v>180</v>
      </c>
      <c r="BG255" s="25">
        <f t="shared" si="180"/>
        <v>77</v>
      </c>
      <c r="BH255" s="25">
        <f t="shared" si="180"/>
        <v>63</v>
      </c>
      <c r="BI255" s="25">
        <f t="shared" si="180"/>
        <v>0</v>
      </c>
      <c r="BJ255" s="25">
        <f t="shared" si="180"/>
        <v>0</v>
      </c>
      <c r="BK255" s="25">
        <f t="shared" si="180"/>
        <v>140</v>
      </c>
      <c r="BL255" s="25">
        <f t="shared" si="180"/>
        <v>77</v>
      </c>
      <c r="BM255" s="25">
        <f t="shared" si="180"/>
        <v>63</v>
      </c>
      <c r="BN255" s="25">
        <f t="shared" si="180"/>
        <v>0</v>
      </c>
      <c r="BO255" s="25">
        <f t="shared" si="180"/>
        <v>0</v>
      </c>
      <c r="BP255" s="25">
        <f t="shared" si="180"/>
        <v>140</v>
      </c>
      <c r="BQ255" s="25">
        <f t="shared" si="180"/>
        <v>2459.1140460532852</v>
      </c>
      <c r="BR255" s="25">
        <f t="shared" si="180"/>
        <v>2200.0900513851925</v>
      </c>
      <c r="BS255" s="25">
        <f t="shared" si="180"/>
        <v>33.199999999999996</v>
      </c>
      <c r="BT255" s="25">
        <f t="shared" si="180"/>
        <v>0</v>
      </c>
      <c r="BU255" s="25">
        <f t="shared" si="180"/>
        <v>4692.4040974384789</v>
      </c>
    </row>
    <row r="256" spans="1:73" s="38" customFormat="1">
      <c r="A256" s="43" t="s">
        <v>493</v>
      </c>
      <c r="B256" s="74" t="s">
        <v>634</v>
      </c>
      <c r="C256" s="34"/>
      <c r="D256" s="35"/>
      <c r="E256" s="34"/>
      <c r="F256" s="34"/>
      <c r="G256" s="74" t="s">
        <v>634</v>
      </c>
      <c r="H256" s="34"/>
      <c r="I256" s="34">
        <f>+I255+I241+I228</f>
        <v>1616.5724500105193</v>
      </c>
      <c r="J256" s="34">
        <f t="shared" ref="J256:BU256" si="181">+J255+J241+J228</f>
        <v>1099.1640286197839</v>
      </c>
      <c r="K256" s="34">
        <f t="shared" si="181"/>
        <v>3.2180000000000004</v>
      </c>
      <c r="L256" s="34">
        <f t="shared" si="181"/>
        <v>0</v>
      </c>
      <c r="M256" s="34">
        <f t="shared" si="181"/>
        <v>2718.9544786303031</v>
      </c>
      <c r="N256" s="34">
        <f t="shared" si="181"/>
        <v>1635.8212480780935</v>
      </c>
      <c r="O256" s="34">
        <f t="shared" si="181"/>
        <v>1122.0076157954059</v>
      </c>
      <c r="P256" s="34">
        <f t="shared" si="181"/>
        <v>3.4893770000000002</v>
      </c>
      <c r="Q256" s="34">
        <f t="shared" si="181"/>
        <v>0</v>
      </c>
      <c r="R256" s="34">
        <f t="shared" si="181"/>
        <v>2761.3182408734988</v>
      </c>
      <c r="S256" s="34">
        <f t="shared" si="181"/>
        <v>2022.1502497977299</v>
      </c>
      <c r="T256" s="34">
        <f t="shared" si="181"/>
        <v>1343.4914048622682</v>
      </c>
      <c r="U256" s="34">
        <f t="shared" si="181"/>
        <v>3.2180000000000004</v>
      </c>
      <c r="V256" s="34">
        <f t="shared" si="181"/>
        <v>0</v>
      </c>
      <c r="W256" s="34">
        <f t="shared" si="181"/>
        <v>3368.8596546599979</v>
      </c>
      <c r="X256" s="34">
        <f t="shared" si="181"/>
        <v>2279.0985954179632</v>
      </c>
      <c r="Y256" s="34">
        <f t="shared" si="181"/>
        <v>1758.2618702347231</v>
      </c>
      <c r="Z256" s="34">
        <f t="shared" si="181"/>
        <v>13.818</v>
      </c>
      <c r="AA256" s="34">
        <f t="shared" si="181"/>
        <v>0</v>
      </c>
      <c r="AB256" s="34">
        <f t="shared" si="181"/>
        <v>4051.1784656526861</v>
      </c>
      <c r="AC256" s="34">
        <f t="shared" si="181"/>
        <v>2326.1888578327735</v>
      </c>
      <c r="AD256" s="34">
        <f t="shared" si="181"/>
        <v>1758.5388682233718</v>
      </c>
      <c r="AE256" s="34">
        <f t="shared" si="181"/>
        <v>13.818</v>
      </c>
      <c r="AF256" s="34">
        <f t="shared" si="181"/>
        <v>0</v>
      </c>
      <c r="AG256" s="34">
        <f t="shared" si="181"/>
        <v>4098.5457260561452</v>
      </c>
      <c r="AH256" s="34">
        <f t="shared" si="181"/>
        <v>1439</v>
      </c>
      <c r="AI256" s="34">
        <f t="shared" si="181"/>
        <v>1037</v>
      </c>
      <c r="AJ256" s="34">
        <f t="shared" si="181"/>
        <v>0</v>
      </c>
      <c r="AK256" s="34">
        <f t="shared" si="181"/>
        <v>0</v>
      </c>
      <c r="AL256" s="34">
        <f t="shared" si="181"/>
        <v>2476</v>
      </c>
      <c r="AM256" s="34">
        <f t="shared" si="181"/>
        <v>1824</v>
      </c>
      <c r="AN256" s="34">
        <f t="shared" si="181"/>
        <v>1356</v>
      </c>
      <c r="AO256" s="34">
        <f t="shared" si="181"/>
        <v>0</v>
      </c>
      <c r="AP256" s="34">
        <f t="shared" si="181"/>
        <v>0</v>
      </c>
      <c r="AQ256" s="34">
        <f t="shared" si="181"/>
        <v>3180</v>
      </c>
      <c r="AR256" s="34">
        <f t="shared" si="181"/>
        <v>1832</v>
      </c>
      <c r="AS256" s="34">
        <f t="shared" si="181"/>
        <v>1358</v>
      </c>
      <c r="AT256" s="34">
        <f t="shared" si="181"/>
        <v>0</v>
      </c>
      <c r="AU256" s="34">
        <f t="shared" si="181"/>
        <v>0</v>
      </c>
      <c r="AV256" s="34">
        <f t="shared" si="181"/>
        <v>3190</v>
      </c>
      <c r="AW256" s="34">
        <f t="shared" si="181"/>
        <v>1834</v>
      </c>
      <c r="AX256" s="34">
        <f t="shared" si="181"/>
        <v>1356</v>
      </c>
      <c r="AY256" s="34">
        <f t="shared" si="181"/>
        <v>0</v>
      </c>
      <c r="AZ256" s="34">
        <f t="shared" si="181"/>
        <v>0</v>
      </c>
      <c r="BA256" s="34">
        <f t="shared" si="181"/>
        <v>3190</v>
      </c>
      <c r="BB256" s="34">
        <f t="shared" si="181"/>
        <v>1819</v>
      </c>
      <c r="BC256" s="34">
        <f t="shared" si="181"/>
        <v>1356</v>
      </c>
      <c r="BD256" s="34">
        <f t="shared" si="181"/>
        <v>0</v>
      </c>
      <c r="BE256" s="34">
        <f t="shared" si="181"/>
        <v>0</v>
      </c>
      <c r="BF256" s="34">
        <f t="shared" si="181"/>
        <v>3175</v>
      </c>
      <c r="BG256" s="34">
        <f t="shared" si="181"/>
        <v>1797</v>
      </c>
      <c r="BH256" s="34">
        <f t="shared" si="181"/>
        <v>1338</v>
      </c>
      <c r="BI256" s="34">
        <f t="shared" si="181"/>
        <v>0</v>
      </c>
      <c r="BJ256" s="34">
        <f t="shared" si="181"/>
        <v>0</v>
      </c>
      <c r="BK256" s="34">
        <f t="shared" si="181"/>
        <v>3135</v>
      </c>
      <c r="BL256" s="34">
        <f t="shared" si="181"/>
        <v>1822</v>
      </c>
      <c r="BM256" s="34">
        <f t="shared" si="181"/>
        <v>1338</v>
      </c>
      <c r="BN256" s="34">
        <f t="shared" si="181"/>
        <v>0</v>
      </c>
      <c r="BO256" s="34">
        <f t="shared" si="181"/>
        <v>0</v>
      </c>
      <c r="BP256" s="34">
        <f t="shared" si="181"/>
        <v>3160</v>
      </c>
      <c r="BQ256" s="34">
        <f t="shared" si="181"/>
        <v>22246.831401137079</v>
      </c>
      <c r="BR256" s="34">
        <f t="shared" si="181"/>
        <v>16220.463787735553</v>
      </c>
      <c r="BS256" s="34">
        <f t="shared" si="181"/>
        <v>37.561376999999993</v>
      </c>
      <c r="BT256" s="34">
        <f t="shared" si="181"/>
        <v>0</v>
      </c>
      <c r="BU256" s="34">
        <f t="shared" si="181"/>
        <v>38504.856565872629</v>
      </c>
    </row>
    <row r="257" spans="1:79" s="46" customFormat="1" hidden="1" outlineLevel="1">
      <c r="A257" s="16" t="s">
        <v>635</v>
      </c>
      <c r="B257" s="75" t="s">
        <v>636</v>
      </c>
      <c r="C257" s="17"/>
      <c r="D257" s="76"/>
      <c r="E257" s="17" t="s">
        <v>637</v>
      </c>
      <c r="F257" s="17"/>
      <c r="G257" s="75" t="s">
        <v>636</v>
      </c>
      <c r="H257" s="17"/>
      <c r="I257" s="17">
        <v>1976.2841467744111</v>
      </c>
      <c r="J257" s="17">
        <v>290.04000455393373</v>
      </c>
      <c r="K257" s="17"/>
      <c r="L257" s="17"/>
      <c r="M257" s="17">
        <f t="shared" ref="M257" si="182">I257+J257+L257+K257</f>
        <v>2266.3241513283447</v>
      </c>
      <c r="N257" s="17">
        <v>1800.1174525193601</v>
      </c>
      <c r="O257" s="17">
        <v>199.88254748064119</v>
      </c>
      <c r="P257" s="17"/>
      <c r="Q257" s="17"/>
      <c r="R257" s="17">
        <f>N257+O257+Q257+P257</f>
        <v>2000.0000000000014</v>
      </c>
      <c r="S257" s="17">
        <v>2182.6409430232329</v>
      </c>
      <c r="T257" s="17">
        <v>239.85905697676915</v>
      </c>
      <c r="U257" s="17"/>
      <c r="V257" s="17"/>
      <c r="W257" s="17">
        <f t="shared" ref="W257" si="183">S257+T257+V257+U257</f>
        <v>2422.5000000000023</v>
      </c>
      <c r="X257" s="17">
        <v>2217.6468156492001</v>
      </c>
      <c r="Y257" s="17">
        <v>249.85318435080001</v>
      </c>
      <c r="Z257" s="17"/>
      <c r="AA257" s="17"/>
      <c r="AB257" s="17">
        <f t="shared" ref="AB257" si="184">X257+Y257+AA257+Z257</f>
        <v>2467.5</v>
      </c>
      <c r="AC257" s="17">
        <v>2131.1409430232325</v>
      </c>
      <c r="AD257" s="17">
        <v>248.85905697676907</v>
      </c>
      <c r="AE257" s="17"/>
      <c r="AF257" s="17"/>
      <c r="AG257" s="17">
        <f t="shared" ref="AG257" si="185">AC257+AD257+AF257+AE257</f>
        <v>2380.0000000000014</v>
      </c>
      <c r="AH257" s="17">
        <v>2420.1585609011368</v>
      </c>
      <c r="AI257" s="17">
        <v>269.8414390988641</v>
      </c>
      <c r="AJ257" s="17"/>
      <c r="AK257" s="17"/>
      <c r="AL257" s="17">
        <f t="shared" ref="AL257" si="186">AH257+AI257+AK257+AJ257</f>
        <v>2690.0000000000009</v>
      </c>
      <c r="AM257" s="17">
        <v>2737.3721787790396</v>
      </c>
      <c r="AN257" s="17">
        <v>252.62782122096067</v>
      </c>
      <c r="AO257" s="17"/>
      <c r="AP257" s="17"/>
      <c r="AQ257" s="17">
        <f t="shared" ref="AQ257" si="187">AM257+AN257+AP257+AO257</f>
        <v>2990.0000000000005</v>
      </c>
      <c r="AR257" s="17">
        <v>3140.193796656938</v>
      </c>
      <c r="AS257" s="17">
        <v>329.80620334306138</v>
      </c>
      <c r="AT257" s="17"/>
      <c r="AU257" s="17"/>
      <c r="AV257" s="17">
        <f t="shared" ref="AV257" si="188">AR257+AS257+AU257+AT257</f>
        <v>3469.9999999999995</v>
      </c>
      <c r="AW257" s="17">
        <v>2880.1879240309745</v>
      </c>
      <c r="AX257" s="17">
        <v>319.81207596902402</v>
      </c>
      <c r="AY257" s="17"/>
      <c r="AZ257" s="17"/>
      <c r="BA257" s="17">
        <f t="shared" ref="BA257" si="189">AW257+AX257+AZ257+AY257</f>
        <v>3199.9999999999986</v>
      </c>
      <c r="BB257" s="17">
        <v>2960.1937966569394</v>
      </c>
      <c r="BC257" s="17">
        <v>329.80620334306144</v>
      </c>
      <c r="BD257" s="17"/>
      <c r="BE257" s="17"/>
      <c r="BF257" s="17">
        <f t="shared" ref="BF257" si="190">BB257+BC257+BE257+BD257</f>
        <v>3290.0000000000009</v>
      </c>
      <c r="BG257" s="17">
        <v>2950.1996692829111</v>
      </c>
      <c r="BH257" s="17">
        <v>339.80033071708857</v>
      </c>
      <c r="BI257" s="17"/>
      <c r="BJ257" s="17"/>
      <c r="BK257" s="17">
        <f t="shared" ref="BK257" si="191">BG257+BH257+BJ257+BI257</f>
        <v>3289.9999999999995</v>
      </c>
      <c r="BL257" s="17">
        <v>3113.8637727027103</v>
      </c>
      <c r="BM257" s="17">
        <v>319.81207596902397</v>
      </c>
      <c r="BN257" s="17"/>
      <c r="BO257" s="17"/>
      <c r="BP257" s="17">
        <f t="shared" si="164"/>
        <v>3433.6758486717345</v>
      </c>
      <c r="BQ257" s="17">
        <f t="shared" ref="BQ257:BT257" si="192">BL257+BG257+BB257+AW257+AR257+AM257+AH257+AC257+X257+S257+N257+I257</f>
        <v>30510.000000000087</v>
      </c>
      <c r="BR257" s="17">
        <f t="shared" si="192"/>
        <v>3389.9999999999973</v>
      </c>
      <c r="BS257" s="17">
        <f t="shared" si="192"/>
        <v>0</v>
      </c>
      <c r="BT257" s="17">
        <f t="shared" si="192"/>
        <v>0</v>
      </c>
      <c r="BU257" s="17">
        <f t="shared" ref="BU257" si="193">BQ257+BR257+BT257+BS257</f>
        <v>33900.000000000087</v>
      </c>
    </row>
    <row r="258" spans="1:79" s="46" customFormat="1" collapsed="1">
      <c r="A258" s="24" t="s">
        <v>635</v>
      </c>
      <c r="B258" s="77" t="s">
        <v>638</v>
      </c>
      <c r="C258" s="25"/>
      <c r="D258" s="26"/>
      <c r="E258" s="25" t="s">
        <v>637</v>
      </c>
      <c r="F258" s="25"/>
      <c r="G258" s="77" t="s">
        <v>638</v>
      </c>
      <c r="H258" s="25"/>
      <c r="I258" s="25">
        <f t="shared" ref="I258:BT258" si="194">+SUM(I257)</f>
        <v>1976.2841467744111</v>
      </c>
      <c r="J258" s="25">
        <f t="shared" si="194"/>
        <v>290.04000455393373</v>
      </c>
      <c r="K258" s="25">
        <f t="shared" si="194"/>
        <v>0</v>
      </c>
      <c r="L258" s="25">
        <f t="shared" si="194"/>
        <v>0</v>
      </c>
      <c r="M258" s="25">
        <f t="shared" si="194"/>
        <v>2266.3241513283447</v>
      </c>
      <c r="N258" s="25">
        <f t="shared" si="194"/>
        <v>1800.1174525193601</v>
      </c>
      <c r="O258" s="25">
        <f t="shared" si="194"/>
        <v>199.88254748064119</v>
      </c>
      <c r="P258" s="25">
        <f t="shared" si="194"/>
        <v>0</v>
      </c>
      <c r="Q258" s="25">
        <f t="shared" si="194"/>
        <v>0</v>
      </c>
      <c r="R258" s="25">
        <f t="shared" si="194"/>
        <v>2000.0000000000014</v>
      </c>
      <c r="S258" s="25">
        <f t="shared" si="194"/>
        <v>2182.6409430232329</v>
      </c>
      <c r="T258" s="25">
        <f t="shared" si="194"/>
        <v>239.85905697676915</v>
      </c>
      <c r="U258" s="25">
        <f t="shared" si="194"/>
        <v>0</v>
      </c>
      <c r="V258" s="25">
        <f t="shared" si="194"/>
        <v>0</v>
      </c>
      <c r="W258" s="25">
        <f t="shared" si="194"/>
        <v>2422.5000000000023</v>
      </c>
      <c r="X258" s="25">
        <f t="shared" si="194"/>
        <v>2217.6468156492001</v>
      </c>
      <c r="Y258" s="25">
        <f t="shared" si="194"/>
        <v>249.85318435080001</v>
      </c>
      <c r="Z258" s="25">
        <f t="shared" si="194"/>
        <v>0</v>
      </c>
      <c r="AA258" s="25">
        <f t="shared" si="194"/>
        <v>0</v>
      </c>
      <c r="AB258" s="25">
        <f t="shared" si="194"/>
        <v>2467.5</v>
      </c>
      <c r="AC258" s="25">
        <f t="shared" si="194"/>
        <v>2131.1409430232325</v>
      </c>
      <c r="AD258" s="25">
        <f t="shared" si="194"/>
        <v>248.85905697676907</v>
      </c>
      <c r="AE258" s="25">
        <f t="shared" si="194"/>
        <v>0</v>
      </c>
      <c r="AF258" s="25">
        <f t="shared" si="194"/>
        <v>0</v>
      </c>
      <c r="AG258" s="25">
        <f t="shared" si="194"/>
        <v>2380.0000000000014</v>
      </c>
      <c r="AH258" s="25">
        <f t="shared" si="194"/>
        <v>2420.1585609011368</v>
      </c>
      <c r="AI258" s="25">
        <f t="shared" si="194"/>
        <v>269.8414390988641</v>
      </c>
      <c r="AJ258" s="25">
        <f t="shared" si="194"/>
        <v>0</v>
      </c>
      <c r="AK258" s="25">
        <f t="shared" si="194"/>
        <v>0</v>
      </c>
      <c r="AL258" s="25">
        <f t="shared" si="194"/>
        <v>2690.0000000000009</v>
      </c>
      <c r="AM258" s="25">
        <f t="shared" si="194"/>
        <v>2737.3721787790396</v>
      </c>
      <c r="AN258" s="25">
        <f t="shared" si="194"/>
        <v>252.62782122096067</v>
      </c>
      <c r="AO258" s="25">
        <f t="shared" si="194"/>
        <v>0</v>
      </c>
      <c r="AP258" s="25">
        <f t="shared" si="194"/>
        <v>0</v>
      </c>
      <c r="AQ258" s="25">
        <f t="shared" si="194"/>
        <v>2990.0000000000005</v>
      </c>
      <c r="AR258" s="25">
        <f t="shared" si="194"/>
        <v>3140.193796656938</v>
      </c>
      <c r="AS258" s="25">
        <f t="shared" si="194"/>
        <v>329.80620334306138</v>
      </c>
      <c r="AT258" s="25">
        <f t="shared" si="194"/>
        <v>0</v>
      </c>
      <c r="AU258" s="25">
        <f t="shared" si="194"/>
        <v>0</v>
      </c>
      <c r="AV258" s="25">
        <f t="shared" si="194"/>
        <v>3469.9999999999995</v>
      </c>
      <c r="AW258" s="25">
        <f t="shared" si="194"/>
        <v>2880.1879240309745</v>
      </c>
      <c r="AX258" s="25">
        <f t="shared" si="194"/>
        <v>319.81207596902402</v>
      </c>
      <c r="AY258" s="25">
        <f t="shared" si="194"/>
        <v>0</v>
      </c>
      <c r="AZ258" s="25">
        <f t="shared" si="194"/>
        <v>0</v>
      </c>
      <c r="BA258" s="25">
        <f t="shared" si="194"/>
        <v>3199.9999999999986</v>
      </c>
      <c r="BB258" s="25">
        <f t="shared" si="194"/>
        <v>2960.1937966569394</v>
      </c>
      <c r="BC258" s="25">
        <f t="shared" si="194"/>
        <v>329.80620334306144</v>
      </c>
      <c r="BD258" s="25">
        <f t="shared" si="194"/>
        <v>0</v>
      </c>
      <c r="BE258" s="25">
        <f t="shared" si="194"/>
        <v>0</v>
      </c>
      <c r="BF258" s="25">
        <f t="shared" si="194"/>
        <v>3290.0000000000009</v>
      </c>
      <c r="BG258" s="25">
        <f t="shared" si="194"/>
        <v>2950.1996692829111</v>
      </c>
      <c r="BH258" s="25">
        <f t="shared" si="194"/>
        <v>339.80033071708857</v>
      </c>
      <c r="BI258" s="25">
        <f t="shared" si="194"/>
        <v>0</v>
      </c>
      <c r="BJ258" s="25">
        <f t="shared" si="194"/>
        <v>0</v>
      </c>
      <c r="BK258" s="25">
        <f t="shared" si="194"/>
        <v>3289.9999999999995</v>
      </c>
      <c r="BL258" s="25">
        <f t="shared" si="194"/>
        <v>3113.8637727027103</v>
      </c>
      <c r="BM258" s="25">
        <f t="shared" si="194"/>
        <v>319.81207596902397</v>
      </c>
      <c r="BN258" s="25">
        <f t="shared" si="194"/>
        <v>0</v>
      </c>
      <c r="BO258" s="25">
        <f t="shared" si="194"/>
        <v>0</v>
      </c>
      <c r="BP258" s="25">
        <f t="shared" si="194"/>
        <v>3433.6758486717345</v>
      </c>
      <c r="BQ258" s="25">
        <f t="shared" si="194"/>
        <v>30510.000000000087</v>
      </c>
      <c r="BR258" s="25">
        <f t="shared" si="194"/>
        <v>3389.9999999999973</v>
      </c>
      <c r="BS258" s="25">
        <f t="shared" si="194"/>
        <v>0</v>
      </c>
      <c r="BT258" s="25">
        <f t="shared" si="194"/>
        <v>0</v>
      </c>
      <c r="BU258" s="25">
        <f t="shared" ref="BU258" si="195">+SUM(BU257)</f>
        <v>33900.000000000087</v>
      </c>
    </row>
    <row r="259" spans="1:79" s="46" customFormat="1" hidden="1" outlineLevel="1">
      <c r="A259" s="16" t="s">
        <v>635</v>
      </c>
      <c r="B259" s="75" t="s">
        <v>639</v>
      </c>
      <c r="C259" s="17"/>
      <c r="D259" s="76"/>
      <c r="E259" s="17" t="s">
        <v>640</v>
      </c>
      <c r="F259" s="17"/>
      <c r="G259" s="75" t="s">
        <v>639</v>
      </c>
      <c r="H259" s="17"/>
      <c r="I259" s="17">
        <v>243.44946579528943</v>
      </c>
      <c r="J259" s="17">
        <v>34.999999999999915</v>
      </c>
      <c r="K259" s="17"/>
      <c r="L259" s="17"/>
      <c r="M259" s="17">
        <f t="shared" ref="M259" si="196">I259+J259+L259+K259</f>
        <v>278.44946579528937</v>
      </c>
      <c r="N259" s="17">
        <v>248.86352731306226</v>
      </c>
      <c r="O259" s="17">
        <v>31.163828423817989</v>
      </c>
      <c r="P259" s="17"/>
      <c r="Q259" s="17"/>
      <c r="R259" s="17">
        <f>N259+O259+Q259+P259</f>
        <v>280.02735573688028</v>
      </c>
      <c r="S259" s="17">
        <v>251.78205483366889</v>
      </c>
      <c r="T259" s="17">
        <v>59.152139837431079</v>
      </c>
      <c r="U259" s="17"/>
      <c r="V259" s="17"/>
      <c r="W259" s="17">
        <f t="shared" ref="W259" si="197">S259+T259+V259+U259</f>
        <v>310.93419467109999</v>
      </c>
      <c r="X259" s="17">
        <v>288.45363253740265</v>
      </c>
      <c r="Y259" s="17">
        <v>42.380820535027404</v>
      </c>
      <c r="Z259" s="17"/>
      <c r="AA259" s="17"/>
      <c r="AB259" s="17">
        <f t="shared" ref="AB259" si="198">X259+Y259+AA259+Z259</f>
        <v>330.83445307243005</v>
      </c>
      <c r="AC259" s="17">
        <v>310.83167226284638</v>
      </c>
      <c r="AD259" s="17">
        <v>47.981780809583597</v>
      </c>
      <c r="AE259" s="17"/>
      <c r="AF259" s="17"/>
      <c r="AG259" s="17">
        <f t="shared" ref="AG259" si="199">AC259+AD259+AF259+AE259</f>
        <v>358.81345307242998</v>
      </c>
      <c r="AH259" s="17">
        <v>617.16868489788919</v>
      </c>
      <c r="AI259" s="17">
        <v>142.62661196481105</v>
      </c>
      <c r="AJ259" s="17"/>
      <c r="AK259" s="17"/>
      <c r="AL259" s="17">
        <f t="shared" ref="AL259" si="200">AH259+AI259+AK259+AJ259</f>
        <v>759.7952968627003</v>
      </c>
      <c r="AM259" s="17">
        <v>735.90392044436589</v>
      </c>
      <c r="AN259" s="17">
        <v>166.40656996481104</v>
      </c>
      <c r="AO259" s="17"/>
      <c r="AP259" s="17"/>
      <c r="AQ259" s="17">
        <f t="shared" ref="AQ259" si="201">AM259+AN259+AP259+AO259</f>
        <v>902.31049040917696</v>
      </c>
      <c r="AR259" s="17">
        <v>807.53299863027064</v>
      </c>
      <c r="AS259" s="17">
        <v>192.67858696481105</v>
      </c>
      <c r="AT259" s="17"/>
      <c r="AU259" s="17"/>
      <c r="AV259" s="17">
        <f t="shared" ref="AV259" si="202">AR259+AS259+AU259+AT259</f>
        <v>1000.2115855950817</v>
      </c>
      <c r="AW259" s="17">
        <v>1054.2415921177558</v>
      </c>
      <c r="AX259" s="17">
        <v>152.69645937487269</v>
      </c>
      <c r="AY259" s="17"/>
      <c r="AZ259" s="17"/>
      <c r="BA259" s="17">
        <f t="shared" ref="BA259" si="203">AW259+AX259+AZ259+AY259</f>
        <v>1206.9380514926283</v>
      </c>
      <c r="BB259" s="17">
        <v>1300.779240395329</v>
      </c>
      <c r="BC259" s="17">
        <v>136.34855123731677</v>
      </c>
      <c r="BD259" s="17"/>
      <c r="BE259" s="17"/>
      <c r="BF259" s="17">
        <f t="shared" ref="BF259" si="204">BB259+BC259+BE259+BD259</f>
        <v>1437.1277916326458</v>
      </c>
      <c r="BG259" s="17">
        <v>1584.1268646700814</v>
      </c>
      <c r="BH259" s="17">
        <v>233.91059512673903</v>
      </c>
      <c r="BI259" s="17"/>
      <c r="BJ259" s="17"/>
      <c r="BK259" s="17">
        <f t="shared" ref="BK259" si="205">BG259+BH259+BJ259+BI259</f>
        <v>1818.0374597968205</v>
      </c>
      <c r="BL259" s="17">
        <v>2126.4682392393993</v>
      </c>
      <c r="BM259" s="17">
        <v>245.70042465185747</v>
      </c>
      <c r="BN259" s="17"/>
      <c r="BO259" s="17"/>
      <c r="BP259" s="17">
        <f t="shared" si="164"/>
        <v>2372.168663891257</v>
      </c>
      <c r="BQ259" s="17">
        <f t="shared" ref="BQ259:BT259" si="206">BL259+BG259+BB259+AW259+AR259+AM259+AH259+AC259+X259+S259+N259+I259</f>
        <v>9569.6018931373619</v>
      </c>
      <c r="BR259" s="17">
        <f t="shared" si="206"/>
        <v>1486.0463688910791</v>
      </c>
      <c r="BS259" s="17">
        <f t="shared" si="206"/>
        <v>0</v>
      </c>
      <c r="BT259" s="17">
        <f t="shared" si="206"/>
        <v>0</v>
      </c>
      <c r="BU259" s="17">
        <f t="shared" ref="BU259" si="207">BQ259+BR259+BT259+BS259</f>
        <v>11055.648262028441</v>
      </c>
    </row>
    <row r="260" spans="1:79" s="46" customFormat="1" collapsed="1">
      <c r="A260" s="24" t="s">
        <v>635</v>
      </c>
      <c r="B260" s="77" t="s">
        <v>641</v>
      </c>
      <c r="C260" s="25"/>
      <c r="D260" s="26"/>
      <c r="E260" s="25" t="s">
        <v>640</v>
      </c>
      <c r="F260" s="25"/>
      <c r="G260" s="77" t="s">
        <v>641</v>
      </c>
      <c r="H260" s="25"/>
      <c r="I260" s="25">
        <f t="shared" ref="I260:BT260" si="208">+SUM(I259)</f>
        <v>243.44946579528943</v>
      </c>
      <c r="J260" s="25">
        <f t="shared" si="208"/>
        <v>34.999999999999915</v>
      </c>
      <c r="K260" s="25">
        <f t="shared" si="208"/>
        <v>0</v>
      </c>
      <c r="L260" s="25">
        <f t="shared" si="208"/>
        <v>0</v>
      </c>
      <c r="M260" s="25">
        <f t="shared" si="208"/>
        <v>278.44946579528937</v>
      </c>
      <c r="N260" s="25">
        <f t="shared" si="208"/>
        <v>248.86352731306226</v>
      </c>
      <c r="O260" s="25">
        <f t="shared" si="208"/>
        <v>31.163828423817989</v>
      </c>
      <c r="P260" s="25">
        <f t="shared" si="208"/>
        <v>0</v>
      </c>
      <c r="Q260" s="25">
        <f t="shared" si="208"/>
        <v>0</v>
      </c>
      <c r="R260" s="25">
        <f t="shared" si="208"/>
        <v>280.02735573688028</v>
      </c>
      <c r="S260" s="25">
        <f t="shared" si="208"/>
        <v>251.78205483366889</v>
      </c>
      <c r="T260" s="25">
        <f t="shared" si="208"/>
        <v>59.152139837431079</v>
      </c>
      <c r="U260" s="25">
        <f t="shared" si="208"/>
        <v>0</v>
      </c>
      <c r="V260" s="25">
        <f t="shared" si="208"/>
        <v>0</v>
      </c>
      <c r="W260" s="25">
        <f t="shared" si="208"/>
        <v>310.93419467109999</v>
      </c>
      <c r="X260" s="25">
        <f t="shared" si="208"/>
        <v>288.45363253740265</v>
      </c>
      <c r="Y260" s="25">
        <f t="shared" si="208"/>
        <v>42.380820535027404</v>
      </c>
      <c r="Z260" s="25">
        <f t="shared" si="208"/>
        <v>0</v>
      </c>
      <c r="AA260" s="25">
        <f t="shared" si="208"/>
        <v>0</v>
      </c>
      <c r="AB260" s="25">
        <f t="shared" si="208"/>
        <v>330.83445307243005</v>
      </c>
      <c r="AC260" s="25">
        <f t="shared" si="208"/>
        <v>310.83167226284638</v>
      </c>
      <c r="AD260" s="25">
        <f t="shared" si="208"/>
        <v>47.981780809583597</v>
      </c>
      <c r="AE260" s="25">
        <f t="shared" si="208"/>
        <v>0</v>
      </c>
      <c r="AF260" s="25">
        <f t="shared" si="208"/>
        <v>0</v>
      </c>
      <c r="AG260" s="25">
        <f t="shared" si="208"/>
        <v>358.81345307242998</v>
      </c>
      <c r="AH260" s="25">
        <f t="shared" si="208"/>
        <v>617.16868489788919</v>
      </c>
      <c r="AI260" s="25">
        <f t="shared" si="208"/>
        <v>142.62661196481105</v>
      </c>
      <c r="AJ260" s="25">
        <f t="shared" si="208"/>
        <v>0</v>
      </c>
      <c r="AK260" s="25">
        <f t="shared" si="208"/>
        <v>0</v>
      </c>
      <c r="AL260" s="25">
        <f t="shared" si="208"/>
        <v>759.7952968627003</v>
      </c>
      <c r="AM260" s="25">
        <f t="shared" si="208"/>
        <v>735.90392044436589</v>
      </c>
      <c r="AN260" s="25">
        <f t="shared" si="208"/>
        <v>166.40656996481104</v>
      </c>
      <c r="AO260" s="25">
        <f t="shared" si="208"/>
        <v>0</v>
      </c>
      <c r="AP260" s="25">
        <f t="shared" si="208"/>
        <v>0</v>
      </c>
      <c r="AQ260" s="25">
        <f t="shared" si="208"/>
        <v>902.31049040917696</v>
      </c>
      <c r="AR260" s="25">
        <f t="shared" si="208"/>
        <v>807.53299863027064</v>
      </c>
      <c r="AS260" s="25">
        <f t="shared" si="208"/>
        <v>192.67858696481105</v>
      </c>
      <c r="AT260" s="25">
        <f t="shared" si="208"/>
        <v>0</v>
      </c>
      <c r="AU260" s="25">
        <f t="shared" si="208"/>
        <v>0</v>
      </c>
      <c r="AV260" s="25">
        <f t="shared" si="208"/>
        <v>1000.2115855950817</v>
      </c>
      <c r="AW260" s="25">
        <f t="shared" si="208"/>
        <v>1054.2415921177558</v>
      </c>
      <c r="AX260" s="25">
        <f t="shared" si="208"/>
        <v>152.69645937487269</v>
      </c>
      <c r="AY260" s="25">
        <f t="shared" si="208"/>
        <v>0</v>
      </c>
      <c r="AZ260" s="25">
        <f t="shared" si="208"/>
        <v>0</v>
      </c>
      <c r="BA260" s="25">
        <f t="shared" si="208"/>
        <v>1206.9380514926283</v>
      </c>
      <c r="BB260" s="25">
        <f t="shared" si="208"/>
        <v>1300.779240395329</v>
      </c>
      <c r="BC260" s="25">
        <f t="shared" si="208"/>
        <v>136.34855123731677</v>
      </c>
      <c r="BD260" s="25">
        <f t="shared" si="208"/>
        <v>0</v>
      </c>
      <c r="BE260" s="25">
        <f t="shared" si="208"/>
        <v>0</v>
      </c>
      <c r="BF260" s="25">
        <f t="shared" si="208"/>
        <v>1437.1277916326458</v>
      </c>
      <c r="BG260" s="25">
        <f t="shared" si="208"/>
        <v>1584.1268646700814</v>
      </c>
      <c r="BH260" s="25">
        <f t="shared" si="208"/>
        <v>233.91059512673903</v>
      </c>
      <c r="BI260" s="25">
        <f t="shared" si="208"/>
        <v>0</v>
      </c>
      <c r="BJ260" s="25">
        <f t="shared" si="208"/>
        <v>0</v>
      </c>
      <c r="BK260" s="25">
        <f t="shared" si="208"/>
        <v>1818.0374597968205</v>
      </c>
      <c r="BL260" s="25">
        <f t="shared" si="208"/>
        <v>2126.4682392393993</v>
      </c>
      <c r="BM260" s="25">
        <f t="shared" si="208"/>
        <v>245.70042465185747</v>
      </c>
      <c r="BN260" s="25">
        <f t="shared" si="208"/>
        <v>0</v>
      </c>
      <c r="BO260" s="25">
        <f t="shared" si="208"/>
        <v>0</v>
      </c>
      <c r="BP260" s="25">
        <f t="shared" si="208"/>
        <v>2372.168663891257</v>
      </c>
      <c r="BQ260" s="25">
        <f t="shared" si="208"/>
        <v>9569.6018931373619</v>
      </c>
      <c r="BR260" s="25">
        <f t="shared" si="208"/>
        <v>1486.0463688910791</v>
      </c>
      <c r="BS260" s="25">
        <f t="shared" si="208"/>
        <v>0</v>
      </c>
      <c r="BT260" s="25">
        <f t="shared" si="208"/>
        <v>0</v>
      </c>
      <c r="BU260" s="25">
        <f t="shared" ref="BU260" si="209">+SUM(BU259)</f>
        <v>11055.648262028441</v>
      </c>
    </row>
    <row r="261" spans="1:79" s="46" customFormat="1" hidden="1" outlineLevel="1">
      <c r="A261" s="16" t="s">
        <v>635</v>
      </c>
      <c r="B261" s="75" t="s">
        <v>642</v>
      </c>
      <c r="C261" s="17"/>
      <c r="D261" s="76"/>
      <c r="E261" s="17" t="s">
        <v>643</v>
      </c>
      <c r="F261" s="17"/>
      <c r="G261" s="75" t="s">
        <v>642</v>
      </c>
      <c r="H261" s="17"/>
      <c r="I261" s="17">
        <v>378.1063807109897</v>
      </c>
      <c r="J261" s="17">
        <v>40.000000000000469</v>
      </c>
      <c r="K261" s="17"/>
      <c r="L261" s="17"/>
      <c r="M261" s="17">
        <f t="shared" ref="M261" si="210">I261+J261+L261+K261</f>
        <v>418.10638071099015</v>
      </c>
      <c r="N261" s="17">
        <v>290.84196267711974</v>
      </c>
      <c r="O261" s="17">
        <v>29.999999999999915</v>
      </c>
      <c r="P261" s="17"/>
      <c r="Q261" s="17"/>
      <c r="R261" s="17">
        <f>N261+O261+Q261+P261</f>
        <v>320.84196267711968</v>
      </c>
      <c r="S261" s="17">
        <v>408.00338731881214</v>
      </c>
      <c r="T261" s="17">
        <v>40.000000000000441</v>
      </c>
      <c r="U261" s="17"/>
      <c r="V261" s="17"/>
      <c r="W261" s="17">
        <f t="shared" ref="W261" si="211">S261+T261+V261+U261</f>
        <v>448.0033873188126</v>
      </c>
      <c r="X261" s="17">
        <v>357.00338731881226</v>
      </c>
      <c r="Y261" s="17">
        <v>98.000000000000455</v>
      </c>
      <c r="Z261" s="17"/>
      <c r="AA261" s="17"/>
      <c r="AB261" s="17">
        <f t="shared" ref="AB261" si="212">X261+Y261+AA261+Z261</f>
        <v>455.00338731881271</v>
      </c>
      <c r="AC261" s="17">
        <v>439.00381073366407</v>
      </c>
      <c r="AD261" s="17">
        <v>34.999999999999368</v>
      </c>
      <c r="AE261" s="17"/>
      <c r="AF261" s="17"/>
      <c r="AG261" s="17">
        <f t="shared" ref="AG261" si="213">AC261+AD261+AF261+AE261</f>
        <v>474.00381073366344</v>
      </c>
      <c r="AH261" s="17">
        <v>448.00465656336712</v>
      </c>
      <c r="AI261" s="17">
        <v>40.000000000000888</v>
      </c>
      <c r="AJ261" s="17"/>
      <c r="AK261" s="17"/>
      <c r="AL261" s="17">
        <f t="shared" ref="AL261" si="214">AH261+AI261+AK261+AJ261</f>
        <v>488.00465656336803</v>
      </c>
      <c r="AM261" s="17">
        <v>572.00508197821944</v>
      </c>
      <c r="AN261" s="17">
        <v>62.999999999999297</v>
      </c>
      <c r="AO261" s="17"/>
      <c r="AP261" s="17"/>
      <c r="AQ261" s="17">
        <f t="shared" ref="AQ261" si="215">AM261+AN261+AP261+AO261</f>
        <v>635.00508197821875</v>
      </c>
      <c r="AR261" s="17">
        <v>587.00635122277413</v>
      </c>
      <c r="AS261" s="17">
        <v>39.000000000000348</v>
      </c>
      <c r="AT261" s="17"/>
      <c r="AU261" s="17"/>
      <c r="AV261" s="17">
        <f t="shared" ref="AV261" si="216">AR261+AS261+AU261+AT261</f>
        <v>626.00635122277447</v>
      </c>
      <c r="AW261" s="17">
        <v>635.00550439306994</v>
      </c>
      <c r="AX261" s="17">
        <v>65.000000000000242</v>
      </c>
      <c r="AY261" s="17"/>
      <c r="AZ261" s="17"/>
      <c r="BA261" s="17">
        <f t="shared" ref="BA261" si="217">AW261+AX261+AZ261+AY261</f>
        <v>700.00550439307017</v>
      </c>
      <c r="BB261" s="17">
        <v>665.00635122277436</v>
      </c>
      <c r="BC261" s="17">
        <v>75.000000000000327</v>
      </c>
      <c r="BD261" s="17"/>
      <c r="BE261" s="17"/>
      <c r="BF261" s="17">
        <f t="shared" ref="BF261" si="218">BB261+BC261+BE261+BD261</f>
        <v>740.0063512227747</v>
      </c>
      <c r="BG261" s="17">
        <v>650.00677463762486</v>
      </c>
      <c r="BH261" s="17">
        <v>79.999999999999332</v>
      </c>
      <c r="BI261" s="17"/>
      <c r="BJ261" s="17"/>
      <c r="BK261" s="17">
        <f t="shared" ref="BK261" si="219">BG261+BH261+BJ261+BI261</f>
        <v>730.00677463762418</v>
      </c>
      <c r="BL261" s="17">
        <v>690.00635122277436</v>
      </c>
      <c r="BM261" s="17">
        <v>75.000000000000327</v>
      </c>
      <c r="BN261" s="17"/>
      <c r="BO261" s="17"/>
      <c r="BP261" s="17">
        <f t="shared" si="164"/>
        <v>765.0063512227747</v>
      </c>
      <c r="BQ261" s="17">
        <f t="shared" ref="BQ261:BT261" si="220">BL261+BG261+BB261+AW261+AR261+AM261+AH261+AC261+X261+S261+N261+I261</f>
        <v>6120.0000000000027</v>
      </c>
      <c r="BR261" s="17">
        <f t="shared" si="220"/>
        <v>680.00000000000148</v>
      </c>
      <c r="BS261" s="17">
        <f t="shared" si="220"/>
        <v>0</v>
      </c>
      <c r="BT261" s="17">
        <f t="shared" si="220"/>
        <v>0</v>
      </c>
      <c r="BU261" s="17">
        <f t="shared" ref="BU261" si="221">BQ261+BR261+BT261+BS261</f>
        <v>6800.0000000000045</v>
      </c>
    </row>
    <row r="262" spans="1:79" s="38" customFormat="1" collapsed="1">
      <c r="A262" s="24" t="s">
        <v>635</v>
      </c>
      <c r="B262" s="77" t="s">
        <v>644</v>
      </c>
      <c r="C262" s="25"/>
      <c r="D262" s="26"/>
      <c r="E262" s="25" t="s">
        <v>643</v>
      </c>
      <c r="F262" s="25"/>
      <c r="G262" s="77" t="s">
        <v>644</v>
      </c>
      <c r="H262" s="25"/>
      <c r="I262" s="25">
        <f t="shared" ref="I262:BT262" si="222">+SUM(I261)</f>
        <v>378.1063807109897</v>
      </c>
      <c r="J262" s="25">
        <f t="shared" si="222"/>
        <v>40.000000000000469</v>
      </c>
      <c r="K262" s="25">
        <f t="shared" si="222"/>
        <v>0</v>
      </c>
      <c r="L262" s="25">
        <f t="shared" si="222"/>
        <v>0</v>
      </c>
      <c r="M262" s="25">
        <f t="shared" si="222"/>
        <v>418.10638071099015</v>
      </c>
      <c r="N262" s="25">
        <f t="shared" si="222"/>
        <v>290.84196267711974</v>
      </c>
      <c r="O262" s="25">
        <f t="shared" si="222"/>
        <v>29.999999999999915</v>
      </c>
      <c r="P262" s="25">
        <f t="shared" si="222"/>
        <v>0</v>
      </c>
      <c r="Q262" s="25">
        <f t="shared" si="222"/>
        <v>0</v>
      </c>
      <c r="R262" s="25">
        <f t="shared" si="222"/>
        <v>320.84196267711968</v>
      </c>
      <c r="S262" s="25">
        <f t="shared" si="222"/>
        <v>408.00338731881214</v>
      </c>
      <c r="T262" s="25">
        <f t="shared" si="222"/>
        <v>40.000000000000441</v>
      </c>
      <c r="U262" s="25">
        <f t="shared" si="222"/>
        <v>0</v>
      </c>
      <c r="V262" s="25">
        <f t="shared" si="222"/>
        <v>0</v>
      </c>
      <c r="W262" s="25">
        <f t="shared" si="222"/>
        <v>448.0033873188126</v>
      </c>
      <c r="X262" s="25">
        <f t="shared" si="222"/>
        <v>357.00338731881226</v>
      </c>
      <c r="Y262" s="25">
        <f t="shared" si="222"/>
        <v>98.000000000000455</v>
      </c>
      <c r="Z262" s="25">
        <f t="shared" si="222"/>
        <v>0</v>
      </c>
      <c r="AA262" s="25">
        <f t="shared" si="222"/>
        <v>0</v>
      </c>
      <c r="AB262" s="25">
        <f t="shared" si="222"/>
        <v>455.00338731881271</v>
      </c>
      <c r="AC262" s="25">
        <f t="shared" si="222"/>
        <v>439.00381073366407</v>
      </c>
      <c r="AD262" s="25">
        <f t="shared" si="222"/>
        <v>34.999999999999368</v>
      </c>
      <c r="AE262" s="25">
        <f t="shared" si="222"/>
        <v>0</v>
      </c>
      <c r="AF262" s="25">
        <f t="shared" si="222"/>
        <v>0</v>
      </c>
      <c r="AG262" s="25">
        <f t="shared" si="222"/>
        <v>474.00381073366344</v>
      </c>
      <c r="AH262" s="25">
        <f t="shared" si="222"/>
        <v>448.00465656336712</v>
      </c>
      <c r="AI262" s="25">
        <f t="shared" si="222"/>
        <v>40.000000000000888</v>
      </c>
      <c r="AJ262" s="25">
        <f t="shared" si="222"/>
        <v>0</v>
      </c>
      <c r="AK262" s="25">
        <f t="shared" si="222"/>
        <v>0</v>
      </c>
      <c r="AL262" s="25">
        <f t="shared" si="222"/>
        <v>488.00465656336803</v>
      </c>
      <c r="AM262" s="25">
        <f t="shared" si="222"/>
        <v>572.00508197821944</v>
      </c>
      <c r="AN262" s="25">
        <f t="shared" si="222"/>
        <v>62.999999999999297</v>
      </c>
      <c r="AO262" s="25">
        <f t="shared" si="222"/>
        <v>0</v>
      </c>
      <c r="AP262" s="25">
        <f t="shared" si="222"/>
        <v>0</v>
      </c>
      <c r="AQ262" s="25">
        <f t="shared" si="222"/>
        <v>635.00508197821875</v>
      </c>
      <c r="AR262" s="25">
        <f t="shared" si="222"/>
        <v>587.00635122277413</v>
      </c>
      <c r="AS262" s="25">
        <f t="shared" si="222"/>
        <v>39.000000000000348</v>
      </c>
      <c r="AT262" s="25">
        <f t="shared" si="222"/>
        <v>0</v>
      </c>
      <c r="AU262" s="25">
        <f t="shared" si="222"/>
        <v>0</v>
      </c>
      <c r="AV262" s="25">
        <f t="shared" si="222"/>
        <v>626.00635122277447</v>
      </c>
      <c r="AW262" s="25">
        <f t="shared" si="222"/>
        <v>635.00550439306994</v>
      </c>
      <c r="AX262" s="25">
        <f t="shared" si="222"/>
        <v>65.000000000000242</v>
      </c>
      <c r="AY262" s="25">
        <f t="shared" si="222"/>
        <v>0</v>
      </c>
      <c r="AZ262" s="25">
        <f t="shared" si="222"/>
        <v>0</v>
      </c>
      <c r="BA262" s="25">
        <f t="shared" si="222"/>
        <v>700.00550439307017</v>
      </c>
      <c r="BB262" s="25">
        <f t="shared" si="222"/>
        <v>665.00635122277436</v>
      </c>
      <c r="BC262" s="25">
        <f t="shared" si="222"/>
        <v>75.000000000000327</v>
      </c>
      <c r="BD262" s="25">
        <f t="shared" si="222"/>
        <v>0</v>
      </c>
      <c r="BE262" s="25">
        <f t="shared" si="222"/>
        <v>0</v>
      </c>
      <c r="BF262" s="25">
        <f t="shared" si="222"/>
        <v>740.0063512227747</v>
      </c>
      <c r="BG262" s="25">
        <f t="shared" si="222"/>
        <v>650.00677463762486</v>
      </c>
      <c r="BH262" s="25">
        <f t="shared" si="222"/>
        <v>79.999999999999332</v>
      </c>
      <c r="BI262" s="25">
        <f t="shared" si="222"/>
        <v>0</v>
      </c>
      <c r="BJ262" s="25">
        <f t="shared" si="222"/>
        <v>0</v>
      </c>
      <c r="BK262" s="25">
        <f t="shared" si="222"/>
        <v>730.00677463762418</v>
      </c>
      <c r="BL262" s="25">
        <f t="shared" si="222"/>
        <v>690.00635122277436</v>
      </c>
      <c r="BM262" s="25">
        <f t="shared" si="222"/>
        <v>75.000000000000327</v>
      </c>
      <c r="BN262" s="25">
        <f t="shared" si="222"/>
        <v>0</v>
      </c>
      <c r="BO262" s="25">
        <f t="shared" si="222"/>
        <v>0</v>
      </c>
      <c r="BP262" s="25">
        <f t="shared" si="222"/>
        <v>765.0063512227747</v>
      </c>
      <c r="BQ262" s="25">
        <f t="shared" si="222"/>
        <v>6120.0000000000027</v>
      </c>
      <c r="BR262" s="25">
        <f t="shared" si="222"/>
        <v>680.00000000000148</v>
      </c>
      <c r="BS262" s="25">
        <f t="shared" si="222"/>
        <v>0</v>
      </c>
      <c r="BT262" s="25">
        <f t="shared" si="222"/>
        <v>0</v>
      </c>
      <c r="BU262" s="25">
        <f t="shared" ref="BU262" si="223">+SUM(BU261)</f>
        <v>6800.0000000000045</v>
      </c>
    </row>
    <row r="263" spans="1:79" s="46" customFormat="1" hidden="1" outlineLevel="1">
      <c r="A263" s="16" t="s">
        <v>635</v>
      </c>
      <c r="B263" s="75" t="s">
        <v>645</v>
      </c>
      <c r="C263" s="17"/>
      <c r="D263" s="76"/>
      <c r="E263" s="17" t="s">
        <v>646</v>
      </c>
      <c r="F263" s="17"/>
      <c r="G263" s="75" t="s">
        <v>645</v>
      </c>
      <c r="H263" s="17"/>
      <c r="I263" s="17">
        <v>135.00000000000003</v>
      </c>
      <c r="J263" s="17">
        <v>15</v>
      </c>
      <c r="K263" s="17"/>
      <c r="L263" s="17"/>
      <c r="M263" s="17">
        <f t="shared" ref="M263" si="224">I263+J263+L263+K263</f>
        <v>150.00000000000003</v>
      </c>
      <c r="N263" s="17">
        <v>179.99999999999997</v>
      </c>
      <c r="O263" s="17">
        <v>20</v>
      </c>
      <c r="P263" s="17"/>
      <c r="Q263" s="17"/>
      <c r="R263" s="17">
        <f>N263+O263+Q263+P263</f>
        <v>199.99999999999997</v>
      </c>
      <c r="S263" s="17">
        <v>360</v>
      </c>
      <c r="T263" s="17">
        <v>40</v>
      </c>
      <c r="U263" s="17"/>
      <c r="V263" s="17"/>
      <c r="W263" s="17">
        <f t="shared" ref="W263" si="225">S263+T263+V263+U263</f>
        <v>400</v>
      </c>
      <c r="X263" s="17">
        <v>405.00000000000006</v>
      </c>
      <c r="Y263" s="17">
        <v>45</v>
      </c>
      <c r="Z263" s="17"/>
      <c r="AA263" s="17"/>
      <c r="AB263" s="17">
        <f t="shared" ref="AB263" si="226">X263+Y263+AA263+Z263</f>
        <v>450.00000000000006</v>
      </c>
      <c r="AC263" s="17">
        <v>450</v>
      </c>
      <c r="AD263" s="17">
        <v>50</v>
      </c>
      <c r="AE263" s="17"/>
      <c r="AF263" s="17"/>
      <c r="AG263" s="17">
        <f t="shared" ref="AG263" si="227">AC263+AD263+AF263+AE263</f>
        <v>500</v>
      </c>
      <c r="AH263" s="17">
        <v>405.00000000000006</v>
      </c>
      <c r="AI263" s="17">
        <v>45</v>
      </c>
      <c r="AJ263" s="17"/>
      <c r="AK263" s="17"/>
      <c r="AL263" s="17">
        <f t="shared" ref="AL263" si="228">AH263+AI263+AK263+AJ263</f>
        <v>450.00000000000006</v>
      </c>
      <c r="AM263" s="17">
        <v>540</v>
      </c>
      <c r="AN263" s="17">
        <v>60</v>
      </c>
      <c r="AO263" s="17"/>
      <c r="AP263" s="17"/>
      <c r="AQ263" s="17">
        <f t="shared" ref="AQ263" si="229">AM263+AN263+AP263+AO263</f>
        <v>600</v>
      </c>
      <c r="AR263" s="17">
        <v>585</v>
      </c>
      <c r="AS263" s="17">
        <v>65</v>
      </c>
      <c r="AT263" s="17"/>
      <c r="AU263" s="17"/>
      <c r="AV263" s="17">
        <f t="shared" ref="AV263" si="230">AR263+AS263+AU263+AT263</f>
        <v>650</v>
      </c>
      <c r="AW263" s="17">
        <v>585</v>
      </c>
      <c r="AX263" s="17">
        <v>65</v>
      </c>
      <c r="AY263" s="17"/>
      <c r="AZ263" s="17"/>
      <c r="BA263" s="17">
        <f t="shared" ref="BA263" si="231">AW263+AX263+AZ263+AY263</f>
        <v>650</v>
      </c>
      <c r="BB263" s="17">
        <v>585</v>
      </c>
      <c r="BC263" s="17">
        <v>65</v>
      </c>
      <c r="BD263" s="17"/>
      <c r="BE263" s="17"/>
      <c r="BF263" s="17">
        <f t="shared" ref="BF263" si="232">BB263+BC263+BE263+BD263</f>
        <v>650</v>
      </c>
      <c r="BG263" s="17">
        <v>675</v>
      </c>
      <c r="BH263" s="17">
        <v>75</v>
      </c>
      <c r="BI263" s="17"/>
      <c r="BJ263" s="17"/>
      <c r="BK263" s="17">
        <f t="shared" ref="BK263" si="233">BG263+BH263+BJ263+BI263</f>
        <v>750</v>
      </c>
      <c r="BL263" s="17">
        <v>765</v>
      </c>
      <c r="BM263" s="17">
        <v>85</v>
      </c>
      <c r="BN263" s="17"/>
      <c r="BO263" s="17"/>
      <c r="BP263" s="17">
        <f t="shared" si="164"/>
        <v>850</v>
      </c>
      <c r="BQ263" s="17">
        <f t="shared" ref="BQ263:BT263" si="234">BL263+BG263+BB263+AW263+AR263+AM263+AH263+AC263+X263+S263+N263+I263</f>
        <v>5670</v>
      </c>
      <c r="BR263" s="17">
        <f t="shared" si="234"/>
        <v>630</v>
      </c>
      <c r="BS263" s="17">
        <f t="shared" si="234"/>
        <v>0</v>
      </c>
      <c r="BT263" s="17">
        <f t="shared" si="234"/>
        <v>0</v>
      </c>
      <c r="BU263" s="17">
        <f t="shared" ref="BU263" si="235">BQ263+BR263+BT263+BS263</f>
        <v>6300</v>
      </c>
    </row>
    <row r="264" spans="1:79" s="46" customFormat="1" collapsed="1">
      <c r="A264" s="24" t="s">
        <v>635</v>
      </c>
      <c r="B264" s="77" t="s">
        <v>647</v>
      </c>
      <c r="C264" s="25"/>
      <c r="D264" s="26"/>
      <c r="E264" s="25" t="s">
        <v>646</v>
      </c>
      <c r="F264" s="25"/>
      <c r="G264" s="77" t="s">
        <v>647</v>
      </c>
      <c r="H264" s="25"/>
      <c r="I264" s="25">
        <f t="shared" ref="I264:BT264" si="236">+SUM(I263)</f>
        <v>135.00000000000003</v>
      </c>
      <c r="J264" s="25">
        <f t="shared" si="236"/>
        <v>15</v>
      </c>
      <c r="K264" s="25">
        <f t="shared" si="236"/>
        <v>0</v>
      </c>
      <c r="L264" s="25">
        <f t="shared" si="236"/>
        <v>0</v>
      </c>
      <c r="M264" s="25">
        <f t="shared" si="236"/>
        <v>150.00000000000003</v>
      </c>
      <c r="N264" s="25">
        <f t="shared" si="236"/>
        <v>179.99999999999997</v>
      </c>
      <c r="O264" s="25">
        <f t="shared" si="236"/>
        <v>20</v>
      </c>
      <c r="P264" s="25">
        <f t="shared" si="236"/>
        <v>0</v>
      </c>
      <c r="Q264" s="25">
        <f t="shared" si="236"/>
        <v>0</v>
      </c>
      <c r="R264" s="25">
        <f t="shared" si="236"/>
        <v>199.99999999999997</v>
      </c>
      <c r="S264" s="25">
        <f t="shared" si="236"/>
        <v>360</v>
      </c>
      <c r="T264" s="25">
        <f t="shared" si="236"/>
        <v>40</v>
      </c>
      <c r="U264" s="25">
        <f t="shared" si="236"/>
        <v>0</v>
      </c>
      <c r="V264" s="25">
        <f t="shared" si="236"/>
        <v>0</v>
      </c>
      <c r="W264" s="25">
        <f t="shared" si="236"/>
        <v>400</v>
      </c>
      <c r="X264" s="25">
        <f t="shared" si="236"/>
        <v>405.00000000000006</v>
      </c>
      <c r="Y264" s="25">
        <f t="shared" si="236"/>
        <v>45</v>
      </c>
      <c r="Z264" s="25">
        <f t="shared" si="236"/>
        <v>0</v>
      </c>
      <c r="AA264" s="25">
        <f t="shared" si="236"/>
        <v>0</v>
      </c>
      <c r="AB264" s="25">
        <f t="shared" si="236"/>
        <v>450.00000000000006</v>
      </c>
      <c r="AC264" s="25">
        <f t="shared" si="236"/>
        <v>450</v>
      </c>
      <c r="AD264" s="25">
        <f t="shared" si="236"/>
        <v>50</v>
      </c>
      <c r="AE264" s="25">
        <f t="shared" si="236"/>
        <v>0</v>
      </c>
      <c r="AF264" s="25">
        <f t="shared" si="236"/>
        <v>0</v>
      </c>
      <c r="AG264" s="25">
        <f t="shared" si="236"/>
        <v>500</v>
      </c>
      <c r="AH264" s="25">
        <f t="shared" si="236"/>
        <v>405.00000000000006</v>
      </c>
      <c r="AI264" s="25">
        <f t="shared" si="236"/>
        <v>45</v>
      </c>
      <c r="AJ264" s="25">
        <f t="shared" si="236"/>
        <v>0</v>
      </c>
      <c r="AK264" s="25">
        <f t="shared" si="236"/>
        <v>0</v>
      </c>
      <c r="AL264" s="25">
        <f t="shared" si="236"/>
        <v>450.00000000000006</v>
      </c>
      <c r="AM264" s="25">
        <f t="shared" si="236"/>
        <v>540</v>
      </c>
      <c r="AN264" s="25">
        <f t="shared" si="236"/>
        <v>60</v>
      </c>
      <c r="AO264" s="25">
        <f t="shared" si="236"/>
        <v>0</v>
      </c>
      <c r="AP264" s="25">
        <f t="shared" si="236"/>
        <v>0</v>
      </c>
      <c r="AQ264" s="25">
        <f t="shared" si="236"/>
        <v>600</v>
      </c>
      <c r="AR264" s="25">
        <f t="shared" si="236"/>
        <v>585</v>
      </c>
      <c r="AS264" s="25">
        <f t="shared" si="236"/>
        <v>65</v>
      </c>
      <c r="AT264" s="25">
        <f t="shared" si="236"/>
        <v>0</v>
      </c>
      <c r="AU264" s="25">
        <f t="shared" si="236"/>
        <v>0</v>
      </c>
      <c r="AV264" s="25">
        <f t="shared" si="236"/>
        <v>650</v>
      </c>
      <c r="AW264" s="25">
        <f t="shared" si="236"/>
        <v>585</v>
      </c>
      <c r="AX264" s="25">
        <f t="shared" si="236"/>
        <v>65</v>
      </c>
      <c r="AY264" s="25">
        <f t="shared" si="236"/>
        <v>0</v>
      </c>
      <c r="AZ264" s="25">
        <f t="shared" si="236"/>
        <v>0</v>
      </c>
      <c r="BA264" s="25">
        <f t="shared" si="236"/>
        <v>650</v>
      </c>
      <c r="BB264" s="25">
        <f t="shared" si="236"/>
        <v>585</v>
      </c>
      <c r="BC264" s="25">
        <f t="shared" si="236"/>
        <v>65</v>
      </c>
      <c r="BD264" s="25">
        <f t="shared" si="236"/>
        <v>0</v>
      </c>
      <c r="BE264" s="25">
        <f t="shared" si="236"/>
        <v>0</v>
      </c>
      <c r="BF264" s="25">
        <f t="shared" si="236"/>
        <v>650</v>
      </c>
      <c r="BG264" s="25">
        <f t="shared" si="236"/>
        <v>675</v>
      </c>
      <c r="BH264" s="25">
        <f t="shared" si="236"/>
        <v>75</v>
      </c>
      <c r="BI264" s="25">
        <f t="shared" si="236"/>
        <v>0</v>
      </c>
      <c r="BJ264" s="25">
        <f t="shared" si="236"/>
        <v>0</v>
      </c>
      <c r="BK264" s="25">
        <f t="shared" si="236"/>
        <v>750</v>
      </c>
      <c r="BL264" s="25">
        <f t="shared" si="236"/>
        <v>765</v>
      </c>
      <c r="BM264" s="25">
        <f t="shared" si="236"/>
        <v>85</v>
      </c>
      <c r="BN264" s="25">
        <f t="shared" si="236"/>
        <v>0</v>
      </c>
      <c r="BO264" s="25">
        <f t="shared" si="236"/>
        <v>0</v>
      </c>
      <c r="BP264" s="25">
        <f t="shared" si="236"/>
        <v>850</v>
      </c>
      <c r="BQ264" s="25">
        <f t="shared" si="236"/>
        <v>5670</v>
      </c>
      <c r="BR264" s="25">
        <f t="shared" si="236"/>
        <v>630</v>
      </c>
      <c r="BS264" s="25">
        <f t="shared" si="236"/>
        <v>0</v>
      </c>
      <c r="BT264" s="25">
        <f t="shared" si="236"/>
        <v>0</v>
      </c>
      <c r="BU264" s="25">
        <f t="shared" ref="BU264" si="237">+SUM(BU263)</f>
        <v>6300</v>
      </c>
    </row>
    <row r="265" spans="1:79" s="46" customFormat="1" hidden="1" outlineLevel="1">
      <c r="A265" s="16" t="s">
        <v>635</v>
      </c>
      <c r="B265" s="75" t="s">
        <v>648</v>
      </c>
      <c r="C265" s="17"/>
      <c r="D265" s="76"/>
      <c r="E265" s="17" t="s">
        <v>649</v>
      </c>
      <c r="F265" s="17"/>
      <c r="G265" s="75" t="s">
        <v>648</v>
      </c>
      <c r="H265" s="17"/>
      <c r="I265" s="17">
        <v>1370.8643438743197</v>
      </c>
      <c r="J265" s="17">
        <v>1224.5000000000025</v>
      </c>
      <c r="K265" s="17"/>
      <c r="L265" s="17"/>
      <c r="M265" s="17">
        <f t="shared" ref="M265" si="238">I265+J265+L265+K265</f>
        <v>2595.364343874322</v>
      </c>
      <c r="N265" s="17">
        <v>1261.8791234135952</v>
      </c>
      <c r="O265" s="17">
        <v>1018.5000000000019</v>
      </c>
      <c r="P265" s="17"/>
      <c r="Q265" s="17"/>
      <c r="R265" s="17">
        <f>N265+O265+Q265+P265</f>
        <v>2280.379123413597</v>
      </c>
      <c r="S265" s="17">
        <v>1642.5247595680551</v>
      </c>
      <c r="T265" s="17">
        <v>1428.2802707270043</v>
      </c>
      <c r="U265" s="17"/>
      <c r="V265" s="17"/>
      <c r="W265" s="17">
        <f t="shared" ref="W265" si="239">S265+T265+V265+U265</f>
        <v>3070.8050302950596</v>
      </c>
      <c r="X265" s="17">
        <v>1851.4406048192768</v>
      </c>
      <c r="Y265" s="17">
        <v>1620.0000000000014</v>
      </c>
      <c r="Z265" s="17"/>
      <c r="AA265" s="17"/>
      <c r="AB265" s="17">
        <f t="shared" ref="AB265" si="240">X265+Y265+AA265+Z265</f>
        <v>3471.4406048192782</v>
      </c>
      <c r="AC265" s="17">
        <v>2122.6785537850055</v>
      </c>
      <c r="AD265" s="17">
        <v>1755.0990040000031</v>
      </c>
      <c r="AE265" s="17"/>
      <c r="AF265" s="17"/>
      <c r="AG265" s="17">
        <f t="shared" ref="AG265" si="241">AC265+AD265+AF265+AE265</f>
        <v>3877.7775577850089</v>
      </c>
      <c r="AH265" s="17">
        <v>2188.9712106099932</v>
      </c>
      <c r="AI265" s="17">
        <v>1940.0000000000034</v>
      </c>
      <c r="AJ265" s="17"/>
      <c r="AK265" s="17"/>
      <c r="AL265" s="17">
        <f t="shared" ref="AL265" si="242">AH265+AI265+AK265+AJ265</f>
        <v>4128.9712106099969</v>
      </c>
      <c r="AM265" s="17">
        <v>2490.559330251253</v>
      </c>
      <c r="AN265" s="17">
        <v>2000.0000000000025</v>
      </c>
      <c r="AO265" s="17"/>
      <c r="AP265" s="17"/>
      <c r="AQ265" s="17">
        <f t="shared" ref="AQ265" si="243">AM265+AN265+AP265+AO265</f>
        <v>4490.5593302512552</v>
      </c>
      <c r="AR265" s="17">
        <v>2585.7292387419971</v>
      </c>
      <c r="AS265" s="17">
        <v>2048.9970424268258</v>
      </c>
      <c r="AT265" s="17"/>
      <c r="AU265" s="17"/>
      <c r="AV265" s="17">
        <f t="shared" ref="AV265" si="244">AR265+AS265+AU265+AT265</f>
        <v>4634.7262811688233</v>
      </c>
      <c r="AW265" s="17">
        <v>2681.7941288569423</v>
      </c>
      <c r="AX265" s="17">
        <v>2100.352447598877</v>
      </c>
      <c r="AY265" s="17"/>
      <c r="AZ265" s="17"/>
      <c r="BA265" s="17">
        <f t="shared" ref="BA265" si="245">AW265+AX265+AZ265+AY265</f>
        <v>4782.1465764558197</v>
      </c>
      <c r="BB265" s="17">
        <v>2546.5930751171172</v>
      </c>
      <c r="BC265" s="17">
        <v>1925.5000000000036</v>
      </c>
      <c r="BD265" s="17"/>
      <c r="BE265" s="17"/>
      <c r="BF265" s="17">
        <f t="shared" ref="BF265" si="246">BB265+BC265+BE265+BD265</f>
        <v>4472.0930751171209</v>
      </c>
      <c r="BG265" s="17">
        <v>2219.5194237512515</v>
      </c>
      <c r="BH265" s="17">
        <v>2195.0066855244199</v>
      </c>
      <c r="BI265" s="17"/>
      <c r="BJ265" s="17"/>
      <c r="BK265" s="17">
        <f t="shared" ref="BK265" si="247">BG265+BH265+BJ265+BI265</f>
        <v>4414.5261092756718</v>
      </c>
      <c r="BL265" s="17">
        <v>2667.446207211166</v>
      </c>
      <c r="BM265" s="17">
        <v>1713.7645497228423</v>
      </c>
      <c r="BN265" s="17"/>
      <c r="BO265" s="17"/>
      <c r="BP265" s="17">
        <f t="shared" si="164"/>
        <v>4381.2107569340078</v>
      </c>
      <c r="BQ265" s="17">
        <f t="shared" ref="BQ265:BT265" si="248">BL265+BG265+BB265+AW265+AR265+AM265+AH265+AC265+X265+S265+N265+I265</f>
        <v>25629.999999999975</v>
      </c>
      <c r="BR265" s="17">
        <f t="shared" si="248"/>
        <v>20969.999999999993</v>
      </c>
      <c r="BS265" s="17">
        <f t="shared" si="248"/>
        <v>0</v>
      </c>
      <c r="BT265" s="17">
        <f t="shared" si="248"/>
        <v>0</v>
      </c>
      <c r="BU265" s="17">
        <f t="shared" ref="BU265" si="249">BQ265+BR265+BT265+BS265</f>
        <v>46599.999999999971</v>
      </c>
    </row>
    <row r="266" spans="1:79" s="38" customFormat="1" collapsed="1">
      <c r="A266" s="24" t="s">
        <v>635</v>
      </c>
      <c r="B266" s="25" t="s">
        <v>650</v>
      </c>
      <c r="C266" s="25"/>
      <c r="D266" s="26"/>
      <c r="E266" s="25" t="s">
        <v>649</v>
      </c>
      <c r="F266" s="25"/>
      <c r="G266" s="25" t="s">
        <v>650</v>
      </c>
      <c r="H266" s="25"/>
      <c r="I266" s="25">
        <f t="shared" ref="I266:BT266" si="250">+SUM(I265)</f>
        <v>1370.8643438743197</v>
      </c>
      <c r="J266" s="25">
        <f t="shared" si="250"/>
        <v>1224.5000000000025</v>
      </c>
      <c r="K266" s="25">
        <f t="shared" si="250"/>
        <v>0</v>
      </c>
      <c r="L266" s="25">
        <f t="shared" si="250"/>
        <v>0</v>
      </c>
      <c r="M266" s="25">
        <f t="shared" si="250"/>
        <v>2595.364343874322</v>
      </c>
      <c r="N266" s="25">
        <f t="shared" si="250"/>
        <v>1261.8791234135952</v>
      </c>
      <c r="O266" s="25">
        <f t="shared" si="250"/>
        <v>1018.5000000000019</v>
      </c>
      <c r="P266" s="25">
        <f t="shared" si="250"/>
        <v>0</v>
      </c>
      <c r="Q266" s="25">
        <f t="shared" si="250"/>
        <v>0</v>
      </c>
      <c r="R266" s="25">
        <f t="shared" si="250"/>
        <v>2280.379123413597</v>
      </c>
      <c r="S266" s="25">
        <f t="shared" si="250"/>
        <v>1642.5247595680551</v>
      </c>
      <c r="T266" s="25">
        <f t="shared" si="250"/>
        <v>1428.2802707270043</v>
      </c>
      <c r="U266" s="25">
        <f t="shared" si="250"/>
        <v>0</v>
      </c>
      <c r="V266" s="25">
        <f t="shared" si="250"/>
        <v>0</v>
      </c>
      <c r="W266" s="25">
        <f t="shared" si="250"/>
        <v>3070.8050302950596</v>
      </c>
      <c r="X266" s="25">
        <f t="shared" si="250"/>
        <v>1851.4406048192768</v>
      </c>
      <c r="Y266" s="25">
        <f t="shared" si="250"/>
        <v>1620.0000000000014</v>
      </c>
      <c r="Z266" s="25">
        <f t="shared" si="250"/>
        <v>0</v>
      </c>
      <c r="AA266" s="25">
        <f t="shared" si="250"/>
        <v>0</v>
      </c>
      <c r="AB266" s="25">
        <f t="shared" si="250"/>
        <v>3471.4406048192782</v>
      </c>
      <c r="AC266" s="25">
        <f t="shared" si="250"/>
        <v>2122.6785537850055</v>
      </c>
      <c r="AD266" s="25">
        <f t="shared" si="250"/>
        <v>1755.0990040000031</v>
      </c>
      <c r="AE266" s="25">
        <f t="shared" si="250"/>
        <v>0</v>
      </c>
      <c r="AF266" s="25">
        <f t="shared" si="250"/>
        <v>0</v>
      </c>
      <c r="AG266" s="25">
        <f t="shared" si="250"/>
        <v>3877.7775577850089</v>
      </c>
      <c r="AH266" s="25">
        <f t="shared" si="250"/>
        <v>2188.9712106099932</v>
      </c>
      <c r="AI266" s="25">
        <f t="shared" si="250"/>
        <v>1940.0000000000034</v>
      </c>
      <c r="AJ266" s="25">
        <f t="shared" si="250"/>
        <v>0</v>
      </c>
      <c r="AK266" s="25">
        <f t="shared" si="250"/>
        <v>0</v>
      </c>
      <c r="AL266" s="25">
        <f t="shared" si="250"/>
        <v>4128.9712106099969</v>
      </c>
      <c r="AM266" s="25">
        <f t="shared" si="250"/>
        <v>2490.559330251253</v>
      </c>
      <c r="AN266" s="25">
        <f t="shared" si="250"/>
        <v>2000.0000000000025</v>
      </c>
      <c r="AO266" s="25">
        <f t="shared" si="250"/>
        <v>0</v>
      </c>
      <c r="AP266" s="25">
        <f t="shared" si="250"/>
        <v>0</v>
      </c>
      <c r="AQ266" s="25">
        <f t="shared" si="250"/>
        <v>4490.5593302512552</v>
      </c>
      <c r="AR266" s="25">
        <f t="shared" si="250"/>
        <v>2585.7292387419971</v>
      </c>
      <c r="AS266" s="25">
        <f t="shared" si="250"/>
        <v>2048.9970424268258</v>
      </c>
      <c r="AT266" s="25">
        <f t="shared" si="250"/>
        <v>0</v>
      </c>
      <c r="AU266" s="25">
        <f t="shared" si="250"/>
        <v>0</v>
      </c>
      <c r="AV266" s="25">
        <f t="shared" si="250"/>
        <v>4634.7262811688233</v>
      </c>
      <c r="AW266" s="25">
        <f t="shared" si="250"/>
        <v>2681.7941288569423</v>
      </c>
      <c r="AX266" s="25">
        <f t="shared" si="250"/>
        <v>2100.352447598877</v>
      </c>
      <c r="AY266" s="25">
        <f t="shared" si="250"/>
        <v>0</v>
      </c>
      <c r="AZ266" s="25">
        <f t="shared" si="250"/>
        <v>0</v>
      </c>
      <c r="BA266" s="25">
        <f t="shared" si="250"/>
        <v>4782.1465764558197</v>
      </c>
      <c r="BB266" s="25">
        <f t="shared" si="250"/>
        <v>2546.5930751171172</v>
      </c>
      <c r="BC266" s="25">
        <f t="shared" si="250"/>
        <v>1925.5000000000036</v>
      </c>
      <c r="BD266" s="25">
        <f t="shared" si="250"/>
        <v>0</v>
      </c>
      <c r="BE266" s="25">
        <f t="shared" si="250"/>
        <v>0</v>
      </c>
      <c r="BF266" s="25">
        <f t="shared" si="250"/>
        <v>4472.0930751171209</v>
      </c>
      <c r="BG266" s="25">
        <f t="shared" si="250"/>
        <v>2219.5194237512515</v>
      </c>
      <c r="BH266" s="25">
        <f t="shared" si="250"/>
        <v>2195.0066855244199</v>
      </c>
      <c r="BI266" s="25">
        <f t="shared" si="250"/>
        <v>0</v>
      </c>
      <c r="BJ266" s="25">
        <f t="shared" si="250"/>
        <v>0</v>
      </c>
      <c r="BK266" s="25">
        <f t="shared" si="250"/>
        <v>4414.5261092756718</v>
      </c>
      <c r="BL266" s="25">
        <f t="shared" si="250"/>
        <v>2667.446207211166</v>
      </c>
      <c r="BM266" s="25">
        <f t="shared" si="250"/>
        <v>1713.7645497228423</v>
      </c>
      <c r="BN266" s="25">
        <f t="shared" si="250"/>
        <v>0</v>
      </c>
      <c r="BO266" s="25">
        <f t="shared" si="250"/>
        <v>0</v>
      </c>
      <c r="BP266" s="25">
        <f t="shared" si="250"/>
        <v>4381.2107569340078</v>
      </c>
      <c r="BQ266" s="25">
        <f t="shared" si="250"/>
        <v>25629.999999999975</v>
      </c>
      <c r="BR266" s="25">
        <f t="shared" si="250"/>
        <v>20969.999999999993</v>
      </c>
      <c r="BS266" s="25">
        <f t="shared" si="250"/>
        <v>0</v>
      </c>
      <c r="BT266" s="25">
        <f t="shared" si="250"/>
        <v>0</v>
      </c>
      <c r="BU266" s="25">
        <f t="shared" ref="BU266" si="251">+SUM(BU265)</f>
        <v>46599.999999999971</v>
      </c>
    </row>
    <row r="267" spans="1:79" s="38" customFormat="1">
      <c r="A267" s="74"/>
      <c r="B267" s="74" t="s">
        <v>651</v>
      </c>
      <c r="C267" s="74"/>
      <c r="D267" s="78"/>
      <c r="E267" s="74"/>
      <c r="F267" s="74"/>
      <c r="G267" s="74" t="s">
        <v>651</v>
      </c>
      <c r="H267" s="74"/>
      <c r="I267" s="74">
        <f>+SUM(I258,I260,I262,I264,I266)</f>
        <v>4103.7043371550099</v>
      </c>
      <c r="J267" s="74">
        <f t="shared" ref="J267:BU267" si="252">+SUM(J258,J260,J262,J264,J266)</f>
        <v>1604.5400045539366</v>
      </c>
      <c r="K267" s="74">
        <f t="shared" si="252"/>
        <v>0</v>
      </c>
      <c r="L267" s="74">
        <f t="shared" si="252"/>
        <v>0</v>
      </c>
      <c r="M267" s="74">
        <f t="shared" si="252"/>
        <v>5708.2443417089462</v>
      </c>
      <c r="N267" s="74">
        <f t="shared" si="252"/>
        <v>3781.7020659231371</v>
      </c>
      <c r="O267" s="74">
        <f t="shared" si="252"/>
        <v>1299.546375904461</v>
      </c>
      <c r="P267" s="74">
        <f t="shared" si="252"/>
        <v>0</v>
      </c>
      <c r="Q267" s="74">
        <f t="shared" si="252"/>
        <v>0</v>
      </c>
      <c r="R267" s="74">
        <f t="shared" si="252"/>
        <v>5081.2484418275981</v>
      </c>
      <c r="S267" s="74">
        <f t="shared" si="252"/>
        <v>4844.951144743769</v>
      </c>
      <c r="T267" s="74">
        <f t="shared" si="252"/>
        <v>1807.2914675412051</v>
      </c>
      <c r="U267" s="74">
        <f t="shared" si="252"/>
        <v>0</v>
      </c>
      <c r="V267" s="74">
        <f t="shared" si="252"/>
        <v>0</v>
      </c>
      <c r="W267" s="74">
        <f t="shared" si="252"/>
        <v>6652.2426122849747</v>
      </c>
      <c r="X267" s="74">
        <f t="shared" si="252"/>
        <v>5119.544440324692</v>
      </c>
      <c r="Y267" s="74">
        <f t="shared" si="252"/>
        <v>2055.2340048858291</v>
      </c>
      <c r="Z267" s="74">
        <f t="shared" si="252"/>
        <v>0</v>
      </c>
      <c r="AA267" s="74">
        <f t="shared" si="252"/>
        <v>0</v>
      </c>
      <c r="AB267" s="74">
        <f t="shared" si="252"/>
        <v>7174.7784452105207</v>
      </c>
      <c r="AC267" s="74">
        <f t="shared" si="252"/>
        <v>5453.654979804749</v>
      </c>
      <c r="AD267" s="74">
        <f t="shared" si="252"/>
        <v>2136.9398417863549</v>
      </c>
      <c r="AE267" s="74">
        <f t="shared" si="252"/>
        <v>0</v>
      </c>
      <c r="AF267" s="74">
        <f t="shared" si="252"/>
        <v>0</v>
      </c>
      <c r="AG267" s="74">
        <f t="shared" si="252"/>
        <v>7590.5948215911039</v>
      </c>
      <c r="AH267" s="74">
        <f t="shared" si="252"/>
        <v>6079.3031129723859</v>
      </c>
      <c r="AI267" s="74">
        <f t="shared" si="252"/>
        <v>2437.4680510636795</v>
      </c>
      <c r="AJ267" s="74">
        <f t="shared" si="252"/>
        <v>0</v>
      </c>
      <c r="AK267" s="74">
        <f t="shared" si="252"/>
        <v>0</v>
      </c>
      <c r="AL267" s="74">
        <f t="shared" si="252"/>
        <v>8516.7711640360667</v>
      </c>
      <c r="AM267" s="74">
        <f t="shared" si="252"/>
        <v>7075.8405114528778</v>
      </c>
      <c r="AN267" s="74">
        <f t="shared" si="252"/>
        <v>2542.0343911857735</v>
      </c>
      <c r="AO267" s="74">
        <f t="shared" si="252"/>
        <v>0</v>
      </c>
      <c r="AP267" s="74">
        <f t="shared" si="252"/>
        <v>0</v>
      </c>
      <c r="AQ267" s="74">
        <f t="shared" si="252"/>
        <v>9617.8749026386504</v>
      </c>
      <c r="AR267" s="74">
        <f t="shared" si="252"/>
        <v>7705.4623852519799</v>
      </c>
      <c r="AS267" s="74">
        <f t="shared" si="252"/>
        <v>2675.4818327346984</v>
      </c>
      <c r="AT267" s="74">
        <f t="shared" si="252"/>
        <v>0</v>
      </c>
      <c r="AU267" s="74">
        <f t="shared" si="252"/>
        <v>0</v>
      </c>
      <c r="AV267" s="74">
        <f t="shared" si="252"/>
        <v>10380.944217986678</v>
      </c>
      <c r="AW267" s="74">
        <f t="shared" si="252"/>
        <v>7836.2291493987432</v>
      </c>
      <c r="AX267" s="74">
        <f t="shared" si="252"/>
        <v>2702.8609829427742</v>
      </c>
      <c r="AY267" s="74">
        <f t="shared" si="252"/>
        <v>0</v>
      </c>
      <c r="AZ267" s="74">
        <f t="shared" si="252"/>
        <v>0</v>
      </c>
      <c r="BA267" s="74">
        <f t="shared" si="252"/>
        <v>10539.090132341516</v>
      </c>
      <c r="BB267" s="74">
        <f t="shared" si="252"/>
        <v>8057.57246339216</v>
      </c>
      <c r="BC267" s="74">
        <f t="shared" si="252"/>
        <v>2531.6547545803824</v>
      </c>
      <c r="BD267" s="74">
        <f t="shared" si="252"/>
        <v>0</v>
      </c>
      <c r="BE267" s="74">
        <f t="shared" si="252"/>
        <v>0</v>
      </c>
      <c r="BF267" s="74">
        <f t="shared" si="252"/>
        <v>10589.227217972542</v>
      </c>
      <c r="BG267" s="74">
        <f t="shared" si="252"/>
        <v>8078.8527323418693</v>
      </c>
      <c r="BH267" s="74">
        <f t="shared" si="252"/>
        <v>2923.7176113682467</v>
      </c>
      <c r="BI267" s="74">
        <f t="shared" si="252"/>
        <v>0</v>
      </c>
      <c r="BJ267" s="74">
        <f t="shared" si="252"/>
        <v>0</v>
      </c>
      <c r="BK267" s="74">
        <f t="shared" si="252"/>
        <v>11002.570343710117</v>
      </c>
      <c r="BL267" s="74">
        <f t="shared" si="252"/>
        <v>9362.7845703760504</v>
      </c>
      <c r="BM267" s="74">
        <f t="shared" si="252"/>
        <v>2439.2770503437241</v>
      </c>
      <c r="BN267" s="74">
        <f t="shared" si="252"/>
        <v>0</v>
      </c>
      <c r="BO267" s="74">
        <f t="shared" si="252"/>
        <v>0</v>
      </c>
      <c r="BP267" s="74">
        <f t="shared" si="252"/>
        <v>11802.061620719775</v>
      </c>
      <c r="BQ267" s="74">
        <f t="shared" si="252"/>
        <v>77499.601893137427</v>
      </c>
      <c r="BR267" s="74">
        <f t="shared" si="252"/>
        <v>27156.046368891071</v>
      </c>
      <c r="BS267" s="74">
        <f t="shared" si="252"/>
        <v>0</v>
      </c>
      <c r="BT267" s="74">
        <f t="shared" si="252"/>
        <v>0</v>
      </c>
      <c r="BU267" s="74">
        <f t="shared" si="252"/>
        <v>104655.6482620285</v>
      </c>
    </row>
    <row r="268" spans="1:79" s="46" customFormat="1" hidden="1" outlineLevel="1">
      <c r="A268" s="16" t="s">
        <v>320</v>
      </c>
      <c r="B268" s="17" t="s">
        <v>652</v>
      </c>
      <c r="C268" s="17"/>
      <c r="D268" s="17"/>
      <c r="E268" s="17"/>
      <c r="F268" s="17"/>
      <c r="G268" s="17" t="s">
        <v>652</v>
      </c>
      <c r="H268" s="17">
        <v>0</v>
      </c>
      <c r="I268" s="17">
        <v>566.62697477646816</v>
      </c>
      <c r="J268" s="17">
        <v>582.77308691861276</v>
      </c>
      <c r="K268" s="17">
        <v>0.7</v>
      </c>
      <c r="L268" s="17"/>
      <c r="M268" s="17">
        <f t="shared" ref="M268:M270" si="253">I268+J268+L268+K268</f>
        <v>1150.100061695081</v>
      </c>
      <c r="N268" s="17">
        <v>648.23105577435081</v>
      </c>
      <c r="O268" s="17">
        <v>669.1275271095468</v>
      </c>
      <c r="P268" s="17">
        <v>0.8</v>
      </c>
      <c r="Q268" s="17"/>
      <c r="R268" s="17">
        <f t="shared" ref="R268:R270" si="254">N268+O268+Q268+P268</f>
        <v>1318.1585828838977</v>
      </c>
      <c r="S268" s="17">
        <v>632.85778324454918</v>
      </c>
      <c r="T268" s="17">
        <v>618.81151036332415</v>
      </c>
      <c r="U268" s="17">
        <v>0.8</v>
      </c>
      <c r="V268" s="17"/>
      <c r="W268" s="17">
        <f t="shared" ref="W268:W270" si="255">S268+T268+V268+U268</f>
        <v>1252.4692936078734</v>
      </c>
      <c r="X268" s="17">
        <v>542.93063531242342</v>
      </c>
      <c r="Y268" s="17">
        <v>560.53243396820062</v>
      </c>
      <c r="Z268" s="17">
        <v>0.67</v>
      </c>
      <c r="AA268" s="17"/>
      <c r="AB268" s="17">
        <f t="shared" ref="AB268:AB270" si="256">X268+Y268+AA268+Z268</f>
        <v>1104.1330692806241</v>
      </c>
      <c r="AC268" s="17">
        <v>504.51246867331679</v>
      </c>
      <c r="AD268" s="17">
        <v>542.73218213420319</v>
      </c>
      <c r="AE268" s="17">
        <v>0.61</v>
      </c>
      <c r="AF268" s="17"/>
      <c r="AG268" s="17">
        <f t="shared" ref="AG268:AG270" si="257">AC268+AD268+AF268+AE268</f>
        <v>1047.8546508075199</v>
      </c>
      <c r="AH268" s="17">
        <v>496.64749417995034</v>
      </c>
      <c r="AI268" s="17">
        <v>534.56513923152465</v>
      </c>
      <c r="AJ268" s="17">
        <v>0.6</v>
      </c>
      <c r="AK268" s="17"/>
      <c r="AL268" s="17">
        <f t="shared" ref="AL268:AL270" si="258">AH268+AI268+AK268+AJ268</f>
        <v>1031.812633411475</v>
      </c>
      <c r="AM268" s="17">
        <v>531.40794247018198</v>
      </c>
      <c r="AN268" s="17">
        <v>557.90203285178575</v>
      </c>
      <c r="AO268" s="17">
        <v>0.65</v>
      </c>
      <c r="AP268" s="17"/>
      <c r="AQ268" s="17">
        <f t="shared" ref="AQ268:AQ270" si="259">AM268+AN268+AP268+AO268</f>
        <v>1089.9599753219677</v>
      </c>
      <c r="AR268" s="17">
        <v>585.95605809602148</v>
      </c>
      <c r="AS268" s="17">
        <v>591.51757384038456</v>
      </c>
      <c r="AT268" s="17">
        <v>0.73</v>
      </c>
      <c r="AU268" s="17"/>
      <c r="AV268" s="17">
        <f t="shared" ref="AV268:AV270" si="260">AR268+AS268+AU268+AT268</f>
        <v>1178.2036319364061</v>
      </c>
      <c r="AW268" s="17">
        <v>600.55025503459058</v>
      </c>
      <c r="AX268" s="17">
        <v>602.93790031559058</v>
      </c>
      <c r="AY268" s="17">
        <v>0.75</v>
      </c>
      <c r="AZ268" s="17"/>
      <c r="BA268" s="17">
        <f t="shared" ref="BA268:BA270" si="261">AW268+AX268+AZ268+AY268</f>
        <v>1204.2381553501812</v>
      </c>
      <c r="BB268" s="17">
        <v>418.79208531050455</v>
      </c>
      <c r="BC268" s="17">
        <v>460.38022328296699</v>
      </c>
      <c r="BD268" s="17">
        <v>0.5</v>
      </c>
      <c r="BE268" s="17"/>
      <c r="BF268" s="17">
        <f t="shared" ref="BF268:BF270" si="262">BB268+BC268+BE268+BD268</f>
        <v>879.6723085934716</v>
      </c>
      <c r="BG268" s="17">
        <v>411.68427884924733</v>
      </c>
      <c r="BH268" s="17">
        <v>455.48901993372249</v>
      </c>
      <c r="BI268" s="17">
        <v>0.49</v>
      </c>
      <c r="BJ268" s="17"/>
      <c r="BK268" s="17">
        <f t="shared" ref="BK268:BK270" si="263">BG268+BH268+BJ268+BI268</f>
        <v>867.66329878296983</v>
      </c>
      <c r="BL268" s="17">
        <v>417.71491727839538</v>
      </c>
      <c r="BM268" s="17">
        <v>457.5194210501374</v>
      </c>
      <c r="BN268" s="17">
        <v>0.5</v>
      </c>
      <c r="BO268" s="17"/>
      <c r="BP268" s="17">
        <f t="shared" si="164"/>
        <v>875.73433832853277</v>
      </c>
      <c r="BQ268" s="17">
        <f t="shared" ref="BQ268:BT270" si="264">BL268+BG268+BB268+AW268+AR268+AM268+AH268+AC268+X268+S268+N268+I268</f>
        <v>6357.9119489999985</v>
      </c>
      <c r="BR268" s="17">
        <f t="shared" si="264"/>
        <v>6634.2880509999986</v>
      </c>
      <c r="BS268" s="17">
        <f t="shared" si="264"/>
        <v>7.8</v>
      </c>
      <c r="BT268" s="17">
        <f t="shared" si="264"/>
        <v>0</v>
      </c>
      <c r="BU268" s="17">
        <f t="shared" si="166"/>
        <v>12999.999999999996</v>
      </c>
    </row>
    <row r="269" spans="1:79" s="46" customFormat="1" hidden="1" outlineLevel="1">
      <c r="A269" s="16" t="s">
        <v>320</v>
      </c>
      <c r="B269" s="17" t="s">
        <v>320</v>
      </c>
      <c r="C269" s="17"/>
      <c r="D269" s="17"/>
      <c r="E269" s="17"/>
      <c r="F269" s="17"/>
      <c r="G269" s="17" t="s">
        <v>320</v>
      </c>
      <c r="H269" s="17">
        <v>0</v>
      </c>
      <c r="I269" s="17">
        <v>0</v>
      </c>
      <c r="J269" s="17">
        <v>0</v>
      </c>
      <c r="K269" s="17"/>
      <c r="L269" s="17">
        <v>2383.0249437000002</v>
      </c>
      <c r="M269" s="17">
        <f t="shared" si="253"/>
        <v>2383.0249437000002</v>
      </c>
      <c r="N269" s="17">
        <v>0</v>
      </c>
      <c r="O269" s="17">
        <v>0</v>
      </c>
      <c r="P269" s="17"/>
      <c r="Q269" s="17">
        <v>2070.93894705</v>
      </c>
      <c r="R269" s="17">
        <f t="shared" si="254"/>
        <v>2070.93894705</v>
      </c>
      <c r="S269" s="17">
        <v>0</v>
      </c>
      <c r="T269" s="17">
        <v>0</v>
      </c>
      <c r="U269" s="17"/>
      <c r="V269" s="17">
        <v>2497.3477303</v>
      </c>
      <c r="W269" s="17">
        <f t="shared" si="255"/>
        <v>2497.3477303</v>
      </c>
      <c r="X269" s="17">
        <v>0</v>
      </c>
      <c r="Y269" s="17">
        <v>0</v>
      </c>
      <c r="Z269" s="17"/>
      <c r="AA269" s="17">
        <v>2399.4067427</v>
      </c>
      <c r="AB269" s="17">
        <f t="shared" si="256"/>
        <v>2399.4067427</v>
      </c>
      <c r="AC269" s="17">
        <v>0</v>
      </c>
      <c r="AD269" s="17">
        <v>0</v>
      </c>
      <c r="AE269" s="17"/>
      <c r="AF269" s="17">
        <v>2566.9917472500001</v>
      </c>
      <c r="AG269" s="17">
        <f t="shared" si="257"/>
        <v>2566.9917472500001</v>
      </c>
      <c r="AH269" s="17">
        <v>0</v>
      </c>
      <c r="AI269" s="17">
        <v>0</v>
      </c>
      <c r="AJ269" s="17"/>
      <c r="AK269" s="17">
        <v>2479.4426774000008</v>
      </c>
      <c r="AL269" s="17">
        <f t="shared" si="258"/>
        <v>2479.4426774000008</v>
      </c>
      <c r="AM269" s="17">
        <v>0</v>
      </c>
      <c r="AN269" s="17">
        <v>0</v>
      </c>
      <c r="AO269" s="17"/>
      <c r="AP269" s="17">
        <v>2440.7708253999999</v>
      </c>
      <c r="AQ269" s="17">
        <f t="shared" si="259"/>
        <v>2440.7708253999999</v>
      </c>
      <c r="AR269" s="17">
        <v>0</v>
      </c>
      <c r="AS269" s="17">
        <v>0</v>
      </c>
      <c r="AT269" s="17"/>
      <c r="AU269" s="17">
        <v>2335.6957006000002</v>
      </c>
      <c r="AV269" s="17">
        <f t="shared" si="260"/>
        <v>2335.6957006000002</v>
      </c>
      <c r="AW269" s="17">
        <v>0</v>
      </c>
      <c r="AX269" s="17">
        <v>0</v>
      </c>
      <c r="AY269" s="17"/>
      <c r="AZ269" s="17">
        <v>2408.0877070249999</v>
      </c>
      <c r="BA269" s="17">
        <f t="shared" si="261"/>
        <v>2408.0877070249999</v>
      </c>
      <c r="BB269" s="17">
        <v>0</v>
      </c>
      <c r="BC269" s="17">
        <v>0</v>
      </c>
      <c r="BD269" s="17"/>
      <c r="BE269" s="17">
        <v>2470.0976595249999</v>
      </c>
      <c r="BF269" s="17">
        <f t="shared" si="262"/>
        <v>2470.0976595249999</v>
      </c>
      <c r="BG269" s="17">
        <v>0</v>
      </c>
      <c r="BH269" s="17">
        <v>0</v>
      </c>
      <c r="BI269" s="17"/>
      <c r="BJ269" s="17">
        <v>2534.5976595249999</v>
      </c>
      <c r="BK269" s="17">
        <f t="shared" si="263"/>
        <v>2534.5976595249999</v>
      </c>
      <c r="BL269" s="17">
        <v>0</v>
      </c>
      <c r="BM269" s="17">
        <v>0</v>
      </c>
      <c r="BN269" s="17"/>
      <c r="BO269" s="17">
        <v>2413.5976595249999</v>
      </c>
      <c r="BP269" s="17">
        <f t="shared" si="164"/>
        <v>2413.5976595249999</v>
      </c>
      <c r="BQ269" s="17">
        <f t="shared" si="264"/>
        <v>0</v>
      </c>
      <c r="BR269" s="17">
        <f t="shared" si="264"/>
        <v>0</v>
      </c>
      <c r="BS269" s="17">
        <f t="shared" si="264"/>
        <v>0</v>
      </c>
      <c r="BT269" s="17">
        <f t="shared" si="264"/>
        <v>29000</v>
      </c>
      <c r="BU269" s="17">
        <f t="shared" si="166"/>
        <v>29000</v>
      </c>
    </row>
    <row r="270" spans="1:79" s="46" customFormat="1" hidden="1" outlineLevel="1">
      <c r="A270" s="16" t="s">
        <v>320</v>
      </c>
      <c r="B270" s="17" t="s">
        <v>653</v>
      </c>
      <c r="C270" s="17"/>
      <c r="D270" s="17"/>
      <c r="E270" s="17"/>
      <c r="F270" s="17"/>
      <c r="G270" s="17" t="s">
        <v>653</v>
      </c>
      <c r="H270" s="17">
        <v>0</v>
      </c>
      <c r="I270" s="17"/>
      <c r="J270" s="17"/>
      <c r="K270" s="17"/>
      <c r="L270" s="17"/>
      <c r="M270" s="17">
        <f t="shared" si="253"/>
        <v>0</v>
      </c>
      <c r="N270" s="17"/>
      <c r="O270" s="17"/>
      <c r="P270" s="17"/>
      <c r="Q270" s="17"/>
      <c r="R270" s="17">
        <f t="shared" si="254"/>
        <v>0</v>
      </c>
      <c r="S270" s="17"/>
      <c r="T270" s="17"/>
      <c r="U270" s="17"/>
      <c r="V270" s="17"/>
      <c r="W270" s="17">
        <f t="shared" si="255"/>
        <v>0</v>
      </c>
      <c r="X270" s="17"/>
      <c r="Y270" s="17"/>
      <c r="Z270" s="17"/>
      <c r="AA270" s="17"/>
      <c r="AB270" s="17">
        <f t="shared" si="256"/>
        <v>0</v>
      </c>
      <c r="AC270" s="17"/>
      <c r="AD270" s="17"/>
      <c r="AE270" s="17"/>
      <c r="AF270" s="17"/>
      <c r="AG270" s="17">
        <f t="shared" si="257"/>
        <v>0</v>
      </c>
      <c r="AH270" s="17"/>
      <c r="AI270" s="17"/>
      <c r="AJ270" s="17"/>
      <c r="AK270" s="17"/>
      <c r="AL270" s="17">
        <f t="shared" si="258"/>
        <v>0</v>
      </c>
      <c r="AM270" s="17"/>
      <c r="AN270" s="17"/>
      <c r="AO270" s="17"/>
      <c r="AP270" s="17"/>
      <c r="AQ270" s="17">
        <f t="shared" si="259"/>
        <v>0</v>
      </c>
      <c r="AR270" s="17"/>
      <c r="AS270" s="17"/>
      <c r="AT270" s="17"/>
      <c r="AU270" s="17"/>
      <c r="AV270" s="17">
        <f t="shared" si="260"/>
        <v>0</v>
      </c>
      <c r="AW270" s="17"/>
      <c r="AX270" s="17"/>
      <c r="AY270" s="17"/>
      <c r="AZ270" s="17"/>
      <c r="BA270" s="17">
        <f t="shared" si="261"/>
        <v>0</v>
      </c>
      <c r="BB270" s="17"/>
      <c r="BC270" s="17"/>
      <c r="BD270" s="17"/>
      <c r="BE270" s="17"/>
      <c r="BF270" s="17">
        <f t="shared" si="262"/>
        <v>0</v>
      </c>
      <c r="BG270" s="17"/>
      <c r="BH270" s="17"/>
      <c r="BI270" s="17"/>
      <c r="BJ270" s="17"/>
      <c r="BK270" s="17">
        <f t="shared" si="263"/>
        <v>0</v>
      </c>
      <c r="BL270" s="17"/>
      <c r="BM270" s="17"/>
      <c r="BN270" s="17"/>
      <c r="BO270" s="17"/>
      <c r="BP270" s="17">
        <f t="shared" si="164"/>
        <v>0</v>
      </c>
      <c r="BQ270" s="17">
        <f t="shared" si="264"/>
        <v>0</v>
      </c>
      <c r="BR270" s="17">
        <f t="shared" si="264"/>
        <v>0</v>
      </c>
      <c r="BS270" s="17">
        <f t="shared" si="264"/>
        <v>0</v>
      </c>
      <c r="BT270" s="17">
        <f t="shared" si="264"/>
        <v>0</v>
      </c>
      <c r="BU270" s="17">
        <f t="shared" si="166"/>
        <v>0</v>
      </c>
    </row>
    <row r="271" spans="1:79" s="38" customFormat="1" collapsed="1">
      <c r="A271" s="79"/>
      <c r="B271" s="80" t="s">
        <v>654</v>
      </c>
      <c r="C271" s="80"/>
      <c r="D271" s="80"/>
      <c r="E271" s="80"/>
      <c r="F271" s="80"/>
      <c r="G271" s="81"/>
      <c r="H271" s="74"/>
      <c r="I271" s="74">
        <f>+SUM(I268:I270)</f>
        <v>566.62697477646816</v>
      </c>
      <c r="J271" s="74">
        <f t="shared" ref="J271:BU271" si="265">+SUM(J268:J270)</f>
        <v>582.77308691861276</v>
      </c>
      <c r="K271" s="74">
        <f t="shared" si="265"/>
        <v>0.7</v>
      </c>
      <c r="L271" s="74">
        <f t="shared" si="265"/>
        <v>2383.0249437000002</v>
      </c>
      <c r="M271" s="74">
        <f t="shared" si="265"/>
        <v>3533.1250053950812</v>
      </c>
      <c r="N271" s="74">
        <f t="shared" si="265"/>
        <v>648.23105577435081</v>
      </c>
      <c r="O271" s="74">
        <f t="shared" si="265"/>
        <v>669.1275271095468</v>
      </c>
      <c r="P271" s="74">
        <f t="shared" si="265"/>
        <v>0.8</v>
      </c>
      <c r="Q271" s="74">
        <f t="shared" si="265"/>
        <v>2070.93894705</v>
      </c>
      <c r="R271" s="74">
        <f t="shared" si="265"/>
        <v>3389.0975299338979</v>
      </c>
      <c r="S271" s="74">
        <f t="shared" si="265"/>
        <v>632.85778324454918</v>
      </c>
      <c r="T271" s="74">
        <f t="shared" si="265"/>
        <v>618.81151036332415</v>
      </c>
      <c r="U271" s="74">
        <f t="shared" si="265"/>
        <v>0.8</v>
      </c>
      <c r="V271" s="74">
        <f t="shared" si="265"/>
        <v>2497.3477303</v>
      </c>
      <c r="W271" s="74">
        <f t="shared" si="265"/>
        <v>3749.8170239078736</v>
      </c>
      <c r="X271" s="74">
        <f t="shared" si="265"/>
        <v>542.93063531242342</v>
      </c>
      <c r="Y271" s="74">
        <f t="shared" si="265"/>
        <v>560.53243396820062</v>
      </c>
      <c r="Z271" s="74">
        <f t="shared" si="265"/>
        <v>0.67</v>
      </c>
      <c r="AA271" s="74">
        <f t="shared" si="265"/>
        <v>2399.4067427</v>
      </c>
      <c r="AB271" s="74">
        <f t="shared" si="265"/>
        <v>3503.5398119806241</v>
      </c>
      <c r="AC271" s="74">
        <f t="shared" si="265"/>
        <v>504.51246867331679</v>
      </c>
      <c r="AD271" s="74">
        <f t="shared" si="265"/>
        <v>542.73218213420319</v>
      </c>
      <c r="AE271" s="74">
        <f t="shared" si="265"/>
        <v>0.61</v>
      </c>
      <c r="AF271" s="74">
        <f t="shared" si="265"/>
        <v>2566.9917472500001</v>
      </c>
      <c r="AG271" s="74">
        <f t="shared" si="265"/>
        <v>3614.8463980575198</v>
      </c>
      <c r="AH271" s="74">
        <f t="shared" si="265"/>
        <v>496.64749417995034</v>
      </c>
      <c r="AI271" s="74">
        <f t="shared" si="265"/>
        <v>534.56513923152465</v>
      </c>
      <c r="AJ271" s="74">
        <f t="shared" si="265"/>
        <v>0.6</v>
      </c>
      <c r="AK271" s="74">
        <f t="shared" si="265"/>
        <v>2479.4426774000008</v>
      </c>
      <c r="AL271" s="74">
        <f t="shared" si="265"/>
        <v>3511.2553108114757</v>
      </c>
      <c r="AM271" s="74">
        <f t="shared" si="265"/>
        <v>531.40794247018198</v>
      </c>
      <c r="AN271" s="74">
        <f t="shared" si="265"/>
        <v>557.90203285178575</v>
      </c>
      <c r="AO271" s="74">
        <f t="shared" si="265"/>
        <v>0.65</v>
      </c>
      <c r="AP271" s="74">
        <f t="shared" si="265"/>
        <v>2440.7708253999999</v>
      </c>
      <c r="AQ271" s="74">
        <f>+SUM(AQ268:AQ270)</f>
        <v>3530.7308007219676</v>
      </c>
      <c r="AR271" s="74">
        <f t="shared" si="265"/>
        <v>585.95605809602148</v>
      </c>
      <c r="AS271" s="74">
        <f t="shared" si="265"/>
        <v>591.51757384038456</v>
      </c>
      <c r="AT271" s="74">
        <f t="shared" si="265"/>
        <v>0.73</v>
      </c>
      <c r="AU271" s="74">
        <f t="shared" si="265"/>
        <v>2335.6957006000002</v>
      </c>
      <c r="AV271" s="74">
        <f t="shared" si="265"/>
        <v>3513.8993325364063</v>
      </c>
      <c r="AW271" s="74">
        <f t="shared" si="265"/>
        <v>600.55025503459058</v>
      </c>
      <c r="AX271" s="74">
        <f t="shared" si="265"/>
        <v>602.93790031559058</v>
      </c>
      <c r="AY271" s="74">
        <f t="shared" si="265"/>
        <v>0.75</v>
      </c>
      <c r="AZ271" s="74">
        <f t="shared" si="265"/>
        <v>2408.0877070249999</v>
      </c>
      <c r="BA271" s="74">
        <f t="shared" si="265"/>
        <v>3612.3258623751808</v>
      </c>
      <c r="BB271" s="74">
        <f t="shared" si="265"/>
        <v>418.79208531050455</v>
      </c>
      <c r="BC271" s="74">
        <f t="shared" si="265"/>
        <v>460.38022328296699</v>
      </c>
      <c r="BD271" s="74">
        <f t="shared" si="265"/>
        <v>0.5</v>
      </c>
      <c r="BE271" s="74">
        <f t="shared" si="265"/>
        <v>2470.0976595249999</v>
      </c>
      <c r="BF271" s="74">
        <f t="shared" si="265"/>
        <v>3349.7699681184713</v>
      </c>
      <c r="BG271" s="74">
        <f t="shared" si="265"/>
        <v>411.68427884924733</v>
      </c>
      <c r="BH271" s="74">
        <f t="shared" si="265"/>
        <v>455.48901993372249</v>
      </c>
      <c r="BI271" s="74">
        <f t="shared" si="265"/>
        <v>0.49</v>
      </c>
      <c r="BJ271" s="74">
        <f t="shared" si="265"/>
        <v>2534.5976595249999</v>
      </c>
      <c r="BK271" s="74">
        <f t="shared" si="265"/>
        <v>3402.2609583079698</v>
      </c>
      <c r="BL271" s="74">
        <f t="shared" si="265"/>
        <v>417.71491727839538</v>
      </c>
      <c r="BM271" s="74">
        <f t="shared" si="265"/>
        <v>457.5194210501374</v>
      </c>
      <c r="BN271" s="74">
        <f t="shared" si="265"/>
        <v>0.5</v>
      </c>
      <c r="BO271" s="74">
        <f t="shared" si="265"/>
        <v>2413.5976595249999</v>
      </c>
      <c r="BP271" s="74">
        <f t="shared" si="265"/>
        <v>3289.3319978535328</v>
      </c>
      <c r="BQ271" s="74">
        <f t="shared" si="265"/>
        <v>6357.9119489999985</v>
      </c>
      <c r="BR271" s="74">
        <f t="shared" si="265"/>
        <v>6634.2880509999986</v>
      </c>
      <c r="BS271" s="74">
        <f t="shared" si="265"/>
        <v>7.8</v>
      </c>
      <c r="BT271" s="74">
        <f t="shared" si="265"/>
        <v>29000</v>
      </c>
      <c r="BU271" s="74">
        <f t="shared" si="265"/>
        <v>42000</v>
      </c>
    </row>
    <row r="272" spans="1:79" s="88" customFormat="1">
      <c r="A272" s="82" t="s">
        <v>655</v>
      </c>
      <c r="B272" s="83"/>
      <c r="C272" s="83"/>
      <c r="D272" s="83"/>
      <c r="E272" s="83"/>
      <c r="F272" s="83"/>
      <c r="G272" s="84"/>
      <c r="H272" s="85"/>
      <c r="I272" s="86">
        <f t="shared" ref="I272:BT272" si="266">I267+I197+I125+I87+I271+I256</f>
        <v>15998.276872520184</v>
      </c>
      <c r="J272" s="86">
        <f t="shared" si="266"/>
        <v>20600.511963370136</v>
      </c>
      <c r="K272" s="86">
        <f t="shared" si="266"/>
        <v>162.59960657181429</v>
      </c>
      <c r="L272" s="86">
        <f t="shared" si="266"/>
        <v>2891.835542939788</v>
      </c>
      <c r="M272" s="86">
        <f t="shared" si="266"/>
        <v>39653.223985401914</v>
      </c>
      <c r="N272" s="86">
        <f t="shared" si="266"/>
        <v>16404.748985440328</v>
      </c>
      <c r="O272" s="86">
        <f t="shared" si="266"/>
        <v>19573.599841487317</v>
      </c>
      <c r="P272" s="86">
        <f t="shared" si="266"/>
        <v>153.86168016297609</v>
      </c>
      <c r="Q272" s="86">
        <f t="shared" si="266"/>
        <v>2551.576299448142</v>
      </c>
      <c r="R272" s="86">
        <f t="shared" si="266"/>
        <v>38683.786806538767</v>
      </c>
      <c r="S272" s="86">
        <f t="shared" si="266"/>
        <v>18801.042673439555</v>
      </c>
      <c r="T272" s="86">
        <f t="shared" si="266"/>
        <v>22826.595378163191</v>
      </c>
      <c r="U272" s="86">
        <f t="shared" si="266"/>
        <v>227.0948698678969</v>
      </c>
      <c r="V272" s="86">
        <f t="shared" si="266"/>
        <v>2984.1906536085403</v>
      </c>
      <c r="W272" s="86">
        <f t="shared" si="266"/>
        <v>44838.923575079178</v>
      </c>
      <c r="X272" s="86">
        <f t="shared" si="266"/>
        <v>20060.821027468242</v>
      </c>
      <c r="Y272" s="86">
        <f t="shared" si="266"/>
        <v>23852.211696108043</v>
      </c>
      <c r="Z272" s="86">
        <f t="shared" si="266"/>
        <v>237.40867376148978</v>
      </c>
      <c r="AA272" s="86">
        <f t="shared" si="266"/>
        <v>2896.5270751089251</v>
      </c>
      <c r="AB272" s="86">
        <f t="shared" si="266"/>
        <v>47046.968472446693</v>
      </c>
      <c r="AC272" s="86">
        <f t="shared" si="266"/>
        <v>20691.554527401699</v>
      </c>
      <c r="AD272" s="86">
        <f t="shared" si="266"/>
        <v>26375.531032385534</v>
      </c>
      <c r="AE272" s="86">
        <f t="shared" si="266"/>
        <v>200.58128849520401</v>
      </c>
      <c r="AF272" s="86">
        <f t="shared" si="266"/>
        <v>3065.056531034304</v>
      </c>
      <c r="AG272" s="86">
        <f t="shared" si="266"/>
        <v>50332.723379316732</v>
      </c>
      <c r="AH272" s="86">
        <f t="shared" si="266"/>
        <v>19736.141777300036</v>
      </c>
      <c r="AI272" s="86">
        <f t="shared" si="266"/>
        <v>27321.478723946413</v>
      </c>
      <c r="AJ272" s="86">
        <f t="shared" si="266"/>
        <v>171.10177893537303</v>
      </c>
      <c r="AK272" s="86">
        <f t="shared" si="266"/>
        <v>2963.7565500184674</v>
      </c>
      <c r="AL272" s="86">
        <f t="shared" si="266"/>
        <v>50192.478830200293</v>
      </c>
      <c r="AM272" s="86">
        <f t="shared" si="266"/>
        <v>21445.384118220249</v>
      </c>
      <c r="AN272" s="86">
        <f t="shared" si="266"/>
        <v>29179.385588456375</v>
      </c>
      <c r="AO272" s="86">
        <f t="shared" si="266"/>
        <v>67.648125449690241</v>
      </c>
      <c r="AP272" s="86">
        <f t="shared" si="266"/>
        <v>2931.3081831079762</v>
      </c>
      <c r="AQ272" s="86">
        <f>AQ267+AQ197+AQ125+AQ87+AQ271+AQ256</f>
        <v>53623.726015234286</v>
      </c>
      <c r="AR272" s="86">
        <f t="shared" si="266"/>
        <v>22573.420467051965</v>
      </c>
      <c r="AS272" s="86">
        <f t="shared" si="266"/>
        <v>29899.506931187203</v>
      </c>
      <c r="AT272" s="86">
        <f t="shared" si="266"/>
        <v>212.9510685689869</v>
      </c>
      <c r="AU272" s="86">
        <f t="shared" si="266"/>
        <v>2839.8308467754391</v>
      </c>
      <c r="AV272" s="86">
        <f t="shared" si="266"/>
        <v>55525.709313583597</v>
      </c>
      <c r="AW272" s="86">
        <f t="shared" si="266"/>
        <v>22722.547050010962</v>
      </c>
      <c r="AX272" s="86">
        <f t="shared" si="266"/>
        <v>28909.393710158794</v>
      </c>
      <c r="AY272" s="86">
        <f t="shared" si="266"/>
        <v>169.53645828487319</v>
      </c>
      <c r="AZ272" s="86">
        <f t="shared" si="266"/>
        <v>2898.6986245690268</v>
      </c>
      <c r="BA272" s="86">
        <f t="shared" si="266"/>
        <v>54700.175843023651</v>
      </c>
      <c r="BB272" s="86">
        <f t="shared" si="266"/>
        <v>22323.48966557821</v>
      </c>
      <c r="BC272" s="86">
        <f t="shared" si="266"/>
        <v>26486.705101990057</v>
      </c>
      <c r="BD272" s="86">
        <f t="shared" si="266"/>
        <v>123.05963082599187</v>
      </c>
      <c r="BE272" s="86">
        <f t="shared" si="266"/>
        <v>2958.5580924894211</v>
      </c>
      <c r="BF272" s="86">
        <f t="shared" si="266"/>
        <v>51891.812490883676</v>
      </c>
      <c r="BG272" s="86">
        <f t="shared" si="266"/>
        <v>22350.119000961658</v>
      </c>
      <c r="BH272" s="86">
        <f t="shared" si="266"/>
        <v>26132.286000170021</v>
      </c>
      <c r="BI272" s="86">
        <f t="shared" si="266"/>
        <v>109.370560305761</v>
      </c>
      <c r="BJ272" s="86">
        <f t="shared" si="266"/>
        <v>3022.7699169444459</v>
      </c>
      <c r="BK272" s="86">
        <f t="shared" si="266"/>
        <v>51614.545478381893</v>
      </c>
      <c r="BL272" s="86">
        <f t="shared" si="266"/>
        <v>23939.500173072618</v>
      </c>
      <c r="BM272" s="86">
        <f t="shared" si="266"/>
        <v>24674.385228081697</v>
      </c>
      <c r="BN272" s="86">
        <f t="shared" si="266"/>
        <v>116.24494542954757</v>
      </c>
      <c r="BO272" s="86">
        <f t="shared" si="266"/>
        <v>2889.3202490402859</v>
      </c>
      <c r="BP272" s="86">
        <f t="shared" si="266"/>
        <v>51619.450595624148</v>
      </c>
      <c r="BQ272" s="86">
        <f t="shared" si="266"/>
        <v>247047.04633846571</v>
      </c>
      <c r="BR272" s="86">
        <f t="shared" si="266"/>
        <v>305831.59119550476</v>
      </c>
      <c r="BS272" s="86">
        <f t="shared" si="266"/>
        <v>1951.4586866596051</v>
      </c>
      <c r="BT272" s="86">
        <f t="shared" si="266"/>
        <v>34893.42856508476</v>
      </c>
      <c r="BU272" s="86">
        <f t="shared" ref="BU272" si="267">BU267+BU197+BU125+BU87+BU271+BU256</f>
        <v>589723.52478571492</v>
      </c>
      <c r="BV272" s="87"/>
      <c r="BW272" s="87"/>
      <c r="BX272" s="87"/>
      <c r="BY272" s="87"/>
      <c r="BZ272" s="87"/>
      <c r="CA272" s="87"/>
    </row>
    <row r="273" spans="2:73" s="38" customFormat="1" ht="20.25" customHeight="1">
      <c r="BU273" s="89"/>
    </row>
    <row r="274" spans="2:73" s="38" customFormat="1"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</row>
    <row r="275" spans="2:73" s="38" customFormat="1"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</row>
    <row r="276" spans="2:73" s="38" customFormat="1">
      <c r="BQ276" s="2"/>
      <c r="BR276" s="2"/>
      <c r="BS276" s="2"/>
      <c r="BT276" s="2"/>
      <c r="BU276" s="2"/>
    </row>
    <row r="277" spans="2:73" s="38" customFormat="1">
      <c r="BQ277" s="2"/>
      <c r="BR277" s="2"/>
      <c r="BS277" s="2"/>
      <c r="BT277" s="2"/>
      <c r="BU277" s="2"/>
    </row>
    <row r="278" spans="2:73" s="38" customFormat="1">
      <c r="BU278" s="2"/>
    </row>
    <row r="279" spans="2:73" s="38" customFormat="1">
      <c r="BU279" s="2"/>
    </row>
    <row r="280" spans="2:73" s="38" customFormat="1">
      <c r="B280" s="1"/>
      <c r="C280" s="1"/>
      <c r="D280" s="1"/>
      <c r="E280" s="1"/>
      <c r="F280" s="1"/>
      <c r="G280" s="1"/>
      <c r="H280" s="1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0"/>
      <c r="BS280" s="90"/>
      <c r="BT280" s="90"/>
      <c r="BU280" s="90"/>
    </row>
    <row r="281" spans="2:73" s="38" customFormat="1">
      <c r="B281" s="1"/>
      <c r="C281" s="1"/>
      <c r="D281" s="1"/>
      <c r="E281" s="1"/>
      <c r="F281" s="1"/>
      <c r="G281" s="1"/>
      <c r="H281" s="1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</row>
    <row r="282" spans="2:73" s="38" customFormat="1">
      <c r="B282" s="1"/>
      <c r="C282" s="1"/>
      <c r="D282" s="1"/>
      <c r="E282" s="1"/>
      <c r="F282" s="1"/>
      <c r="G282" s="1"/>
      <c r="H282" s="1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0"/>
      <c r="BS282" s="90"/>
      <c r="BT282" s="90"/>
      <c r="BU282" s="90"/>
    </row>
    <row r="283" spans="2:73" s="38" customFormat="1"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</row>
    <row r="284" spans="2:73" s="38" customFormat="1">
      <c r="B284" s="1"/>
      <c r="C284" s="1"/>
      <c r="D284" s="1"/>
      <c r="E284" s="1"/>
      <c r="F284" s="1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91">
        <f>+BQ197/BU197</f>
        <v>0.70469727828853757</v>
      </c>
      <c r="BR284" s="2"/>
      <c r="BS284" s="2"/>
      <c r="BT284" s="2"/>
      <c r="BU284" s="2"/>
    </row>
    <row r="285" spans="2:73" s="38" customFormat="1">
      <c r="B285" s="1"/>
      <c r="C285" s="1"/>
      <c r="D285" s="1"/>
      <c r="E285" s="1"/>
      <c r="F285" s="1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</row>
    <row r="286" spans="2:73" s="38" customFormat="1">
      <c r="B286" s="1"/>
      <c r="C286" s="1"/>
      <c r="D286" s="1"/>
      <c r="E286" s="1"/>
      <c r="F286" s="1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</row>
    <row r="287" spans="2:73" s="38" customFormat="1">
      <c r="B287" s="1"/>
      <c r="C287" s="1"/>
      <c r="D287" s="1"/>
      <c r="E287" s="1"/>
      <c r="F287" s="1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</row>
    <row r="288" spans="2:73" s="38" customFormat="1">
      <c r="B288" s="1"/>
      <c r="C288" s="1"/>
      <c r="D288" s="1"/>
      <c r="E288" s="1"/>
      <c r="F288" s="1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</row>
    <row r="289" spans="2:73" s="38" customFormat="1">
      <c r="B289" s="1"/>
      <c r="C289" s="1"/>
      <c r="D289" s="1"/>
      <c r="E289" s="1"/>
      <c r="F289" s="1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</row>
    <row r="290" spans="2:73" s="38" customFormat="1">
      <c r="B290" s="1"/>
      <c r="C290" s="1"/>
      <c r="D290" s="1"/>
      <c r="E290" s="1"/>
      <c r="F290" s="1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</row>
    <row r="291" spans="2:73" s="38" customFormat="1">
      <c r="B291" s="1"/>
      <c r="C291" s="1"/>
      <c r="D291" s="1"/>
      <c r="E291" s="1"/>
      <c r="F291" s="1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</row>
    <row r="292" spans="2:73" s="38" customFormat="1">
      <c r="B292" s="1"/>
      <c r="C292" s="1"/>
      <c r="D292" s="1"/>
      <c r="E292" s="1"/>
      <c r="F292" s="1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</row>
    <row r="293" spans="2:73" s="38" customFormat="1">
      <c r="B293" s="1"/>
      <c r="C293" s="1"/>
      <c r="D293" s="1"/>
      <c r="E293" s="1"/>
      <c r="F293" s="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</row>
    <row r="294" spans="2:73" s="38" customFormat="1">
      <c r="B294" s="1"/>
      <c r="C294" s="1"/>
      <c r="D294" s="1"/>
      <c r="E294" s="1"/>
      <c r="F294" s="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</row>
    <row r="295" spans="2:73" s="38" customFormat="1">
      <c r="B295" s="1"/>
      <c r="C295" s="1"/>
      <c r="D295" s="1"/>
      <c r="E295" s="1"/>
      <c r="F295" s="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</row>
    <row r="296" spans="2:73" s="38" customFormat="1">
      <c r="B296" s="1"/>
      <c r="C296" s="1"/>
      <c r="D296" s="1"/>
      <c r="E296" s="1"/>
      <c r="F296" s="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</row>
    <row r="297" spans="2:73" s="38" customFormat="1">
      <c r="B297" s="1"/>
      <c r="C297" s="1"/>
      <c r="D297" s="1"/>
      <c r="E297" s="1"/>
      <c r="F297" s="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</row>
    <row r="298" spans="2:73" s="38" customFormat="1">
      <c r="B298" s="1"/>
      <c r="C298" s="1"/>
      <c r="D298" s="1"/>
      <c r="E298" s="1"/>
      <c r="F298" s="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</row>
    <row r="299" spans="2:73" s="38" customFormat="1">
      <c r="B299" s="1"/>
      <c r="C299" s="1"/>
      <c r="D299" s="1"/>
      <c r="E299" s="1"/>
      <c r="F299" s="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</row>
    <row r="300" spans="2:73" s="38" customFormat="1">
      <c r="B300" s="1"/>
      <c r="C300" s="1"/>
      <c r="D300" s="1"/>
      <c r="E300" s="1"/>
      <c r="F300" s="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</row>
    <row r="301" spans="2:73" s="38" customFormat="1">
      <c r="B301" s="1"/>
      <c r="C301" s="1"/>
      <c r="D301" s="1"/>
      <c r="E301" s="1"/>
      <c r="F301" s="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</row>
    <row r="302" spans="2:73" s="38" customFormat="1">
      <c r="B302" s="1"/>
      <c r="C302" s="1"/>
      <c r="D302" s="1"/>
      <c r="E302" s="1"/>
      <c r="F302" s="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</row>
    <row r="303" spans="2:73" s="38" customFormat="1">
      <c r="B303" s="1"/>
      <c r="C303" s="1"/>
      <c r="D303" s="1"/>
      <c r="E303" s="1"/>
      <c r="F303" s="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</row>
    <row r="304" spans="2:73" s="38" customFormat="1">
      <c r="B304" s="1"/>
      <c r="C304" s="1"/>
      <c r="D304" s="1"/>
      <c r="E304" s="1"/>
      <c r="F304" s="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</row>
    <row r="305" spans="2:73" s="38" customFormat="1">
      <c r="B305" s="1"/>
      <c r="C305" s="1"/>
      <c r="D305" s="1"/>
      <c r="E305" s="1"/>
      <c r="F305" s="1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</row>
    <row r="306" spans="2:73" s="38" customFormat="1">
      <c r="B306" s="1"/>
      <c r="C306" s="1"/>
      <c r="D306" s="1"/>
      <c r="E306" s="1"/>
      <c r="F306" s="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</row>
    <row r="307" spans="2:73" s="38" customFormat="1">
      <c r="B307" s="1"/>
      <c r="C307" s="1"/>
      <c r="D307" s="1"/>
      <c r="E307" s="1"/>
      <c r="F307" s="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</row>
    <row r="308" spans="2:73" s="38" customFormat="1">
      <c r="B308" s="1"/>
      <c r="C308" s="1"/>
      <c r="D308" s="1"/>
      <c r="E308" s="1"/>
      <c r="F308" s="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</row>
    <row r="309" spans="2:73" s="38" customFormat="1">
      <c r="B309" s="1"/>
      <c r="C309" s="1"/>
      <c r="D309" s="1"/>
      <c r="E309" s="1"/>
      <c r="F309" s="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</row>
    <row r="310" spans="2:73" s="38" customFormat="1">
      <c r="B310" s="1"/>
      <c r="C310" s="1"/>
      <c r="D310" s="1"/>
      <c r="E310" s="1"/>
      <c r="F310" s="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</row>
    <row r="311" spans="2:73" s="38" customFormat="1">
      <c r="B311" s="1"/>
      <c r="C311" s="1"/>
      <c r="D311" s="1"/>
      <c r="E311" s="1"/>
      <c r="F311" s="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</row>
    <row r="312" spans="2:73" s="38" customFormat="1">
      <c r="B312" s="1"/>
      <c r="C312" s="1"/>
      <c r="D312" s="1"/>
      <c r="E312" s="1"/>
      <c r="F312" s="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</row>
    <row r="313" spans="2:73" s="38" customFormat="1">
      <c r="B313" s="1"/>
      <c r="C313" s="1"/>
      <c r="D313" s="1"/>
      <c r="E313" s="1"/>
      <c r="F313" s="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</row>
    <row r="314" spans="2:73" s="38" customFormat="1">
      <c r="B314" s="1"/>
      <c r="C314" s="1"/>
      <c r="D314" s="1"/>
      <c r="E314" s="1"/>
      <c r="F314" s="1"/>
      <c r="I314" s="1"/>
      <c r="J314" s="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</row>
    <row r="315" spans="2:73" s="38" customFormat="1">
      <c r="B315" s="1"/>
      <c r="C315" s="1"/>
      <c r="D315" s="1"/>
      <c r="E315" s="1"/>
      <c r="F315" s="1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2"/>
      <c r="BR315" s="2"/>
      <c r="BS315" s="2"/>
      <c r="BT315" s="2"/>
      <c r="BU315" s="2"/>
    </row>
    <row r="316" spans="2:73" s="38" customFormat="1">
      <c r="B316" s="1"/>
      <c r="C316" s="1"/>
      <c r="D316" s="1"/>
      <c r="E316" s="1"/>
      <c r="F316" s="1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2"/>
      <c r="BR316" s="2"/>
      <c r="BS316" s="2"/>
      <c r="BT316" s="2"/>
      <c r="BU316" s="2"/>
    </row>
    <row r="317" spans="2:73" s="38" customFormat="1">
      <c r="B317" s="1"/>
      <c r="C317" s="1"/>
      <c r="D317" s="1"/>
      <c r="E317" s="1"/>
      <c r="F317" s="1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2"/>
      <c r="BR317" s="2"/>
      <c r="BS317" s="2"/>
      <c r="BT317" s="2"/>
      <c r="BU317" s="2"/>
    </row>
    <row r="318" spans="2:73" s="38" customFormat="1" hidden="1">
      <c r="B318" s="1"/>
      <c r="C318" s="1"/>
      <c r="D318" s="1"/>
      <c r="E318" s="1"/>
      <c r="F318" s="1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2"/>
      <c r="BR318" s="2"/>
      <c r="BS318" s="2"/>
      <c r="BT318" s="2"/>
      <c r="BU318" s="2"/>
    </row>
    <row r="319" spans="2:73" s="38" customFormat="1" hidden="1">
      <c r="B319" s="1"/>
      <c r="C319" s="1"/>
      <c r="D319" s="1"/>
      <c r="E319" s="1"/>
      <c r="F319" s="1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2"/>
      <c r="BR319" s="2"/>
      <c r="BS319" s="2"/>
      <c r="BT319" s="2"/>
      <c r="BU319" s="2"/>
    </row>
    <row r="320" spans="2:73" s="38" customFormat="1" hidden="1">
      <c r="B320" s="1"/>
      <c r="C320" s="1"/>
      <c r="D320" s="1"/>
      <c r="E320" s="1"/>
      <c r="F320" s="1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2"/>
      <c r="BR320" s="2"/>
      <c r="BS320" s="2"/>
      <c r="BT320" s="2"/>
      <c r="BU320" s="2"/>
    </row>
    <row r="321" spans="2:73" s="38" customFormat="1" hidden="1">
      <c r="B321" s="1"/>
      <c r="C321" s="1"/>
      <c r="D321" s="1"/>
      <c r="E321" s="1"/>
      <c r="F321" s="1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2"/>
      <c r="BR321" s="2"/>
      <c r="BS321" s="2"/>
      <c r="BT321" s="2"/>
      <c r="BU321" s="2"/>
    </row>
    <row r="322" spans="2:73" s="38" customFormat="1" hidden="1">
      <c r="B322" s="1"/>
      <c r="C322" s="1"/>
      <c r="D322" s="1"/>
      <c r="E322" s="1"/>
      <c r="F322" s="1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2"/>
      <c r="BR322" s="2"/>
      <c r="BS322" s="2"/>
      <c r="BT322" s="2"/>
      <c r="BU322" s="2"/>
    </row>
    <row r="323" spans="2:73" s="38" customFormat="1" hidden="1">
      <c r="B323" s="1"/>
      <c r="C323" s="1"/>
      <c r="D323" s="1"/>
      <c r="E323" s="1"/>
      <c r="F323" s="1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2"/>
      <c r="BR323" s="2"/>
      <c r="BS323" s="2"/>
      <c r="BT323" s="2"/>
      <c r="BU323" s="2"/>
    </row>
    <row r="324" spans="2:73" s="38" customFormat="1" hidden="1">
      <c r="B324" s="1"/>
      <c r="C324" s="1"/>
      <c r="D324" s="1"/>
      <c r="E324" s="1"/>
      <c r="F324" s="1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2"/>
      <c r="BR324" s="2"/>
      <c r="BS324" s="2"/>
      <c r="BT324" s="2"/>
      <c r="BU324" s="2"/>
    </row>
    <row r="325" spans="2:73" s="38" customFormat="1" hidden="1">
      <c r="B325" s="1"/>
      <c r="C325" s="1"/>
      <c r="D325" s="1"/>
      <c r="E325" s="1"/>
      <c r="F325" s="1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2"/>
      <c r="BR325" s="2"/>
      <c r="BS325" s="2"/>
      <c r="BT325" s="2"/>
      <c r="BU325" s="2"/>
    </row>
    <row r="326" spans="2:73" s="38" customFormat="1" hidden="1">
      <c r="B326" s="1"/>
      <c r="C326" s="1"/>
      <c r="D326" s="1"/>
      <c r="E326" s="1"/>
      <c r="F326" s="1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2"/>
      <c r="BR326" s="2"/>
      <c r="BS326" s="2"/>
      <c r="BT326" s="2"/>
      <c r="BU326" s="2"/>
    </row>
    <row r="327" spans="2:73" s="38" customFormat="1" hidden="1">
      <c r="B327" s="1"/>
      <c r="C327" s="1"/>
      <c r="D327" s="1"/>
      <c r="E327" s="1"/>
      <c r="F327" s="1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2"/>
      <c r="BR327" s="2"/>
      <c r="BS327" s="2"/>
      <c r="BT327" s="2"/>
      <c r="BU327" s="2"/>
    </row>
    <row r="328" spans="2:73" s="38" customFormat="1" hidden="1">
      <c r="B328" s="1"/>
      <c r="C328" s="1"/>
      <c r="D328" s="1"/>
      <c r="E328" s="1"/>
      <c r="F328" s="1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2"/>
      <c r="BR328" s="2"/>
      <c r="BS328" s="2"/>
      <c r="BT328" s="2"/>
      <c r="BU328" s="2"/>
    </row>
    <row r="329" spans="2:73" s="38" customFormat="1" hidden="1">
      <c r="B329" s="1"/>
      <c r="C329" s="1"/>
      <c r="D329" s="1"/>
      <c r="E329" s="1"/>
      <c r="F329" s="1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2"/>
      <c r="BR329" s="2"/>
      <c r="BS329" s="2"/>
      <c r="BT329" s="2"/>
      <c r="BU329" s="2"/>
    </row>
    <row r="330" spans="2:73" s="38" customFormat="1" hidden="1">
      <c r="B330" s="1"/>
      <c r="C330" s="1"/>
      <c r="D330" s="1"/>
      <c r="E330" s="1"/>
      <c r="F330" s="1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2"/>
      <c r="BR330" s="2"/>
      <c r="BS330" s="2"/>
      <c r="BT330" s="2"/>
      <c r="BU330" s="2"/>
    </row>
    <row r="331" spans="2:73" s="38" customFormat="1" hidden="1">
      <c r="B331" s="1"/>
      <c r="C331" s="1"/>
      <c r="D331" s="1"/>
      <c r="E331" s="1"/>
      <c r="F331" s="1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2"/>
      <c r="BR331" s="2"/>
      <c r="BS331" s="2"/>
      <c r="BT331" s="2"/>
      <c r="BU331" s="2"/>
    </row>
    <row r="332" spans="2:73" s="38" customFormat="1" hidden="1">
      <c r="B332" s="1"/>
      <c r="C332" s="1"/>
      <c r="D332" s="1"/>
      <c r="E332" s="1"/>
      <c r="F332" s="1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0"/>
      <c r="BQ332" s="2"/>
      <c r="BR332" s="2"/>
      <c r="BS332" s="2"/>
      <c r="BT332" s="2"/>
      <c r="BU332" s="2"/>
    </row>
    <row r="333" spans="2:73" s="38" customFormat="1" hidden="1">
      <c r="B333" s="1"/>
      <c r="C333" s="1"/>
      <c r="D333" s="1"/>
      <c r="E333" s="1"/>
      <c r="F333" s="1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  <c r="BO333" s="90"/>
      <c r="BP333" s="90"/>
      <c r="BQ333" s="2"/>
      <c r="BR333" s="2"/>
      <c r="BS333" s="2"/>
      <c r="BT333" s="2"/>
      <c r="BU333" s="2"/>
    </row>
    <row r="334" spans="2:73" s="38" customFormat="1" hidden="1">
      <c r="B334" s="1"/>
      <c r="C334" s="1"/>
      <c r="D334" s="1"/>
      <c r="E334" s="1"/>
      <c r="F334" s="1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2"/>
      <c r="BR334" s="2"/>
      <c r="BS334" s="2"/>
      <c r="BT334" s="2"/>
      <c r="BU334" s="2"/>
    </row>
    <row r="335" spans="2:73" s="38" customFormat="1" hidden="1">
      <c r="B335" s="1"/>
      <c r="C335" s="1"/>
      <c r="D335" s="1"/>
      <c r="E335" s="1"/>
      <c r="F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2"/>
      <c r="BR335" s="2"/>
      <c r="BS335" s="2"/>
      <c r="BT335" s="2"/>
      <c r="BU335" s="2"/>
    </row>
    <row r="336" spans="2:73" s="38" customFormat="1" hidden="1">
      <c r="B336" s="1"/>
      <c r="C336" s="1"/>
      <c r="D336" s="1"/>
      <c r="E336" s="1"/>
      <c r="F336" s="1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0"/>
      <c r="BQ336" s="2"/>
      <c r="BR336" s="2"/>
      <c r="BS336" s="2"/>
      <c r="BT336" s="2"/>
      <c r="BU336" s="2"/>
    </row>
    <row r="337" spans="2:73" s="38" customFormat="1" hidden="1">
      <c r="B337" s="1"/>
      <c r="C337" s="1"/>
      <c r="D337" s="1"/>
      <c r="E337" s="1"/>
      <c r="F337" s="1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  <c r="BO337" s="90"/>
      <c r="BP337" s="90"/>
      <c r="BQ337" s="2"/>
      <c r="BR337" s="2"/>
      <c r="BS337" s="2"/>
      <c r="BT337" s="2"/>
      <c r="BU337" s="2"/>
    </row>
    <row r="338" spans="2:73" s="38" customFormat="1" hidden="1">
      <c r="B338" s="1"/>
      <c r="C338" s="1"/>
      <c r="D338" s="1"/>
      <c r="E338" s="1"/>
      <c r="F338" s="1"/>
      <c r="I338" s="1"/>
      <c r="J338" s="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</row>
    <row r="339" spans="2:73" s="38" customFormat="1" hidden="1">
      <c r="B339" s="1"/>
      <c r="C339" s="1"/>
      <c r="D339" s="1"/>
      <c r="E339" s="1"/>
      <c r="F339" s="1"/>
      <c r="I339" s="1"/>
      <c r="J339" s="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</row>
    <row r="340" spans="2:73" s="38" customFormat="1" hidden="1">
      <c r="B340" s="1"/>
      <c r="C340" s="1"/>
      <c r="D340" s="1"/>
      <c r="E340" s="1"/>
      <c r="F340" s="1"/>
      <c r="I340" s="92"/>
      <c r="J340" s="92"/>
      <c r="K340" s="2"/>
      <c r="L340" s="2"/>
      <c r="M340" s="2"/>
      <c r="N340" s="92"/>
      <c r="O340" s="92"/>
      <c r="P340" s="2"/>
      <c r="Q340" s="2"/>
      <c r="R340" s="2"/>
      <c r="S340" s="92"/>
      <c r="T340" s="92"/>
      <c r="U340" s="2"/>
      <c r="V340" s="2"/>
      <c r="W340" s="2"/>
      <c r="X340" s="92"/>
      <c r="Y340" s="92"/>
      <c r="Z340" s="2"/>
      <c r="AA340" s="2"/>
      <c r="AB340" s="2"/>
      <c r="AC340" s="92"/>
      <c r="AD340" s="92"/>
      <c r="AE340" s="2"/>
      <c r="AF340" s="2"/>
      <c r="AG340" s="2"/>
      <c r="AH340" s="92"/>
      <c r="AI340" s="92"/>
      <c r="AJ340" s="2"/>
      <c r="AK340" s="2"/>
      <c r="AL340" s="2"/>
      <c r="AM340" s="92"/>
      <c r="AN340" s="92"/>
      <c r="AO340" s="2"/>
      <c r="AP340" s="2"/>
      <c r="AQ340" s="2"/>
      <c r="AR340" s="92"/>
      <c r="AS340" s="92"/>
      <c r="AT340" s="2"/>
      <c r="AU340" s="2"/>
      <c r="AV340" s="2"/>
      <c r="AW340" s="92"/>
      <c r="AX340" s="92"/>
      <c r="AY340" s="2"/>
      <c r="AZ340" s="2"/>
      <c r="BA340" s="2"/>
      <c r="BB340" s="92"/>
      <c r="BC340" s="92"/>
      <c r="BD340" s="2"/>
      <c r="BE340" s="2"/>
      <c r="BF340" s="2"/>
      <c r="BG340" s="92"/>
      <c r="BH340" s="92"/>
      <c r="BI340" s="2"/>
      <c r="BJ340" s="2"/>
      <c r="BK340" s="2"/>
      <c r="BL340" s="92"/>
      <c r="BM340" s="92"/>
      <c r="BN340" s="2"/>
      <c r="BO340" s="2"/>
      <c r="BP340" s="2"/>
      <c r="BQ340" s="2"/>
      <c r="BR340" s="2"/>
      <c r="BS340" s="2"/>
      <c r="BT340" s="2"/>
      <c r="BU340" s="2"/>
    </row>
    <row r="341" spans="2:73" s="38" customFormat="1" hidden="1">
      <c r="B341" s="1"/>
      <c r="C341" s="1"/>
      <c r="D341" s="1"/>
      <c r="E341" s="1"/>
      <c r="F341" s="1"/>
      <c r="I341" s="1"/>
      <c r="J341" s="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</row>
    <row r="342" spans="2:73" s="38" customFormat="1" hidden="1">
      <c r="B342" s="1"/>
      <c r="C342" s="1"/>
      <c r="D342" s="1"/>
      <c r="E342" s="1"/>
      <c r="F342" s="1"/>
      <c r="I342" s="1"/>
      <c r="J342" s="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</row>
    <row r="343" spans="2:73" s="38" customFormat="1">
      <c r="B343" s="1"/>
      <c r="C343" s="1"/>
      <c r="D343" s="1"/>
      <c r="E343" s="1"/>
      <c r="F343" s="1"/>
      <c r="I343" s="1"/>
      <c r="BS343" s="2"/>
      <c r="BT343" s="2"/>
      <c r="BU343" s="2"/>
    </row>
    <row r="344" spans="2:73" s="38" customFormat="1"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</row>
    <row r="345" spans="2:73" s="38" customFormat="1"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</row>
    <row r="346" spans="2:73" s="38" customFormat="1">
      <c r="B346" s="1"/>
      <c r="C346" s="1"/>
      <c r="D346" s="1"/>
      <c r="E346" s="1"/>
      <c r="F346" s="1"/>
      <c r="G346" s="1"/>
      <c r="H346" s="1"/>
      <c r="I346" s="1"/>
      <c r="J346" s="9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</row>
    <row r="347" spans="2:73" s="38" customFormat="1"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</row>
    <row r="348" spans="2:73" s="38" customFormat="1"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2:73" s="38" customFormat="1"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</row>
    <row r="350" spans="2:73" s="38" customFormat="1"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</row>
    <row r="351" spans="2:73" s="38" customFormat="1"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</row>
    <row r="352" spans="2:73" s="38" customFormat="1"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</row>
    <row r="353" spans="2:73" s="38" customFormat="1"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2:73" s="38" customFormat="1"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</row>
    <row r="355" spans="2:73" s="38" customFormat="1"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</row>
    <row r="356" spans="2:73" s="38" customFormat="1"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</row>
    <row r="357" spans="2:73" s="38" customFormat="1"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</row>
    <row r="358" spans="2:73" s="38" customFormat="1"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</row>
    <row r="359" spans="2:73" s="38" customFormat="1"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</row>
    <row r="360" spans="2:73" s="38" customFormat="1"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</row>
    <row r="361" spans="2:73" s="38" customFormat="1"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</row>
    <row r="362" spans="2:73" s="38" customFormat="1"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</row>
    <row r="363" spans="2:73" s="38" customFormat="1"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</row>
    <row r="364" spans="2:73" s="38" customFormat="1"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</row>
    <row r="365" spans="2:73" s="38" customFormat="1"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</row>
    <row r="366" spans="2:73" s="38" customFormat="1"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</row>
    <row r="367" spans="2:73" s="38" customFormat="1"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</row>
    <row r="368" spans="2:73" s="38" customFormat="1"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</row>
    <row r="369" spans="2:73" s="38" customFormat="1"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</row>
    <row r="370" spans="2:73" s="38" customFormat="1"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</row>
    <row r="371" spans="2:73" s="38" customFormat="1"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</row>
    <row r="372" spans="2:73" s="38" customFormat="1"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</row>
    <row r="373" spans="2:73" s="38" customFormat="1"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</row>
    <row r="374" spans="2:73" s="38" customFormat="1"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</row>
    <row r="375" spans="2:73" s="38" customFormat="1"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</row>
    <row r="376" spans="2:73" s="38" customFormat="1"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</row>
    <row r="377" spans="2:73" s="38" customFormat="1"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</row>
    <row r="378" spans="2:73" s="38" customFormat="1"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</row>
    <row r="379" spans="2:73" s="38" customFormat="1"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</row>
    <row r="380" spans="2:73" s="38" customFormat="1"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</row>
    <row r="381" spans="2:73" s="38" customFormat="1"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</row>
    <row r="382" spans="2:73" s="38" customFormat="1"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</row>
    <row r="383" spans="2:73" s="38" customFormat="1"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</row>
    <row r="384" spans="2:73" s="38" customFormat="1"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</row>
    <row r="385" spans="2:73" s="38" customFormat="1"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</row>
    <row r="386" spans="2:73" s="38" customFormat="1"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</row>
    <row r="387" spans="2:73" s="38" customFormat="1"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</row>
    <row r="388" spans="2:73" s="38" customFormat="1"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</row>
    <row r="389" spans="2:73" s="38" customFormat="1"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</row>
    <row r="390" spans="2:73" s="38" customFormat="1"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</row>
    <row r="391" spans="2:73" s="38" customFormat="1"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</row>
    <row r="392" spans="2:73" s="38" customFormat="1"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</row>
    <row r="393" spans="2:73" s="38" customFormat="1"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</row>
    <row r="394" spans="2:73" s="38" customFormat="1"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</row>
    <row r="395" spans="2:73" s="38" customFormat="1"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</row>
    <row r="396" spans="2:73" s="38" customFormat="1"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</row>
    <row r="397" spans="2:73" s="38" customFormat="1"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</row>
    <row r="398" spans="2:73" s="38" customFormat="1"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</row>
    <row r="399" spans="2:73" s="38" customFormat="1"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</row>
    <row r="400" spans="2:73" s="38" customFormat="1"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</row>
    <row r="401" spans="2:73" s="38" customFormat="1"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</row>
    <row r="402" spans="2:73" s="38" customFormat="1"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</row>
    <row r="403" spans="2:73" s="38" customFormat="1"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</row>
    <row r="404" spans="2:73" s="38" customFormat="1"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</row>
    <row r="405" spans="2:73" s="38" customFormat="1"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</row>
    <row r="406" spans="2:73" s="38" customFormat="1"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</row>
    <row r="407" spans="2:73" s="38" customFormat="1"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</row>
    <row r="408" spans="2:73" s="38" customFormat="1"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</row>
    <row r="409" spans="2:73" s="38" customFormat="1"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</row>
    <row r="410" spans="2:73" s="38" customFormat="1"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</row>
    <row r="411" spans="2:73" s="38" customFormat="1"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</row>
    <row r="412" spans="2:73" s="38" customFormat="1"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</row>
    <row r="413" spans="2:73" s="38" customFormat="1"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</row>
    <row r="414" spans="2:73" s="38" customFormat="1"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</row>
    <row r="415" spans="2:73" s="38" customFormat="1"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</row>
    <row r="416" spans="2:73" s="38" customFormat="1"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</row>
    <row r="417" spans="2:73" s="38" customFormat="1"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</row>
    <row r="418" spans="2:73" s="38" customFormat="1"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</row>
    <row r="419" spans="2:73" s="38" customFormat="1"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2:73" s="38" customFormat="1"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</row>
    <row r="421" spans="2:73" s="38" customFormat="1"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</row>
    <row r="422" spans="2:73" s="38" customFormat="1"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</row>
    <row r="423" spans="2:73" s="38" customFormat="1"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</row>
    <row r="424" spans="2:73" s="38" customFormat="1"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</row>
    <row r="425" spans="2:73" s="38" customFormat="1"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</row>
    <row r="426" spans="2:73" s="38" customFormat="1"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</row>
    <row r="427" spans="2:73" s="38" customFormat="1"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2:73" s="38" customFormat="1"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</row>
    <row r="429" spans="2:73" s="38" customFormat="1"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</row>
    <row r="430" spans="2:73" s="38" customFormat="1"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</row>
    <row r="431" spans="2:73" s="38" customFormat="1"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</row>
    <row r="432" spans="2:73" s="38" customFormat="1"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</row>
    <row r="433" spans="2:73" s="38" customFormat="1"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</row>
    <row r="434" spans="2:73" s="38" customFormat="1"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</row>
    <row r="435" spans="2:73" s="38" customFormat="1"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</row>
    <row r="436" spans="2:73" s="38" customFormat="1"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</row>
    <row r="437" spans="2:73" s="38" customFormat="1"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</row>
    <row r="438" spans="2:73" s="38" customFormat="1"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</row>
    <row r="439" spans="2:73" s="38" customFormat="1"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</row>
    <row r="440" spans="2:73" s="38" customFormat="1"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</row>
    <row r="441" spans="2:73" s="38" customFormat="1"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</row>
    <row r="442" spans="2:73" s="38" customFormat="1"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</row>
    <row r="443" spans="2:73" s="38" customFormat="1"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</row>
    <row r="444" spans="2:73" s="38" customFormat="1"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</row>
    <row r="445" spans="2:73" s="38" customFormat="1"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</row>
    <row r="446" spans="2:73" s="38" customFormat="1"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2:73" s="38" customFormat="1"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</row>
    <row r="448" spans="2:73" s="38" customFormat="1"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</row>
    <row r="449" spans="2:73" s="38" customFormat="1"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</row>
    <row r="450" spans="2:73" s="38" customFormat="1"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</row>
    <row r="451" spans="2:73" s="38" customFormat="1"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</row>
    <row r="452" spans="2:73" s="38" customFormat="1"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</row>
    <row r="453" spans="2:73" s="38" customFormat="1"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</row>
    <row r="454" spans="2:73" s="38" customFormat="1"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</row>
    <row r="455" spans="2:73" s="38" customFormat="1"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</row>
    <row r="456" spans="2:73" s="38" customFormat="1"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</row>
    <row r="457" spans="2:73" s="38" customFormat="1"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</row>
    <row r="458" spans="2:73" s="38" customFormat="1"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</row>
    <row r="459" spans="2:73" s="38" customFormat="1"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</row>
    <row r="460" spans="2:73" s="38" customFormat="1"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</row>
    <row r="461" spans="2:73" s="38" customFormat="1"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</row>
    <row r="462" spans="2:73" s="38" customFormat="1"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</row>
    <row r="463" spans="2:73" s="38" customFormat="1"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2:73" s="38" customFormat="1"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</row>
    <row r="465" spans="2:73" s="38" customFormat="1"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</row>
    <row r="466" spans="2:73" s="38" customFormat="1"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</row>
    <row r="467" spans="2:73" s="38" customFormat="1"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</row>
    <row r="468" spans="2:73" s="38" customFormat="1"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</row>
    <row r="469" spans="2:73" s="38" customFormat="1"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</row>
    <row r="470" spans="2:73" s="38" customFormat="1"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</row>
    <row r="471" spans="2:73" s="38" customFormat="1"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</row>
    <row r="472" spans="2:73" s="38" customFormat="1"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</row>
    <row r="473" spans="2:73" s="38" customFormat="1"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</row>
    <row r="474" spans="2:73" s="38" customFormat="1"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</row>
    <row r="475" spans="2:73" s="38" customFormat="1"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</row>
    <row r="476" spans="2:73" s="38" customFormat="1"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</row>
    <row r="477" spans="2:73" s="38" customFormat="1"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</row>
    <row r="478" spans="2:73" s="38" customFormat="1"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</row>
    <row r="479" spans="2:73" s="38" customFormat="1"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</row>
    <row r="480" spans="2:73" s="38" customFormat="1"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</row>
    <row r="481" spans="2:73" s="38" customFormat="1"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</row>
    <row r="482" spans="2:73" s="38" customFormat="1"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</row>
    <row r="483" spans="2:73" s="38" customFormat="1"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</row>
    <row r="484" spans="2:73" s="38" customFormat="1"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</row>
    <row r="485" spans="2:73" s="38" customFormat="1"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</row>
    <row r="486" spans="2:73" s="38" customFormat="1"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</row>
    <row r="487" spans="2:73" s="38" customFormat="1"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</row>
    <row r="488" spans="2:73" s="38" customFormat="1"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</row>
    <row r="489" spans="2:73" s="38" customFormat="1"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</row>
    <row r="490" spans="2:73" s="38" customFormat="1"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</row>
    <row r="491" spans="2:73" s="38" customFormat="1"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</row>
    <row r="492" spans="2:73" s="38" customFormat="1"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</row>
    <row r="493" spans="2:73" s="38" customFormat="1"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</row>
    <row r="494" spans="2:73" s="38" customFormat="1"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</row>
    <row r="495" spans="2:73" s="38" customFormat="1"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</row>
    <row r="496" spans="2:73" s="38" customFormat="1"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</row>
    <row r="497" spans="2:73" s="38" customFormat="1"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</row>
    <row r="498" spans="2:73" s="38" customFormat="1"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</row>
    <row r="499" spans="2:73" s="38" customFormat="1"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</row>
    <row r="500" spans="2:73" s="38" customFormat="1"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2:73" s="38" customFormat="1"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</row>
    <row r="502" spans="2:73" s="38" customFormat="1"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</row>
    <row r="503" spans="2:73" s="38" customFormat="1"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</row>
    <row r="504" spans="2:73" s="38" customFormat="1"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</row>
    <row r="505" spans="2:73" s="38" customFormat="1"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</row>
    <row r="506" spans="2:73" s="38" customFormat="1"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</row>
    <row r="507" spans="2:73" s="38" customFormat="1"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</row>
    <row r="508" spans="2:73" s="38" customFormat="1"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</row>
    <row r="509" spans="2:73" s="38" customFormat="1"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</row>
    <row r="510" spans="2:73" s="38" customFormat="1"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</row>
    <row r="511" spans="2:73" s="38" customFormat="1"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</row>
    <row r="512" spans="2:73" s="38" customFormat="1"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</row>
    <row r="513" spans="2:73" s="38" customFormat="1"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</row>
    <row r="514" spans="2:73" s="38" customFormat="1"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</row>
    <row r="515" spans="2:73" s="38" customFormat="1"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</row>
    <row r="516" spans="2:73" s="38" customFormat="1"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</row>
    <row r="517" spans="2:73" s="38" customFormat="1"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</row>
    <row r="518" spans="2:73" s="38" customFormat="1"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</row>
    <row r="519" spans="2:73" s="38" customFormat="1"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</row>
    <row r="520" spans="2:73" s="38" customFormat="1"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</row>
    <row r="521" spans="2:73" s="38" customFormat="1"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</row>
    <row r="522" spans="2:73" s="38" customFormat="1"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</row>
    <row r="523" spans="2:73" s="38" customFormat="1"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</row>
    <row r="524" spans="2:73" s="38" customFormat="1"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</row>
    <row r="525" spans="2:73" s="38" customFormat="1"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</row>
    <row r="526" spans="2:73" s="38" customFormat="1"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</row>
    <row r="527" spans="2:73" s="38" customFormat="1"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</row>
    <row r="528" spans="2:73" s="38" customFormat="1"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</row>
    <row r="529" spans="2:73" s="38" customFormat="1"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</row>
    <row r="530" spans="2:73" s="38" customFormat="1"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</row>
    <row r="531" spans="2:73" s="38" customFormat="1"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</row>
    <row r="532" spans="2:73" s="38" customFormat="1"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</row>
    <row r="533" spans="2:73" s="38" customFormat="1"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</row>
    <row r="534" spans="2:73" s="38" customFormat="1"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</row>
    <row r="535" spans="2:73" s="38" customFormat="1"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</row>
    <row r="536" spans="2:73" s="38" customFormat="1"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</row>
    <row r="537" spans="2:73" s="38" customFormat="1"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</row>
    <row r="538" spans="2:73" s="38" customFormat="1"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</row>
    <row r="539" spans="2:73" s="38" customFormat="1"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</row>
    <row r="540" spans="2:73" s="38" customFormat="1"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</row>
    <row r="541" spans="2:73" s="38" customFormat="1"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</row>
    <row r="542" spans="2:73" s="38" customFormat="1"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</row>
    <row r="543" spans="2:73" s="38" customFormat="1"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</row>
    <row r="544" spans="2:73" s="38" customFormat="1"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</row>
    <row r="545" spans="2:73" s="38" customFormat="1"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</row>
    <row r="546" spans="2:73" s="38" customFormat="1"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</row>
    <row r="547" spans="2:73" s="38" customFormat="1"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</row>
    <row r="548" spans="2:73" s="38" customFormat="1"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2:73" s="38" customFormat="1"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</row>
    <row r="550" spans="2:73" s="38" customFormat="1"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</row>
    <row r="551" spans="2:73" s="38" customFormat="1"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</row>
    <row r="552" spans="2:73" s="38" customFormat="1"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2:73" s="38" customFormat="1"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</row>
    <row r="554" spans="2:73" s="38" customFormat="1"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</row>
    <row r="555" spans="2:73" s="38" customFormat="1"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</row>
    <row r="556" spans="2:73" s="38" customFormat="1"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</row>
    <row r="557" spans="2:73" s="38" customFormat="1"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</row>
    <row r="558" spans="2:73" s="38" customFormat="1"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</row>
    <row r="559" spans="2:73" s="38" customFormat="1"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</row>
    <row r="560" spans="2:73" s="38" customFormat="1"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</row>
    <row r="561" spans="2:73" s="38" customFormat="1"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</row>
    <row r="562" spans="2:73" s="38" customFormat="1"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</row>
    <row r="563" spans="2:73" s="38" customFormat="1"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</row>
    <row r="564" spans="2:73" s="38" customFormat="1"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</row>
    <row r="565" spans="2:73" s="38" customFormat="1"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</row>
    <row r="566" spans="2:73" s="38" customFormat="1"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</row>
    <row r="567" spans="2:73" s="38" customFormat="1"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</row>
    <row r="568" spans="2:73" s="38" customFormat="1"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</row>
    <row r="569" spans="2:73" s="38" customFormat="1"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</row>
    <row r="570" spans="2:73" s="38" customFormat="1"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</row>
    <row r="571" spans="2:73" s="38" customFormat="1"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</row>
    <row r="572" spans="2:73" s="38" customFormat="1"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</row>
    <row r="573" spans="2:73" s="38" customFormat="1"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</row>
    <row r="574" spans="2:73" s="38" customFormat="1"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</row>
    <row r="575" spans="2:73" s="38" customFormat="1"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</row>
    <row r="576" spans="2:73" s="38" customFormat="1"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</row>
    <row r="577" spans="2:73" s="38" customFormat="1"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</row>
    <row r="578" spans="2:73" s="38" customFormat="1"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</row>
    <row r="579" spans="2:73" s="38" customFormat="1"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</row>
    <row r="580" spans="2:73" s="38" customFormat="1"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</row>
    <row r="581" spans="2:73" s="38" customFormat="1"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</row>
    <row r="582" spans="2:73" s="38" customFormat="1"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</row>
    <row r="583" spans="2:73" s="38" customFormat="1"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</row>
    <row r="584" spans="2:73" s="38" customFormat="1"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</row>
    <row r="585" spans="2:73" s="38" customFormat="1"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</row>
    <row r="586" spans="2:73" s="38" customFormat="1"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</row>
    <row r="587" spans="2:73" s="38" customFormat="1"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</row>
    <row r="588" spans="2:73" s="38" customFormat="1"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</row>
    <row r="589" spans="2:73" s="38" customFormat="1"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</row>
    <row r="590" spans="2:73" s="38" customFormat="1"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</row>
    <row r="591" spans="2:73" s="38" customFormat="1"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</row>
    <row r="592" spans="2:73" s="38" customFormat="1"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2:73" s="38" customFormat="1"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2:73" s="38" customFormat="1"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2:73" s="38" customFormat="1"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2:73" s="38" customFormat="1"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2:73" s="38" customFormat="1"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2:73" s="38" customFormat="1"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2:73" s="38" customFormat="1"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2:73" s="38" customFormat="1"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2:73" s="38" customFormat="1"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2:73" s="38" customFormat="1"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2:73" s="38" customFormat="1"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2:73" s="38" customFormat="1"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2:73" s="38" customFormat="1"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2:73" s="38" customFormat="1"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2:73" s="38" customFormat="1"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2:73" s="38" customFormat="1"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2:73" s="38" customFormat="1"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2:73" s="38" customFormat="1"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2:73" s="38" customFormat="1"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2:73" s="38" customFormat="1"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2:73" s="38" customFormat="1"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2:73" s="38" customFormat="1"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2:73" s="38" customFormat="1"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2:73" s="38" customFormat="1"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2:73" s="38" customFormat="1"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2:73" s="38" customFormat="1"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2:73" s="38" customFormat="1"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2:73" s="38" customFormat="1"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2:73" s="38" customFormat="1"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2:73" s="38" customFormat="1"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2:73" s="38" customFormat="1"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2:73" s="38" customFormat="1"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2:73" s="38" customFormat="1"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2:73" s="38" customFormat="1"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2:73" s="38" customFormat="1"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2:73" s="38" customFormat="1"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2:73" s="38" customFormat="1"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2:73" s="38" customFormat="1"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2:73" s="38" customFormat="1"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2:73" s="38" customFormat="1"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2:73" s="38" customFormat="1"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2:73" s="38" customFormat="1"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2:73" s="38" customFormat="1"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2:73" s="38" customFormat="1"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2:73" s="38" customFormat="1"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2:73" s="38" customFormat="1"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2:73" s="38" customFormat="1"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2:73" s="38" customFormat="1"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2:73" s="38" customFormat="1"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2:73" s="38" customFormat="1"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2:73" s="38" customFormat="1"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2:73" s="38" customFormat="1"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2:73" s="38" customFormat="1"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2:73" s="38" customFormat="1"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2:73" s="38" customFormat="1"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2:73" s="38" customFormat="1"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2:73" s="38" customFormat="1"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2:73" s="38" customFormat="1"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2:73" s="38" customFormat="1"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2:73" s="38" customFormat="1"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2:73" s="38" customFormat="1"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2:73" s="38" customFormat="1"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2:73" s="38" customFormat="1"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2:73" s="38" customFormat="1"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2:73" s="38" customFormat="1"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2:73" s="38" customFormat="1"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2:73" s="38" customFormat="1"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2:73" s="38" customFormat="1"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2:73" s="38" customFormat="1"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2:73" s="38" customFormat="1"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2:73" s="38" customFormat="1"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2:73" s="38" customFormat="1"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2:73" s="38" customFormat="1"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2:73" s="38" customFormat="1"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2:73" s="38" customFormat="1"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2:73" s="38" customFormat="1"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2:73" s="38" customFormat="1"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2:73" s="38" customFormat="1"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2:73" s="38" customFormat="1"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2:73" s="38" customFormat="1"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2:73" s="38" customFormat="1"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2:73" s="38" customFormat="1"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2:73" s="38" customFormat="1"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2:73" s="38" customFormat="1"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2:73" s="38" customFormat="1"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2:73" s="38" customFormat="1"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2:73" s="38" customFormat="1"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2:73" s="38" customFormat="1"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2:73" s="38" customFormat="1"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2:73" s="38" customFormat="1"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2:73" s="38" customFormat="1"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2:73" s="38" customFormat="1"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2:73" s="38" customFormat="1"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2:73" s="38" customFormat="1"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2:73" s="38" customFormat="1"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2:73" s="38" customFormat="1"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2:73" s="38" customFormat="1"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2:73" s="38" customFormat="1"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2:73" s="38" customFormat="1"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2:73" s="38" customFormat="1"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2:73" s="38" customFormat="1"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2:73" s="38" customFormat="1"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2:73" s="38" customFormat="1"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2:73" s="38" customFormat="1"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2:73" s="38" customFormat="1"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2:73" s="38" customFormat="1"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2:73" s="38" customFormat="1"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2:73" s="38" customFormat="1"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2:73" s="38" customFormat="1"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2:73" s="38" customFormat="1"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2:73" s="38" customFormat="1"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2:73" s="38" customFormat="1"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2:73" s="38" customFormat="1"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2:73" s="38" customFormat="1"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2:73" s="38" customFormat="1"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2:73" s="38" customFormat="1"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2:73" s="38" customFormat="1"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2:73" s="38" customFormat="1"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2:73" s="38" customFormat="1"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2:73" s="38" customFormat="1"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2:73" s="38" customFormat="1"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2:73" s="38" customFormat="1"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2:73" s="38" customFormat="1"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2:73" s="38" customFormat="1"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2:73" s="38" customFormat="1"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2:73" s="38" customFormat="1"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2:73" s="38" customFormat="1"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2:73" s="38" customFormat="1"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2:73" s="38" customFormat="1"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2:73" s="38" customFormat="1"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2:73" s="38" customFormat="1"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2:73" s="38" customFormat="1"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2:73" s="38" customFormat="1"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2:73" s="38" customFormat="1"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2:73" s="38" customFormat="1"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2:73" s="38" customFormat="1"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2:73" s="38" customFormat="1"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2:73" s="38" customFormat="1"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2:73" s="38" customFormat="1"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2:73" s="38" customFormat="1"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2:73" s="38" customFormat="1"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2:73" s="38" customFormat="1"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2:73" s="38" customFormat="1"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2:73" s="38" customFormat="1"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2:73" s="38" customFormat="1"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2:73" s="38" customFormat="1"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2:73" s="38" customFormat="1"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2:73" s="38" customFormat="1"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2:73" s="38" customFormat="1"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2:73" s="38" customFormat="1"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2:73" s="38" customFormat="1"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2:73" s="38" customFormat="1"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2:73" s="38" customFormat="1"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2:73" s="38" customFormat="1"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2:73" s="38" customFormat="1"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2:73" s="38" customFormat="1"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2:73" s="38" customFormat="1"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2:73" s="38" customFormat="1"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2:73" s="38" customFormat="1"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2:73" s="38" customFormat="1"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2:73" s="38" customFormat="1"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2:73" s="38" customFormat="1"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2:73" s="38" customFormat="1"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2:73" s="38" customFormat="1"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2:73" s="38" customFormat="1"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2:73" s="38" customFormat="1"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2:73" s="38" customFormat="1"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2:73" s="38" customFormat="1"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2:73" s="38" customFormat="1"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2:73" s="38" customFormat="1"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2:73" s="38" customFormat="1"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2:73" s="38" customFormat="1"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2:73" s="38" customFormat="1"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2:73" s="38" customFormat="1"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2:73" s="38" customFormat="1"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2:73" s="38" customFormat="1"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2:73" s="38" customFormat="1"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2:73" s="38" customFormat="1"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2:73" s="38" customFormat="1"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2:73" s="38" customFormat="1"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2:73" s="38" customFormat="1"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2:73" s="38" customFormat="1"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2:73" s="38" customFormat="1"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2:73" s="38" customFormat="1"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2:73" s="38" customFormat="1"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  <row r="778" spans="2:73" s="38" customFormat="1"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</row>
    <row r="779" spans="2:73" s="38" customFormat="1"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</row>
    <row r="780" spans="2:73" s="38" customFormat="1"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</row>
    <row r="781" spans="2:73" s="38" customFormat="1"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</row>
    <row r="782" spans="2:73" s="38" customFormat="1"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</row>
    <row r="783" spans="2:73" s="38" customFormat="1"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</row>
    <row r="784" spans="2:73" s="38" customFormat="1"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</row>
    <row r="785" spans="2:73" s="38" customFormat="1"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</row>
    <row r="786" spans="2:73" s="38" customFormat="1"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</row>
    <row r="787" spans="2:73" s="38" customFormat="1"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</row>
    <row r="788" spans="2:73" s="38" customFormat="1"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</row>
    <row r="789" spans="2:73" s="38" customFormat="1"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</row>
    <row r="790" spans="2:73" s="38" customFormat="1"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</row>
    <row r="791" spans="2:73" s="38" customFormat="1"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</row>
    <row r="792" spans="2:73" s="38" customFormat="1"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</row>
    <row r="793" spans="2:73" s="38" customFormat="1"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</row>
    <row r="794" spans="2:73" s="38" customFormat="1"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</row>
    <row r="795" spans="2:73" s="38" customFormat="1"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</row>
    <row r="796" spans="2:73" s="38" customFormat="1"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</row>
    <row r="797" spans="2:73" s="38" customFormat="1"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</row>
    <row r="798" spans="2:73" s="38" customFormat="1"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</row>
    <row r="799" spans="2:73" s="38" customFormat="1"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</row>
    <row r="800" spans="2:73" s="38" customFormat="1"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</row>
    <row r="801" spans="2:73" s="38" customFormat="1"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</row>
    <row r="802" spans="2:73" s="38" customFormat="1"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</row>
    <row r="803" spans="2:73" s="38" customFormat="1"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</row>
    <row r="804" spans="2:73" s="38" customFormat="1"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</row>
    <row r="805" spans="2:73" s="38" customFormat="1"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</row>
    <row r="806" spans="2:73" s="38" customFormat="1"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</row>
    <row r="807" spans="2:73" s="38" customFormat="1"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</row>
    <row r="808" spans="2:73" s="38" customFormat="1"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</row>
    <row r="809" spans="2:73" s="38" customFormat="1"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</row>
    <row r="810" spans="2:73" s="38" customFormat="1"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</row>
    <row r="811" spans="2:73" s="38" customFormat="1"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</row>
    <row r="812" spans="2:73" s="38" customFormat="1"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</row>
    <row r="813" spans="2:73" s="38" customFormat="1"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</row>
    <row r="814" spans="2:73" s="38" customFormat="1"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</row>
    <row r="815" spans="2:73" s="38" customFormat="1"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</row>
    <row r="816" spans="2:73" s="38" customFormat="1"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</row>
    <row r="817" spans="2:73" s="38" customFormat="1"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</row>
    <row r="818" spans="2:73" s="38" customFormat="1"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</row>
    <row r="819" spans="2:73" s="38" customFormat="1"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</row>
    <row r="820" spans="2:73" s="38" customFormat="1"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</row>
    <row r="821" spans="2:73" s="38" customFormat="1"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</row>
    <row r="822" spans="2:73" s="38" customFormat="1"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</row>
    <row r="823" spans="2:73" s="38" customFormat="1"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</row>
    <row r="824" spans="2:73" s="38" customFormat="1"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</row>
    <row r="825" spans="2:73" s="38" customFormat="1"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</row>
    <row r="826" spans="2:73" s="38" customFormat="1"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</row>
    <row r="827" spans="2:73" s="38" customFormat="1"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</row>
    <row r="828" spans="2:73" s="38" customFormat="1"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</row>
    <row r="829" spans="2:73" s="38" customFormat="1"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</row>
    <row r="830" spans="2:73" s="38" customFormat="1"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</row>
    <row r="831" spans="2:73" s="38" customFormat="1"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</row>
    <row r="832" spans="2:73" s="38" customFormat="1"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</row>
    <row r="833" spans="2:73" s="38" customFormat="1"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</row>
    <row r="834" spans="2:73" s="38" customFormat="1"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</row>
    <row r="835" spans="2:73" s="38" customFormat="1"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</row>
    <row r="836" spans="2:73" s="38" customFormat="1"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</row>
    <row r="837" spans="2:73" s="38" customFormat="1"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</row>
    <row r="838" spans="2:73" s="38" customFormat="1"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</row>
    <row r="839" spans="2:73" s="38" customFormat="1"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</row>
    <row r="840" spans="2:73" s="38" customFormat="1"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</row>
    <row r="841" spans="2:73" s="38" customFormat="1"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</row>
    <row r="842" spans="2:73" s="38" customFormat="1"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</row>
    <row r="843" spans="2:73" s="38" customFormat="1"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</row>
    <row r="844" spans="2:73" s="38" customFormat="1"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</row>
    <row r="845" spans="2:73" s="38" customFormat="1"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</row>
    <row r="846" spans="2:73" s="38" customFormat="1"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</row>
    <row r="847" spans="2:73" s="38" customFormat="1"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</row>
    <row r="848" spans="2:73" s="38" customFormat="1"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</row>
    <row r="849" spans="2:73" s="38" customFormat="1"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</row>
    <row r="850" spans="2:73" s="38" customFormat="1"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</row>
    <row r="851" spans="2:73" s="38" customFormat="1"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</row>
    <row r="852" spans="2:73" s="38" customFormat="1"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</row>
    <row r="853" spans="2:73" s="38" customFormat="1"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</row>
    <row r="854" spans="2:73" s="38" customFormat="1"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</row>
    <row r="855" spans="2:73" s="38" customFormat="1"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</row>
    <row r="856" spans="2:73" s="38" customFormat="1"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</row>
    <row r="857" spans="2:73" s="38" customFormat="1"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</row>
    <row r="858" spans="2:73" s="38" customFormat="1"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</row>
    <row r="859" spans="2:73" s="38" customFormat="1"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</row>
    <row r="860" spans="2:73" s="38" customFormat="1"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</row>
    <row r="861" spans="2:73" s="38" customFormat="1"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</row>
    <row r="862" spans="2:73" s="38" customFormat="1"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</row>
    <row r="863" spans="2:73" s="38" customFormat="1"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</row>
    <row r="864" spans="2:73" s="38" customFormat="1"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</row>
    <row r="865" spans="2:73" s="38" customFormat="1"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</row>
    <row r="866" spans="2:73" s="38" customFormat="1"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</row>
    <row r="867" spans="2:73" s="38" customFormat="1"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</row>
    <row r="868" spans="2:73" s="38" customFormat="1"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</row>
    <row r="869" spans="2:73" s="38" customFormat="1"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</row>
    <row r="870" spans="2:73" s="38" customFormat="1"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</row>
    <row r="871" spans="2:73" s="38" customFormat="1"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</row>
    <row r="872" spans="2:73" s="38" customFormat="1"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</row>
    <row r="873" spans="2:73" s="38" customFormat="1"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</row>
    <row r="874" spans="2:73" s="38" customFormat="1"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</row>
    <row r="875" spans="2:73" s="38" customFormat="1"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</row>
    <row r="876" spans="2:73" s="38" customFormat="1"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</row>
    <row r="877" spans="2:73" s="38" customFormat="1"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</row>
    <row r="878" spans="2:73" s="38" customFormat="1"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</row>
    <row r="879" spans="2:73" s="38" customFormat="1"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</row>
    <row r="880" spans="2:73" s="38" customFormat="1"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</row>
    <row r="881" spans="2:73" s="38" customFormat="1"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</row>
    <row r="882" spans="2:73" s="38" customFormat="1"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</row>
    <row r="883" spans="2:73" s="38" customFormat="1"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</row>
    <row r="884" spans="2:73" s="38" customFormat="1"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</row>
    <row r="885" spans="2:73" s="38" customFormat="1"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</row>
    <row r="886" spans="2:73" s="38" customFormat="1"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</row>
    <row r="887" spans="2:73" s="38" customFormat="1"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</row>
    <row r="888" spans="2:73" s="38" customFormat="1"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</row>
    <row r="889" spans="2:73" s="38" customFormat="1"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</row>
    <row r="890" spans="2:73" s="38" customFormat="1"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</row>
    <row r="891" spans="2:73" s="38" customFormat="1"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</row>
    <row r="892" spans="2:73" s="38" customFormat="1"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</row>
    <row r="893" spans="2:73" s="38" customFormat="1"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</row>
    <row r="894" spans="2:73" s="38" customFormat="1"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</row>
    <row r="895" spans="2:73" s="38" customFormat="1"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</row>
    <row r="896" spans="2:73" s="38" customFormat="1"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</row>
    <row r="897" spans="2:73" s="38" customFormat="1"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</row>
    <row r="898" spans="2:73" s="38" customFormat="1"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</row>
    <row r="899" spans="2:73" s="38" customFormat="1"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</row>
    <row r="900" spans="2:73" s="38" customFormat="1"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</row>
    <row r="901" spans="2:73" s="38" customFormat="1"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</row>
    <row r="902" spans="2:73" s="38" customFormat="1"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</row>
    <row r="903" spans="2:73" s="38" customFormat="1"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</row>
    <row r="904" spans="2:73" s="38" customFormat="1"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</row>
    <row r="905" spans="2:73" s="38" customFormat="1"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</row>
    <row r="906" spans="2:73" s="38" customFormat="1"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</row>
    <row r="907" spans="2:73" s="38" customFormat="1"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</row>
    <row r="908" spans="2:73" s="38" customFormat="1"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</row>
    <row r="909" spans="2:73" s="38" customFormat="1"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</row>
    <row r="910" spans="2:73" s="38" customFormat="1"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</row>
    <row r="911" spans="2:73" s="38" customFormat="1"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</row>
    <row r="912" spans="2:73" s="38" customFormat="1"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</row>
    <row r="913" spans="2:73" s="38" customFormat="1"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</row>
    <row r="914" spans="2:73" s="38" customFormat="1"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</row>
    <row r="915" spans="2:73" s="38" customFormat="1"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</row>
    <row r="916" spans="2:73" s="38" customFormat="1"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</row>
    <row r="917" spans="2:73" s="38" customFormat="1"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</row>
    <row r="918" spans="2:73" s="38" customFormat="1"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</row>
    <row r="919" spans="2:73" s="38" customFormat="1"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</row>
    <row r="920" spans="2:73" s="38" customFormat="1"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</row>
    <row r="921" spans="2:73" s="38" customFormat="1"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</row>
    <row r="922" spans="2:73" s="38" customFormat="1"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</row>
    <row r="923" spans="2:73" s="38" customFormat="1"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</row>
    <row r="924" spans="2:73" s="38" customFormat="1"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</row>
    <row r="925" spans="2:73" s="38" customFormat="1"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</row>
    <row r="926" spans="2:73" s="38" customFormat="1"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</row>
    <row r="927" spans="2:73" s="38" customFormat="1"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</row>
    <row r="928" spans="2:73" s="38" customFormat="1"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</row>
    <row r="929" spans="2:73" s="38" customFormat="1"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</row>
    <row r="930" spans="2:73" s="38" customFormat="1"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</row>
    <row r="931" spans="2:73" s="38" customFormat="1"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</row>
    <row r="932" spans="2:73" s="38" customFormat="1"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</row>
    <row r="933" spans="2:73" s="38" customFormat="1"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</row>
    <row r="934" spans="2:73" s="38" customFormat="1"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</row>
    <row r="935" spans="2:73" s="38" customFormat="1"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</row>
    <row r="936" spans="2:73" s="38" customFormat="1"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</row>
    <row r="937" spans="2:73" s="38" customFormat="1"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</row>
    <row r="938" spans="2:73" s="38" customFormat="1"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</row>
    <row r="939" spans="2:73" s="38" customFormat="1"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</row>
    <row r="940" spans="2:73" s="38" customFormat="1"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</row>
    <row r="941" spans="2:73" s="38" customFormat="1"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</row>
    <row r="942" spans="2:73" s="38" customFormat="1"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</row>
    <row r="943" spans="2:73" s="38" customFormat="1"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</row>
    <row r="944" spans="2:73" s="38" customFormat="1"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</row>
    <row r="945" spans="2:73" s="38" customFormat="1"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</row>
    <row r="946" spans="2:73" s="38" customFormat="1"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</row>
    <row r="947" spans="2:73" s="38" customFormat="1"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</row>
    <row r="948" spans="2:73" s="38" customFormat="1"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</row>
    <row r="949" spans="2:73" s="38" customFormat="1"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</row>
    <row r="950" spans="2:73" s="38" customFormat="1"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</row>
    <row r="951" spans="2:73" s="38" customFormat="1"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</row>
    <row r="952" spans="2:73" s="38" customFormat="1"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</row>
    <row r="953" spans="2:73" s="38" customFormat="1"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</row>
    <row r="954" spans="2:73" s="38" customFormat="1"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</row>
    <row r="955" spans="2:73" s="38" customFormat="1"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</row>
    <row r="956" spans="2:73" s="38" customFormat="1"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</row>
    <row r="957" spans="2:73" s="38" customFormat="1"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</row>
    <row r="958" spans="2:73" s="38" customFormat="1"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</row>
    <row r="959" spans="2:73" s="38" customFormat="1"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</row>
    <row r="960" spans="2:73" s="38" customFormat="1"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</row>
    <row r="961" spans="2:73" s="38" customFormat="1"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</row>
    <row r="962" spans="2:73" s="38" customFormat="1"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</row>
    <row r="963" spans="2:73" s="38" customFormat="1"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</row>
    <row r="964" spans="2:73" s="38" customFormat="1"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</row>
    <row r="965" spans="2:73" s="38" customFormat="1"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</row>
    <row r="966" spans="2:73" s="38" customFormat="1"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</row>
    <row r="967" spans="2:73" s="38" customFormat="1"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</row>
    <row r="968" spans="2:73" s="38" customFormat="1"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</row>
    <row r="969" spans="2:73" s="38" customFormat="1"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</row>
    <row r="970" spans="2:73" s="38" customFormat="1"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</row>
    <row r="971" spans="2:73" s="38" customFormat="1"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</row>
    <row r="972" spans="2:73" s="38" customFormat="1"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</row>
    <row r="973" spans="2:73" s="38" customFormat="1"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</row>
    <row r="974" spans="2:73" s="38" customFormat="1"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</row>
    <row r="975" spans="2:73" s="38" customFormat="1"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</row>
    <row r="976" spans="2:73" s="38" customFormat="1"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</row>
    <row r="977" spans="2:73" s="38" customFormat="1"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</row>
    <row r="978" spans="2:73" s="38" customFormat="1"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</row>
    <row r="979" spans="2:73" s="38" customFormat="1"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</row>
    <row r="980" spans="2:73" s="38" customFormat="1"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</row>
    <row r="981" spans="2:73" s="38" customFormat="1"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</row>
    <row r="982" spans="2:73" s="38" customFormat="1"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</row>
    <row r="983" spans="2:73" s="38" customFormat="1"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</row>
    <row r="984" spans="2:73" s="38" customFormat="1"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</row>
    <row r="985" spans="2:73" s="38" customFormat="1"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</row>
    <row r="986" spans="2:73" s="38" customFormat="1"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</row>
    <row r="987" spans="2:73" s="38" customFormat="1"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</row>
    <row r="988" spans="2:73" s="38" customFormat="1"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</row>
    <row r="989" spans="2:73" s="38" customFormat="1"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</row>
    <row r="990" spans="2:73" s="38" customFormat="1"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</row>
    <row r="991" spans="2:73" s="38" customFormat="1"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</row>
    <row r="992" spans="2:73" s="38" customFormat="1"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</row>
    <row r="993" spans="2:73" s="38" customFormat="1"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</row>
    <row r="994" spans="2:73" s="38" customFormat="1"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</row>
    <row r="995" spans="2:73" s="38" customFormat="1"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</row>
    <row r="996" spans="2:73" s="38" customFormat="1"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</row>
    <row r="997" spans="2:73" s="38" customFormat="1"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</row>
    <row r="998" spans="2:73" s="38" customFormat="1"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</row>
    <row r="999" spans="2:73" s="38" customFormat="1"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</row>
    <row r="1000" spans="2:73" s="38" customFormat="1"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</row>
    <row r="1001" spans="2:73" s="38" customFormat="1"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</row>
    <row r="1002" spans="2:73" s="38" customFormat="1">
      <c r="B1002" s="1"/>
      <c r="C1002" s="1"/>
      <c r="D1002" s="1"/>
      <c r="E1002" s="1"/>
      <c r="F1002" s="1"/>
      <c r="G1002" s="1"/>
      <c r="H1002" s="1"/>
      <c r="I1002" s="1"/>
      <c r="J1002" s="1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</row>
    <row r="1003" spans="2:73" s="38" customFormat="1">
      <c r="B1003" s="1"/>
      <c r="C1003" s="1"/>
      <c r="D1003" s="1"/>
      <c r="E1003" s="1"/>
      <c r="F1003" s="1"/>
      <c r="G1003" s="1"/>
      <c r="H1003" s="1"/>
      <c r="I1003" s="1"/>
      <c r="J1003" s="1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</row>
    <row r="1004" spans="2:73" s="38" customFormat="1">
      <c r="B1004" s="1"/>
      <c r="C1004" s="1"/>
      <c r="D1004" s="1"/>
      <c r="E1004" s="1"/>
      <c r="F1004" s="1"/>
      <c r="G1004" s="1"/>
      <c r="H1004" s="1"/>
      <c r="I1004" s="1"/>
      <c r="J1004" s="1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</row>
    <row r="1005" spans="2:73" s="38" customFormat="1">
      <c r="B1005" s="1"/>
      <c r="C1005" s="1"/>
      <c r="D1005" s="1"/>
      <c r="E1005" s="1"/>
      <c r="F1005" s="1"/>
      <c r="G1005" s="1"/>
      <c r="H1005" s="1"/>
      <c r="I1005" s="1"/>
      <c r="J1005" s="1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</row>
    <row r="1006" spans="2:73" s="38" customFormat="1">
      <c r="B1006" s="1"/>
      <c r="C1006" s="1"/>
      <c r="D1006" s="1"/>
      <c r="E1006" s="1"/>
      <c r="F1006" s="1"/>
      <c r="G1006" s="1"/>
      <c r="H1006" s="1"/>
      <c r="I1006" s="1"/>
      <c r="J1006" s="1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</row>
    <row r="1007" spans="2:73" s="38" customFormat="1">
      <c r="B1007" s="1"/>
      <c r="C1007" s="1"/>
      <c r="D1007" s="1"/>
      <c r="E1007" s="1"/>
      <c r="F1007" s="1"/>
      <c r="G1007" s="1"/>
      <c r="H1007" s="1"/>
      <c r="I1007" s="1"/>
      <c r="J1007" s="1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</row>
    <row r="1008" spans="2:73" s="38" customFormat="1">
      <c r="B1008" s="1"/>
      <c r="C1008" s="1"/>
      <c r="D1008" s="1"/>
      <c r="E1008" s="1"/>
      <c r="F1008" s="1"/>
      <c r="G1008" s="1"/>
      <c r="H1008" s="1"/>
      <c r="I1008" s="1"/>
      <c r="J1008" s="1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</row>
    <row r="1009" spans="2:73" s="38" customFormat="1">
      <c r="B1009" s="1"/>
      <c r="C1009" s="1"/>
      <c r="D1009" s="1"/>
      <c r="E1009" s="1"/>
      <c r="F1009" s="1"/>
      <c r="G1009" s="1"/>
      <c r="H1009" s="1"/>
      <c r="I1009" s="1"/>
      <c r="J1009" s="1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</row>
    <row r="1010" spans="2:73" s="38" customFormat="1">
      <c r="B1010" s="1"/>
      <c r="C1010" s="1"/>
      <c r="D1010" s="1"/>
      <c r="E1010" s="1"/>
      <c r="F1010" s="1"/>
      <c r="G1010" s="1"/>
      <c r="H1010" s="1"/>
      <c r="I1010" s="1"/>
      <c r="J1010" s="1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</row>
    <row r="1011" spans="2:73" s="38" customFormat="1">
      <c r="B1011" s="1"/>
      <c r="C1011" s="1"/>
      <c r="D1011" s="1"/>
      <c r="E1011" s="1"/>
      <c r="F1011" s="1"/>
      <c r="G1011" s="1"/>
      <c r="H1011" s="1"/>
      <c r="I1011" s="1"/>
      <c r="J1011" s="1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</row>
    <row r="1012" spans="2:73" s="38" customFormat="1">
      <c r="B1012" s="1"/>
      <c r="C1012" s="1"/>
      <c r="D1012" s="1"/>
      <c r="E1012" s="1"/>
      <c r="F1012" s="1"/>
      <c r="G1012" s="1"/>
      <c r="H1012" s="1"/>
      <c r="I1012" s="1"/>
      <c r="J1012" s="1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</row>
    <row r="1013" spans="2:73" s="38" customFormat="1">
      <c r="B1013" s="1"/>
      <c r="C1013" s="1"/>
      <c r="D1013" s="1"/>
      <c r="E1013" s="1"/>
      <c r="F1013" s="1"/>
      <c r="G1013" s="1"/>
      <c r="H1013" s="1"/>
      <c r="I1013" s="1"/>
      <c r="J1013" s="1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</row>
    <row r="1014" spans="2:73" s="38" customFormat="1">
      <c r="B1014" s="1"/>
      <c r="C1014" s="1"/>
      <c r="D1014" s="1"/>
      <c r="E1014" s="1"/>
      <c r="F1014" s="1"/>
      <c r="G1014" s="1"/>
      <c r="H1014" s="1"/>
      <c r="I1014" s="1"/>
      <c r="J1014" s="1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</row>
    <row r="1015" spans="2:73" s="38" customFormat="1">
      <c r="B1015" s="1"/>
      <c r="C1015" s="1"/>
      <c r="D1015" s="1"/>
      <c r="E1015" s="1"/>
      <c r="F1015" s="1"/>
      <c r="G1015" s="1"/>
      <c r="H1015" s="1"/>
      <c r="I1015" s="1"/>
      <c r="J1015" s="1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</row>
    <row r="1016" spans="2:73" s="38" customFormat="1">
      <c r="B1016" s="1"/>
      <c r="C1016" s="1"/>
      <c r="D1016" s="1"/>
      <c r="E1016" s="1"/>
      <c r="F1016" s="1"/>
      <c r="G1016" s="1"/>
      <c r="H1016" s="1"/>
      <c r="I1016" s="1"/>
      <c r="J1016" s="1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</row>
    <row r="1017" spans="2:73" s="38" customFormat="1">
      <c r="B1017" s="1"/>
      <c r="C1017" s="1"/>
      <c r="D1017" s="1"/>
      <c r="E1017" s="1"/>
      <c r="F1017" s="1"/>
      <c r="G1017" s="1"/>
      <c r="H1017" s="1"/>
      <c r="I1017" s="1"/>
      <c r="J1017" s="1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</row>
    <row r="1018" spans="2:73" s="38" customFormat="1">
      <c r="B1018" s="1"/>
      <c r="C1018" s="1"/>
      <c r="D1018" s="1"/>
      <c r="E1018" s="1"/>
      <c r="F1018" s="1"/>
      <c r="G1018" s="1"/>
      <c r="H1018" s="1"/>
      <c r="I1018" s="1"/>
      <c r="J1018" s="1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</row>
    <row r="1019" spans="2:73" s="38" customFormat="1">
      <c r="B1019" s="1"/>
      <c r="C1019" s="1"/>
      <c r="D1019" s="1"/>
      <c r="E1019" s="1"/>
      <c r="F1019" s="1"/>
      <c r="G1019" s="1"/>
      <c r="H1019" s="1"/>
      <c r="I1019" s="1"/>
      <c r="J1019" s="1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</row>
    <row r="1020" spans="2:73" s="38" customFormat="1">
      <c r="B1020" s="1"/>
      <c r="C1020" s="1"/>
      <c r="D1020" s="1"/>
      <c r="E1020" s="1"/>
      <c r="F1020" s="1"/>
      <c r="G1020" s="1"/>
      <c r="H1020" s="1"/>
      <c r="I1020" s="1"/>
      <c r="J1020" s="1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</row>
    <row r="1021" spans="2:73" s="38" customFormat="1">
      <c r="B1021" s="1"/>
      <c r="C1021" s="1"/>
      <c r="D1021" s="1"/>
      <c r="E1021" s="1"/>
      <c r="F1021" s="1"/>
      <c r="G1021" s="1"/>
      <c r="H1021" s="1"/>
      <c r="I1021" s="1"/>
      <c r="J1021" s="1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</row>
    <row r="1022" spans="2:73" s="38" customFormat="1">
      <c r="B1022" s="1"/>
      <c r="C1022" s="1"/>
      <c r="D1022" s="1"/>
      <c r="E1022" s="1"/>
      <c r="F1022" s="1"/>
      <c r="G1022" s="1"/>
      <c r="H1022" s="1"/>
      <c r="I1022" s="1"/>
      <c r="J1022" s="1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</row>
    <row r="1023" spans="2:73" s="38" customFormat="1">
      <c r="B1023" s="1"/>
      <c r="C1023" s="1"/>
      <c r="D1023" s="1"/>
      <c r="E1023" s="1"/>
      <c r="F1023" s="1"/>
      <c r="G1023" s="1"/>
      <c r="H1023" s="1"/>
      <c r="I1023" s="1"/>
      <c r="J1023" s="1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</row>
    <row r="1024" spans="2:73" s="38" customFormat="1">
      <c r="B1024" s="1"/>
      <c r="C1024" s="1"/>
      <c r="D1024" s="1"/>
      <c r="E1024" s="1"/>
      <c r="F1024" s="1"/>
      <c r="G1024" s="1"/>
      <c r="H1024" s="1"/>
      <c r="I1024" s="1"/>
      <c r="J1024" s="1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</row>
    <row r="1025" spans="2:73" s="38" customFormat="1">
      <c r="B1025" s="1"/>
      <c r="C1025" s="1"/>
      <c r="D1025" s="1"/>
      <c r="E1025" s="1"/>
      <c r="F1025" s="1"/>
      <c r="G1025" s="1"/>
      <c r="H1025" s="1"/>
      <c r="I1025" s="1"/>
      <c r="J1025" s="1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</row>
    <row r="1026" spans="2:73" s="38" customFormat="1">
      <c r="B1026" s="1"/>
      <c r="C1026" s="1"/>
      <c r="D1026" s="1"/>
      <c r="E1026" s="1"/>
      <c r="F1026" s="1"/>
      <c r="G1026" s="1"/>
      <c r="H1026" s="1"/>
      <c r="I1026" s="1"/>
      <c r="J1026" s="1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</row>
    <row r="1027" spans="2:73" s="38" customFormat="1">
      <c r="B1027" s="1"/>
      <c r="C1027" s="1"/>
      <c r="D1027" s="1"/>
      <c r="E1027" s="1"/>
      <c r="F1027" s="1"/>
      <c r="G1027" s="1"/>
      <c r="H1027" s="1"/>
      <c r="I1027" s="1"/>
      <c r="J1027" s="1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</row>
    <row r="1028" spans="2:73" s="38" customFormat="1">
      <c r="B1028" s="1"/>
      <c r="C1028" s="1"/>
      <c r="D1028" s="1"/>
      <c r="E1028" s="1"/>
      <c r="F1028" s="1"/>
      <c r="G1028" s="1"/>
      <c r="H1028" s="1"/>
      <c r="I1028" s="1"/>
      <c r="J1028" s="1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</row>
    <row r="1029" spans="2:73" s="38" customFormat="1">
      <c r="B1029" s="1"/>
      <c r="C1029" s="1"/>
      <c r="D1029" s="1"/>
      <c r="E1029" s="1"/>
      <c r="F1029" s="1"/>
      <c r="G1029" s="1"/>
      <c r="H1029" s="1"/>
      <c r="I1029" s="1"/>
      <c r="J1029" s="1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</row>
    <row r="1030" spans="2:73" s="38" customFormat="1">
      <c r="B1030" s="1"/>
      <c r="C1030" s="1"/>
      <c r="D1030" s="1"/>
      <c r="E1030" s="1"/>
      <c r="F1030" s="1"/>
      <c r="G1030" s="1"/>
      <c r="H1030" s="1"/>
      <c r="I1030" s="1"/>
      <c r="J1030" s="1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</row>
    <row r="1031" spans="2:73" s="38" customFormat="1">
      <c r="B1031" s="1"/>
      <c r="C1031" s="1"/>
      <c r="D1031" s="1"/>
      <c r="E1031" s="1"/>
      <c r="F1031" s="1"/>
      <c r="G1031" s="1"/>
      <c r="H1031" s="1"/>
      <c r="I1031" s="1"/>
      <c r="J1031" s="1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</row>
    <row r="1032" spans="2:73" s="38" customFormat="1">
      <c r="B1032" s="1"/>
      <c r="C1032" s="1"/>
      <c r="D1032" s="1"/>
      <c r="E1032" s="1"/>
      <c r="F1032" s="1"/>
      <c r="G1032" s="1"/>
      <c r="H1032" s="1"/>
      <c r="I1032" s="1"/>
      <c r="J1032" s="1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</row>
    <row r="1033" spans="2:73" s="38" customFormat="1">
      <c r="B1033" s="1"/>
      <c r="C1033" s="1"/>
      <c r="D1033" s="1"/>
      <c r="E1033" s="1"/>
      <c r="F1033" s="1"/>
      <c r="G1033" s="1"/>
      <c r="H1033" s="1"/>
      <c r="I1033" s="1"/>
      <c r="J1033" s="1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</row>
    <row r="1034" spans="2:73" s="38" customFormat="1">
      <c r="B1034" s="1"/>
      <c r="C1034" s="1"/>
      <c r="D1034" s="1"/>
      <c r="E1034" s="1"/>
      <c r="F1034" s="1"/>
      <c r="G1034" s="1"/>
      <c r="H1034" s="1"/>
      <c r="I1034" s="1"/>
      <c r="J1034" s="1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</row>
    <row r="1035" spans="2:73" s="38" customFormat="1">
      <c r="B1035" s="1"/>
      <c r="C1035" s="1"/>
      <c r="D1035" s="1"/>
      <c r="E1035" s="1"/>
      <c r="F1035" s="1"/>
      <c r="G1035" s="1"/>
      <c r="H1035" s="1"/>
      <c r="I1035" s="1"/>
      <c r="J1035" s="1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</row>
    <row r="1036" spans="2:73" s="38" customFormat="1">
      <c r="B1036" s="1"/>
      <c r="C1036" s="1"/>
      <c r="D1036" s="1"/>
      <c r="E1036" s="1"/>
      <c r="F1036" s="1"/>
      <c r="G1036" s="1"/>
      <c r="H1036" s="1"/>
      <c r="I1036" s="1"/>
      <c r="J1036" s="1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</row>
    <row r="1037" spans="2:73" s="38" customFormat="1">
      <c r="B1037" s="1"/>
      <c r="C1037" s="1"/>
      <c r="D1037" s="1"/>
      <c r="E1037" s="1"/>
      <c r="F1037" s="1"/>
      <c r="G1037" s="1"/>
      <c r="H1037" s="1"/>
      <c r="I1037" s="1"/>
      <c r="J1037" s="1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</row>
    <row r="1038" spans="2:73" s="38" customFormat="1">
      <c r="B1038" s="1"/>
      <c r="C1038" s="1"/>
      <c r="D1038" s="1"/>
      <c r="E1038" s="1"/>
      <c r="F1038" s="1"/>
      <c r="G1038" s="1"/>
      <c r="H1038" s="1"/>
      <c r="I1038" s="1"/>
      <c r="J1038" s="1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</row>
    <row r="1039" spans="2:73" s="38" customFormat="1">
      <c r="B1039" s="1"/>
      <c r="C1039" s="1"/>
      <c r="D1039" s="1"/>
      <c r="E1039" s="1"/>
      <c r="F1039" s="1"/>
      <c r="G1039" s="1"/>
      <c r="H1039" s="1"/>
      <c r="I1039" s="1"/>
      <c r="J1039" s="1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</row>
    <row r="1040" spans="2:73" s="38" customFormat="1">
      <c r="B1040" s="1"/>
      <c r="C1040" s="1"/>
      <c r="D1040" s="1"/>
      <c r="E1040" s="1"/>
      <c r="F1040" s="1"/>
      <c r="G1040" s="1"/>
      <c r="H1040" s="1"/>
      <c r="I1040" s="1"/>
      <c r="J1040" s="1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</row>
    <row r="1041" spans="2:73" s="38" customFormat="1">
      <c r="B1041" s="1"/>
      <c r="C1041" s="1"/>
      <c r="D1041" s="1"/>
      <c r="E1041" s="1"/>
      <c r="F1041" s="1"/>
      <c r="G1041" s="1"/>
      <c r="H1041" s="1"/>
      <c r="I1041" s="1"/>
      <c r="J1041" s="1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</row>
    <row r="1042" spans="2:73" s="38" customFormat="1">
      <c r="B1042" s="1"/>
      <c r="C1042" s="1"/>
      <c r="D1042" s="1"/>
      <c r="E1042" s="1"/>
      <c r="F1042" s="1"/>
      <c r="G1042" s="1"/>
      <c r="H1042" s="1"/>
      <c r="I1042" s="1"/>
      <c r="J1042" s="1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</row>
    <row r="1043" spans="2:73" s="38" customFormat="1">
      <c r="B1043" s="1"/>
      <c r="C1043" s="1"/>
      <c r="D1043" s="1"/>
      <c r="E1043" s="1"/>
      <c r="F1043" s="1"/>
      <c r="G1043" s="1"/>
      <c r="H1043" s="1"/>
      <c r="I1043" s="1"/>
      <c r="J1043" s="1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</row>
    <row r="1044" spans="2:73" s="38" customFormat="1">
      <c r="B1044" s="1"/>
      <c r="C1044" s="1"/>
      <c r="D1044" s="1"/>
      <c r="E1044" s="1"/>
      <c r="F1044" s="1"/>
      <c r="G1044" s="1"/>
      <c r="H1044" s="1"/>
      <c r="I1044" s="1"/>
      <c r="J1044" s="1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</row>
    <row r="1045" spans="2:73" s="38" customFormat="1">
      <c r="B1045" s="1"/>
      <c r="C1045" s="1"/>
      <c r="D1045" s="1"/>
      <c r="E1045" s="1"/>
      <c r="F1045" s="1"/>
      <c r="G1045" s="1"/>
      <c r="H1045" s="1"/>
      <c r="I1045" s="1"/>
      <c r="J1045" s="1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</row>
    <row r="1046" spans="2:73" s="38" customFormat="1">
      <c r="B1046" s="1"/>
      <c r="C1046" s="1"/>
      <c r="D1046" s="1"/>
      <c r="E1046" s="1"/>
      <c r="F1046" s="1"/>
      <c r="G1046" s="1"/>
      <c r="H1046" s="1"/>
      <c r="I1046" s="1"/>
      <c r="J1046" s="1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</row>
    <row r="1047" spans="2:73" s="38" customFormat="1">
      <c r="B1047" s="1"/>
      <c r="C1047" s="1"/>
      <c r="D1047" s="1"/>
      <c r="E1047" s="1"/>
      <c r="F1047" s="1"/>
      <c r="G1047" s="1"/>
      <c r="H1047" s="1"/>
      <c r="I1047" s="1"/>
      <c r="J1047" s="1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</row>
    <row r="1048" spans="2:73" s="38" customFormat="1">
      <c r="B1048" s="1"/>
      <c r="C1048" s="1"/>
      <c r="D1048" s="1"/>
      <c r="E1048" s="1"/>
      <c r="F1048" s="1"/>
      <c r="G1048" s="1"/>
      <c r="H1048" s="1"/>
      <c r="I1048" s="1"/>
      <c r="J1048" s="1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</row>
    <row r="1049" spans="2:73" s="38" customFormat="1">
      <c r="B1049" s="1"/>
      <c r="C1049" s="1"/>
      <c r="D1049" s="1"/>
      <c r="E1049" s="1"/>
      <c r="F1049" s="1"/>
      <c r="G1049" s="1"/>
      <c r="H1049" s="1"/>
      <c r="I1049" s="1"/>
      <c r="J1049" s="1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</row>
    <row r="1050" spans="2:73" s="38" customFormat="1">
      <c r="B1050" s="1"/>
      <c r="C1050" s="1"/>
      <c r="D1050" s="1"/>
      <c r="E1050" s="1"/>
      <c r="F1050" s="1"/>
      <c r="G1050" s="1"/>
      <c r="H1050" s="1"/>
      <c r="I1050" s="1"/>
      <c r="J1050" s="1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</row>
    <row r="1051" spans="2:73" s="38" customFormat="1">
      <c r="B1051" s="1"/>
      <c r="C1051" s="1"/>
      <c r="D1051" s="1"/>
      <c r="E1051" s="1"/>
      <c r="F1051" s="1"/>
      <c r="G1051" s="1"/>
      <c r="H1051" s="1"/>
      <c r="I1051" s="1"/>
      <c r="J1051" s="1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</row>
    <row r="1052" spans="2:73" s="38" customFormat="1">
      <c r="B1052" s="1"/>
      <c r="C1052" s="1"/>
      <c r="D1052" s="1"/>
      <c r="E1052" s="1"/>
      <c r="F1052" s="1"/>
      <c r="G1052" s="1"/>
      <c r="H1052" s="1"/>
      <c r="I1052" s="1"/>
      <c r="J1052" s="1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</row>
    <row r="1053" spans="2:73" s="38" customFormat="1">
      <c r="B1053" s="1"/>
      <c r="C1053" s="1"/>
      <c r="D1053" s="1"/>
      <c r="E1053" s="1"/>
      <c r="F1053" s="1"/>
      <c r="G1053" s="1"/>
      <c r="H1053" s="1"/>
      <c r="I1053" s="1"/>
      <c r="J1053" s="1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</row>
    <row r="1054" spans="2:73" s="38" customFormat="1">
      <c r="B1054" s="1"/>
      <c r="C1054" s="1"/>
      <c r="D1054" s="1"/>
      <c r="E1054" s="1"/>
      <c r="F1054" s="1"/>
      <c r="G1054" s="1"/>
      <c r="H1054" s="1"/>
      <c r="I1054" s="1"/>
      <c r="J1054" s="1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</row>
    <row r="1055" spans="2:73" s="38" customFormat="1">
      <c r="B1055" s="1"/>
      <c r="C1055" s="1"/>
      <c r="D1055" s="1"/>
      <c r="E1055" s="1"/>
      <c r="F1055" s="1"/>
      <c r="G1055" s="1"/>
      <c r="H1055" s="1"/>
      <c r="I1055" s="1"/>
      <c r="J1055" s="1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</row>
    <row r="1056" spans="2:73" s="38" customFormat="1">
      <c r="B1056" s="1"/>
      <c r="C1056" s="1"/>
      <c r="D1056" s="1"/>
      <c r="E1056" s="1"/>
      <c r="F1056" s="1"/>
      <c r="G1056" s="1"/>
      <c r="H1056" s="1"/>
      <c r="I1056" s="1"/>
      <c r="J1056" s="1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</row>
    <row r="1057" spans="2:73" s="38" customFormat="1">
      <c r="B1057" s="1"/>
      <c r="C1057" s="1"/>
      <c r="D1057" s="1"/>
      <c r="E1057" s="1"/>
      <c r="F1057" s="1"/>
      <c r="G1057" s="1"/>
      <c r="H1057" s="1"/>
      <c r="I1057" s="1"/>
      <c r="J1057" s="1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</row>
    <row r="1058" spans="2:73" s="38" customFormat="1">
      <c r="B1058" s="1"/>
      <c r="C1058" s="1"/>
      <c r="D1058" s="1"/>
      <c r="E1058" s="1"/>
      <c r="F1058" s="1"/>
      <c r="G1058" s="1"/>
      <c r="H1058" s="1"/>
      <c r="I1058" s="1"/>
      <c r="J1058" s="1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</row>
    <row r="1059" spans="2:73" s="38" customFormat="1">
      <c r="B1059" s="1"/>
      <c r="C1059" s="1"/>
      <c r="D1059" s="1"/>
      <c r="E1059" s="1"/>
      <c r="F1059" s="1"/>
      <c r="G1059" s="1"/>
      <c r="H1059" s="1"/>
      <c r="I1059" s="1"/>
      <c r="J1059" s="1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</row>
    <row r="1060" spans="2:73" s="38" customFormat="1">
      <c r="B1060" s="1"/>
      <c r="C1060" s="1"/>
      <c r="D1060" s="1"/>
      <c r="E1060" s="1"/>
      <c r="F1060" s="1"/>
      <c r="G1060" s="1"/>
      <c r="H1060" s="1"/>
      <c r="I1060" s="1"/>
      <c r="J1060" s="1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</row>
    <row r="1061" spans="2:73" s="38" customFormat="1">
      <c r="B1061" s="1"/>
      <c r="C1061" s="1"/>
      <c r="D1061" s="1"/>
      <c r="E1061" s="1"/>
      <c r="F1061" s="1"/>
      <c r="G1061" s="1"/>
      <c r="H1061" s="1"/>
      <c r="I1061" s="1"/>
      <c r="J1061" s="1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</row>
    <row r="1062" spans="2:73" s="38" customFormat="1">
      <c r="B1062" s="1"/>
      <c r="C1062" s="1"/>
      <c r="D1062" s="1"/>
      <c r="E1062" s="1"/>
      <c r="F1062" s="1"/>
      <c r="G1062" s="1"/>
      <c r="H1062" s="1"/>
      <c r="I1062" s="1"/>
      <c r="J1062" s="1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</row>
    <row r="1063" spans="2:73" s="38" customFormat="1">
      <c r="B1063" s="1"/>
      <c r="C1063" s="1"/>
      <c r="D1063" s="1"/>
      <c r="E1063" s="1"/>
      <c r="F1063" s="1"/>
      <c r="G1063" s="1"/>
      <c r="H1063" s="1"/>
      <c r="I1063" s="1"/>
      <c r="J1063" s="1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</row>
    <row r="1064" spans="2:73" s="38" customFormat="1">
      <c r="B1064" s="1"/>
      <c r="C1064" s="1"/>
      <c r="D1064" s="1"/>
      <c r="E1064" s="1"/>
      <c r="F1064" s="1"/>
      <c r="G1064" s="1"/>
      <c r="H1064" s="1"/>
      <c r="I1064" s="1"/>
      <c r="J1064" s="1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</row>
    <row r="1065" spans="2:73" s="38" customFormat="1">
      <c r="B1065" s="1"/>
      <c r="C1065" s="1"/>
      <c r="D1065" s="1"/>
      <c r="E1065" s="1"/>
      <c r="F1065" s="1"/>
      <c r="G1065" s="1"/>
      <c r="H1065" s="1"/>
      <c r="I1065" s="1"/>
      <c r="J1065" s="1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</row>
    <row r="1066" spans="2:73" s="38" customFormat="1">
      <c r="B1066" s="1"/>
      <c r="C1066" s="1"/>
      <c r="D1066" s="1"/>
      <c r="E1066" s="1"/>
      <c r="F1066" s="1"/>
      <c r="G1066" s="1"/>
      <c r="H1066" s="1"/>
      <c r="I1066" s="1"/>
      <c r="J1066" s="1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</row>
    <row r="1067" spans="2:73" s="38" customFormat="1">
      <c r="B1067" s="1"/>
      <c r="C1067" s="1"/>
      <c r="D1067" s="1"/>
      <c r="E1067" s="1"/>
      <c r="F1067" s="1"/>
      <c r="G1067" s="1"/>
      <c r="H1067" s="1"/>
      <c r="I1067" s="1"/>
      <c r="J1067" s="1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</row>
    <row r="1068" spans="2:73" s="38" customFormat="1">
      <c r="B1068" s="1"/>
      <c r="C1068" s="1"/>
      <c r="D1068" s="1"/>
      <c r="E1068" s="1"/>
      <c r="F1068" s="1"/>
      <c r="G1068" s="1"/>
      <c r="H1068" s="1"/>
      <c r="I1068" s="1"/>
      <c r="J1068" s="1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</row>
    <row r="1069" spans="2:73" s="38" customFormat="1">
      <c r="B1069" s="1"/>
      <c r="C1069" s="1"/>
      <c r="D1069" s="1"/>
      <c r="E1069" s="1"/>
      <c r="F1069" s="1"/>
      <c r="G1069" s="1"/>
      <c r="H1069" s="1"/>
      <c r="I1069" s="1"/>
      <c r="J1069" s="1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</row>
    <row r="1070" spans="2:73" s="38" customFormat="1">
      <c r="B1070" s="1"/>
      <c r="C1070" s="1"/>
      <c r="D1070" s="1"/>
      <c r="E1070" s="1"/>
      <c r="F1070" s="1"/>
      <c r="G1070" s="1"/>
      <c r="H1070" s="1"/>
      <c r="I1070" s="1"/>
      <c r="J1070" s="1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</row>
    <row r="1071" spans="2:73" s="38" customFormat="1">
      <c r="B1071" s="1"/>
      <c r="C1071" s="1"/>
      <c r="D1071" s="1"/>
      <c r="E1071" s="1"/>
      <c r="F1071" s="1"/>
      <c r="G1071" s="1"/>
      <c r="H1071" s="1"/>
      <c r="I1071" s="1"/>
      <c r="J1071" s="1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</row>
    <row r="1072" spans="2:73" s="38" customFormat="1">
      <c r="B1072" s="1"/>
      <c r="C1072" s="1"/>
      <c r="D1072" s="1"/>
      <c r="E1072" s="1"/>
      <c r="F1072" s="1"/>
      <c r="G1072" s="1"/>
      <c r="H1072" s="1"/>
      <c r="I1072" s="1"/>
      <c r="J1072" s="1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</row>
    <row r="1073" spans="2:73" s="38" customFormat="1">
      <c r="B1073" s="1"/>
      <c r="C1073" s="1"/>
      <c r="D1073" s="1"/>
      <c r="E1073" s="1"/>
      <c r="F1073" s="1"/>
      <c r="G1073" s="1"/>
      <c r="H1073" s="1"/>
      <c r="I1073" s="1"/>
      <c r="J1073" s="1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</row>
    <row r="1074" spans="2:73" s="38" customFormat="1">
      <c r="B1074" s="1"/>
      <c r="C1074" s="1"/>
      <c r="D1074" s="1"/>
      <c r="E1074" s="1"/>
      <c r="F1074" s="1"/>
      <c r="G1074" s="1"/>
      <c r="H1074" s="1"/>
      <c r="I1074" s="1"/>
      <c r="J1074" s="1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</row>
    <row r="1075" spans="2:73" s="38" customFormat="1">
      <c r="B1075" s="1"/>
      <c r="C1075" s="1"/>
      <c r="D1075" s="1"/>
      <c r="E1075" s="1"/>
      <c r="F1075" s="1"/>
      <c r="G1075" s="1"/>
      <c r="H1075" s="1"/>
      <c r="I1075" s="1"/>
      <c r="J1075" s="1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</row>
    <row r="1076" spans="2:73" s="38" customFormat="1">
      <c r="B1076" s="1"/>
      <c r="C1076" s="1"/>
      <c r="D1076" s="1"/>
      <c r="E1076" s="1"/>
      <c r="F1076" s="1"/>
      <c r="G1076" s="1"/>
      <c r="H1076" s="1"/>
      <c r="I1076" s="1"/>
      <c r="J1076" s="1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</row>
    <row r="1077" spans="2:73" s="38" customFormat="1">
      <c r="B1077" s="1"/>
      <c r="C1077" s="1"/>
      <c r="D1077" s="1"/>
      <c r="E1077" s="1"/>
      <c r="F1077" s="1"/>
      <c r="G1077" s="1"/>
      <c r="H1077" s="1"/>
      <c r="I1077" s="1"/>
      <c r="J1077" s="1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</row>
    <row r="1078" spans="2:73" s="38" customFormat="1">
      <c r="B1078" s="1"/>
      <c r="C1078" s="1"/>
      <c r="D1078" s="1"/>
      <c r="E1078" s="1"/>
      <c r="F1078" s="1"/>
      <c r="G1078" s="1"/>
      <c r="H1078" s="1"/>
      <c r="I1078" s="1"/>
      <c r="J1078" s="1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</row>
    <row r="1079" spans="2:73" s="38" customFormat="1">
      <c r="B1079" s="1"/>
      <c r="C1079" s="1"/>
      <c r="D1079" s="1"/>
      <c r="E1079" s="1"/>
      <c r="F1079" s="1"/>
      <c r="G1079" s="1"/>
      <c r="H1079" s="1"/>
      <c r="I1079" s="1"/>
      <c r="J1079" s="1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</row>
    <row r="1080" spans="2:73" s="38" customFormat="1">
      <c r="B1080" s="1"/>
      <c r="C1080" s="1"/>
      <c r="D1080" s="1"/>
      <c r="E1080" s="1"/>
      <c r="F1080" s="1"/>
      <c r="G1080" s="1"/>
      <c r="H1080" s="1"/>
      <c r="I1080" s="1"/>
      <c r="J1080" s="1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</row>
    <row r="1081" spans="2:73" s="38" customFormat="1">
      <c r="B1081" s="1"/>
      <c r="C1081" s="1"/>
      <c r="D1081" s="1"/>
      <c r="E1081" s="1"/>
      <c r="F1081" s="1"/>
      <c r="G1081" s="1"/>
      <c r="H1081" s="1"/>
      <c r="I1081" s="1"/>
      <c r="J1081" s="1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</row>
    <row r="1082" spans="2:73" s="38" customFormat="1">
      <c r="B1082" s="1"/>
      <c r="C1082" s="1"/>
      <c r="D1082" s="1"/>
      <c r="E1082" s="1"/>
      <c r="F1082" s="1"/>
      <c r="G1082" s="1"/>
      <c r="H1082" s="1"/>
      <c r="I1082" s="1"/>
      <c r="J1082" s="1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</row>
    <row r="1083" spans="2:73" s="38" customFormat="1">
      <c r="B1083" s="1"/>
      <c r="C1083" s="1"/>
      <c r="D1083" s="1"/>
      <c r="E1083" s="1"/>
      <c r="F1083" s="1"/>
      <c r="G1083" s="1"/>
      <c r="H1083" s="1"/>
      <c r="I1083" s="1"/>
      <c r="J1083" s="1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</row>
    <row r="1084" spans="2:73" s="38" customFormat="1">
      <c r="B1084" s="1"/>
      <c r="C1084" s="1"/>
      <c r="D1084" s="1"/>
      <c r="E1084" s="1"/>
      <c r="F1084" s="1"/>
      <c r="G1084" s="1"/>
      <c r="H1084" s="1"/>
      <c r="I1084" s="1"/>
      <c r="J1084" s="1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</row>
    <row r="1085" spans="2:73" s="38" customFormat="1">
      <c r="B1085" s="1"/>
      <c r="C1085" s="1"/>
      <c r="D1085" s="1"/>
      <c r="E1085" s="1"/>
      <c r="F1085" s="1"/>
      <c r="G1085" s="1"/>
      <c r="H1085" s="1"/>
      <c r="I1085" s="1"/>
      <c r="J1085" s="1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</row>
    <row r="1086" spans="2:73" s="38" customFormat="1">
      <c r="B1086" s="1"/>
      <c r="C1086" s="1"/>
      <c r="D1086" s="1"/>
      <c r="E1086" s="1"/>
      <c r="F1086" s="1"/>
      <c r="G1086" s="1"/>
      <c r="H1086" s="1"/>
      <c r="I1086" s="1"/>
      <c r="J1086" s="1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</row>
    <row r="1087" spans="2:73" s="38" customFormat="1">
      <c r="B1087" s="1"/>
      <c r="C1087" s="1"/>
      <c r="D1087" s="1"/>
      <c r="E1087" s="1"/>
      <c r="F1087" s="1"/>
      <c r="G1087" s="1"/>
      <c r="H1087" s="1"/>
      <c r="I1087" s="1"/>
      <c r="J1087" s="1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</row>
    <row r="1088" spans="2:73" s="38" customFormat="1">
      <c r="B1088" s="1"/>
      <c r="C1088" s="1"/>
      <c r="D1088" s="1"/>
      <c r="E1088" s="1"/>
      <c r="F1088" s="1"/>
      <c r="G1088" s="1"/>
      <c r="H1088" s="1"/>
      <c r="I1088" s="1"/>
      <c r="J1088" s="1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</row>
    <row r="1089" spans="2:73" s="38" customFormat="1">
      <c r="B1089" s="1"/>
      <c r="C1089" s="1"/>
      <c r="D1089" s="1"/>
      <c r="E1089" s="1"/>
      <c r="F1089" s="1"/>
      <c r="G1089" s="1"/>
      <c r="H1089" s="1"/>
      <c r="I1089" s="1"/>
      <c r="J1089" s="1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</row>
    <row r="1090" spans="2:73" s="38" customFormat="1">
      <c r="B1090" s="1"/>
      <c r="C1090" s="1"/>
      <c r="D1090" s="1"/>
      <c r="E1090" s="1"/>
      <c r="F1090" s="1"/>
      <c r="G1090" s="1"/>
      <c r="H1090" s="1"/>
      <c r="I1090" s="1"/>
      <c r="J1090" s="1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</row>
    <row r="1091" spans="2:73" s="38" customFormat="1">
      <c r="B1091" s="1"/>
      <c r="C1091" s="1"/>
      <c r="D1091" s="1"/>
      <c r="E1091" s="1"/>
      <c r="F1091" s="1"/>
      <c r="G1091" s="1"/>
      <c r="H1091" s="1"/>
      <c r="I1091" s="1"/>
      <c r="J1091" s="1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</row>
    <row r="1092" spans="2:73" s="38" customFormat="1">
      <c r="B1092" s="1"/>
      <c r="C1092" s="1"/>
      <c r="D1092" s="1"/>
      <c r="E1092" s="1"/>
      <c r="F1092" s="1"/>
      <c r="G1092" s="1"/>
      <c r="H1092" s="1"/>
      <c r="I1092" s="1"/>
      <c r="J1092" s="1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</row>
    <row r="1093" spans="2:73" s="38" customFormat="1">
      <c r="B1093" s="1"/>
      <c r="C1093" s="1"/>
      <c r="D1093" s="1"/>
      <c r="E1093" s="1"/>
      <c r="F1093" s="1"/>
      <c r="G1093" s="1"/>
      <c r="H1093" s="1"/>
      <c r="I1093" s="1"/>
      <c r="J1093" s="1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</row>
    <row r="1094" spans="2:73" s="38" customFormat="1">
      <c r="B1094" s="1"/>
      <c r="C1094" s="1"/>
      <c r="D1094" s="1"/>
      <c r="E1094" s="1"/>
      <c r="F1094" s="1"/>
      <c r="G1094" s="1"/>
      <c r="H1094" s="1"/>
      <c r="I1094" s="1"/>
      <c r="J1094" s="1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</row>
    <row r="1095" spans="2:73" s="38" customFormat="1">
      <c r="B1095" s="1"/>
      <c r="C1095" s="1"/>
      <c r="D1095" s="1"/>
      <c r="E1095" s="1"/>
      <c r="F1095" s="1"/>
      <c r="G1095" s="1"/>
      <c r="H1095" s="1"/>
      <c r="I1095" s="1"/>
      <c r="J1095" s="1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</row>
    <row r="1096" spans="2:73" s="38" customFormat="1">
      <c r="B1096" s="1"/>
      <c r="C1096" s="1"/>
      <c r="D1096" s="1"/>
      <c r="E1096" s="1"/>
      <c r="F1096" s="1"/>
      <c r="G1096" s="1"/>
      <c r="H1096" s="1"/>
      <c r="I1096" s="1"/>
      <c r="J1096" s="1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</row>
    <row r="1097" spans="2:73" s="38" customFormat="1">
      <c r="B1097" s="1"/>
      <c r="C1097" s="1"/>
      <c r="D1097" s="1"/>
      <c r="E1097" s="1"/>
      <c r="F1097" s="1"/>
      <c r="G1097" s="1"/>
      <c r="H1097" s="1"/>
      <c r="I1097" s="1"/>
      <c r="J1097" s="1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</row>
    <row r="1098" spans="2:73" s="38" customFormat="1">
      <c r="B1098" s="1"/>
      <c r="C1098" s="1"/>
      <c r="D1098" s="1"/>
      <c r="E1098" s="1"/>
      <c r="F1098" s="1"/>
      <c r="G1098" s="1"/>
      <c r="H1098" s="1"/>
      <c r="I1098" s="1"/>
      <c r="J1098" s="1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</row>
    <row r="1099" spans="2:73" s="38" customFormat="1">
      <c r="B1099" s="1"/>
      <c r="C1099" s="1"/>
      <c r="D1099" s="1"/>
      <c r="E1099" s="1"/>
      <c r="F1099" s="1"/>
      <c r="G1099" s="1"/>
      <c r="H1099" s="1"/>
      <c r="I1099" s="1"/>
      <c r="J1099" s="1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</row>
    <row r="1100" spans="2:73" s="38" customFormat="1">
      <c r="B1100" s="1"/>
      <c r="C1100" s="1"/>
      <c r="D1100" s="1"/>
      <c r="E1100" s="1"/>
      <c r="F1100" s="1"/>
      <c r="G1100" s="1"/>
      <c r="H1100" s="1"/>
      <c r="I1100" s="1"/>
      <c r="J1100" s="1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</row>
    <row r="1101" spans="2:73" s="38" customFormat="1">
      <c r="B1101" s="1"/>
      <c r="C1101" s="1"/>
      <c r="D1101" s="1"/>
      <c r="E1101" s="1"/>
      <c r="F1101" s="1"/>
      <c r="G1101" s="1"/>
      <c r="H1101" s="1"/>
      <c r="I1101" s="1"/>
      <c r="J1101" s="1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</row>
    <row r="1102" spans="2:73" s="38" customFormat="1">
      <c r="B1102" s="1"/>
      <c r="C1102" s="1"/>
      <c r="D1102" s="1"/>
      <c r="E1102" s="1"/>
      <c r="F1102" s="1"/>
      <c r="G1102" s="1"/>
      <c r="H1102" s="1"/>
      <c r="I1102" s="1"/>
      <c r="J1102" s="1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</row>
    <row r="1103" spans="2:73" s="38" customFormat="1">
      <c r="B1103" s="1"/>
      <c r="C1103" s="1"/>
      <c r="D1103" s="1"/>
      <c r="E1103" s="1"/>
      <c r="F1103" s="1"/>
      <c r="G1103" s="1"/>
      <c r="H1103" s="1"/>
      <c r="I1103" s="1"/>
      <c r="J1103" s="1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</row>
    <row r="1104" spans="2:73" s="38" customFormat="1">
      <c r="B1104" s="1"/>
      <c r="C1104" s="1"/>
      <c r="D1104" s="1"/>
      <c r="E1104" s="1"/>
      <c r="F1104" s="1"/>
      <c r="G1104" s="1"/>
      <c r="H1104" s="1"/>
      <c r="I1104" s="1"/>
      <c r="J1104" s="1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</row>
    <row r="1105" spans="2:73" s="38" customFormat="1">
      <c r="B1105" s="1"/>
      <c r="C1105" s="1"/>
      <c r="D1105" s="1"/>
      <c r="E1105" s="1"/>
      <c r="F1105" s="1"/>
      <c r="G1105" s="1"/>
      <c r="H1105" s="1"/>
      <c r="I1105" s="1"/>
      <c r="J1105" s="1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</row>
    <row r="1106" spans="2:73" s="38" customFormat="1">
      <c r="B1106" s="1"/>
      <c r="C1106" s="1"/>
      <c r="D1106" s="1"/>
      <c r="E1106" s="1"/>
      <c r="F1106" s="1"/>
      <c r="G1106" s="1"/>
      <c r="H1106" s="1"/>
      <c r="I1106" s="1"/>
      <c r="J1106" s="1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</row>
    <row r="1107" spans="2:73" s="38" customFormat="1">
      <c r="B1107" s="1"/>
      <c r="C1107" s="1"/>
      <c r="D1107" s="1"/>
      <c r="E1107" s="1"/>
      <c r="F1107" s="1"/>
      <c r="G1107" s="1"/>
      <c r="H1107" s="1"/>
      <c r="I1107" s="1"/>
      <c r="J1107" s="1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</row>
    <row r="1108" spans="2:73" s="38" customFormat="1">
      <c r="B1108" s="1"/>
      <c r="C1108" s="1"/>
      <c r="D1108" s="1"/>
      <c r="E1108" s="1"/>
      <c r="F1108" s="1"/>
      <c r="G1108" s="1"/>
      <c r="H1108" s="1"/>
      <c r="I1108" s="1"/>
      <c r="J1108" s="1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</row>
    <row r="1109" spans="2:73" s="38" customFormat="1">
      <c r="B1109" s="1"/>
      <c r="C1109" s="1"/>
      <c r="D1109" s="1"/>
      <c r="E1109" s="1"/>
      <c r="F1109" s="1"/>
      <c r="G1109" s="1"/>
      <c r="H1109" s="1"/>
      <c r="I1109" s="1"/>
      <c r="J1109" s="1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</row>
    <row r="1110" spans="2:73" s="38" customFormat="1">
      <c r="B1110" s="1"/>
      <c r="C1110" s="1"/>
      <c r="D1110" s="1"/>
      <c r="E1110" s="1"/>
      <c r="F1110" s="1"/>
      <c r="G1110" s="1"/>
      <c r="H1110" s="1"/>
      <c r="I1110" s="1"/>
      <c r="J1110" s="1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</row>
    <row r="1111" spans="2:73" s="38" customFormat="1">
      <c r="B1111" s="1"/>
      <c r="C1111" s="1"/>
      <c r="D1111" s="1"/>
      <c r="E1111" s="1"/>
      <c r="F1111" s="1"/>
      <c r="G1111" s="1"/>
      <c r="H1111" s="1"/>
      <c r="I1111" s="1"/>
      <c r="J1111" s="1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</row>
    <row r="1112" spans="2:73" s="38" customFormat="1">
      <c r="B1112" s="1"/>
      <c r="C1112" s="1"/>
      <c r="D1112" s="1"/>
      <c r="E1112" s="1"/>
      <c r="F1112" s="1"/>
      <c r="G1112" s="1"/>
      <c r="H1112" s="1"/>
      <c r="I1112" s="1"/>
      <c r="J1112" s="1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</row>
    <row r="1113" spans="2:73" s="38" customFormat="1">
      <c r="B1113" s="1"/>
      <c r="C1113" s="1"/>
      <c r="D1113" s="1"/>
      <c r="E1113" s="1"/>
      <c r="F1113" s="1"/>
      <c r="G1113" s="1"/>
      <c r="H1113" s="1"/>
      <c r="I1113" s="1"/>
      <c r="J1113" s="1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</row>
    <row r="1114" spans="2:73" s="38" customFormat="1">
      <c r="B1114" s="1"/>
      <c r="C1114" s="1"/>
      <c r="D1114" s="1"/>
      <c r="E1114" s="1"/>
      <c r="F1114" s="1"/>
      <c r="G1114" s="1"/>
      <c r="H1114" s="1"/>
      <c r="I1114" s="1"/>
      <c r="J1114" s="1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</row>
    <row r="1115" spans="2:73" s="38" customFormat="1">
      <c r="B1115" s="1"/>
      <c r="C1115" s="1"/>
      <c r="D1115" s="1"/>
      <c r="E1115" s="1"/>
      <c r="F1115" s="1"/>
      <c r="G1115" s="1"/>
      <c r="H1115" s="1"/>
      <c r="I1115" s="1"/>
      <c r="J1115" s="1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</row>
    <row r="1116" spans="2:73" s="38" customFormat="1">
      <c r="B1116" s="1"/>
      <c r="C1116" s="1"/>
      <c r="D1116" s="1"/>
      <c r="E1116" s="1"/>
      <c r="F1116" s="1"/>
      <c r="G1116" s="1"/>
      <c r="H1116" s="1"/>
      <c r="I1116" s="1"/>
      <c r="J1116" s="1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</row>
    <row r="1117" spans="2:73" s="38" customFormat="1">
      <c r="B1117" s="1"/>
      <c r="C1117" s="1"/>
      <c r="D1117" s="1"/>
      <c r="E1117" s="1"/>
      <c r="F1117" s="1"/>
      <c r="G1117" s="1"/>
      <c r="H1117" s="1"/>
      <c r="I1117" s="1"/>
      <c r="J1117" s="1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</row>
    <row r="1118" spans="2:73" s="38" customFormat="1">
      <c r="B1118" s="1"/>
      <c r="C1118" s="1"/>
      <c r="D1118" s="1"/>
      <c r="E1118" s="1"/>
      <c r="F1118" s="1"/>
      <c r="G1118" s="1"/>
      <c r="H1118" s="1"/>
      <c r="I1118" s="1"/>
      <c r="J1118" s="1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</row>
    <row r="1119" spans="2:73" s="38" customFormat="1">
      <c r="B1119" s="1"/>
      <c r="C1119" s="1"/>
      <c r="D1119" s="1"/>
      <c r="E1119" s="1"/>
      <c r="F1119" s="1"/>
      <c r="G1119" s="1"/>
      <c r="H1119" s="1"/>
      <c r="I1119" s="1"/>
      <c r="J1119" s="1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</row>
    <row r="1120" spans="2:73" s="38" customFormat="1">
      <c r="B1120" s="1"/>
      <c r="C1120" s="1"/>
      <c r="D1120" s="1"/>
      <c r="E1120" s="1"/>
      <c r="F1120" s="1"/>
      <c r="G1120" s="1"/>
      <c r="H1120" s="1"/>
      <c r="I1120" s="1"/>
      <c r="J1120" s="1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</row>
    <row r="1121" spans="2:73" s="38" customFormat="1">
      <c r="B1121" s="1"/>
      <c r="C1121" s="1"/>
      <c r="D1121" s="1"/>
      <c r="E1121" s="1"/>
      <c r="F1121" s="1"/>
      <c r="G1121" s="1"/>
      <c r="H1121" s="1"/>
      <c r="I1121" s="1"/>
      <c r="J1121" s="1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</row>
    <row r="1122" spans="2:73" s="38" customFormat="1">
      <c r="B1122" s="1"/>
      <c r="C1122" s="1"/>
      <c r="D1122" s="1"/>
      <c r="E1122" s="1"/>
      <c r="F1122" s="1"/>
      <c r="G1122" s="1"/>
      <c r="H1122" s="1"/>
      <c r="I1122" s="1"/>
      <c r="J1122" s="1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</row>
    <row r="1123" spans="2:73" s="38" customFormat="1">
      <c r="B1123" s="1"/>
      <c r="C1123" s="1"/>
      <c r="D1123" s="1"/>
      <c r="E1123" s="1"/>
      <c r="F1123" s="1"/>
      <c r="G1123" s="1"/>
      <c r="H1123" s="1"/>
      <c r="I1123" s="1"/>
      <c r="J1123" s="1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</row>
    <row r="1124" spans="2:73" s="38" customFormat="1">
      <c r="B1124" s="1"/>
      <c r="C1124" s="1"/>
      <c r="D1124" s="1"/>
      <c r="E1124" s="1"/>
      <c r="F1124" s="1"/>
      <c r="G1124" s="1"/>
      <c r="H1124" s="1"/>
      <c r="I1124" s="1"/>
      <c r="J1124" s="1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</row>
    <row r="1125" spans="2:73" s="38" customFormat="1">
      <c r="B1125" s="1"/>
      <c r="C1125" s="1"/>
      <c r="D1125" s="1"/>
      <c r="E1125" s="1"/>
      <c r="F1125" s="1"/>
      <c r="G1125" s="1"/>
      <c r="H1125" s="1"/>
      <c r="I1125" s="1"/>
      <c r="J1125" s="1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</row>
    <row r="1126" spans="2:73" s="38" customFormat="1">
      <c r="B1126" s="1"/>
      <c r="C1126" s="1"/>
      <c r="D1126" s="1"/>
      <c r="E1126" s="1"/>
      <c r="F1126" s="1"/>
      <c r="G1126" s="1"/>
      <c r="H1126" s="1"/>
      <c r="I1126" s="1"/>
      <c r="J1126" s="1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</row>
    <row r="1127" spans="2:73" s="38" customFormat="1">
      <c r="B1127" s="1"/>
      <c r="C1127" s="1"/>
      <c r="D1127" s="1"/>
      <c r="E1127" s="1"/>
      <c r="F1127" s="1"/>
      <c r="G1127" s="1"/>
      <c r="H1127" s="1"/>
      <c r="I1127" s="1"/>
      <c r="J1127" s="1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</row>
    <row r="1128" spans="2:73" s="38" customFormat="1">
      <c r="B1128" s="1"/>
      <c r="C1128" s="1"/>
      <c r="D1128" s="1"/>
      <c r="E1128" s="1"/>
      <c r="F1128" s="1"/>
      <c r="G1128" s="1"/>
      <c r="H1128" s="1"/>
      <c r="I1128" s="1"/>
      <c r="J1128" s="1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</row>
    <row r="1129" spans="2:73" s="38" customFormat="1">
      <c r="B1129" s="1"/>
      <c r="C1129" s="1"/>
      <c r="D1129" s="1"/>
      <c r="E1129" s="1"/>
      <c r="F1129" s="1"/>
      <c r="G1129" s="1"/>
      <c r="H1129" s="1"/>
      <c r="I1129" s="1"/>
      <c r="J1129" s="1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</row>
    <row r="1130" spans="2:73" s="38" customFormat="1">
      <c r="B1130" s="1"/>
      <c r="C1130" s="1"/>
      <c r="D1130" s="1"/>
      <c r="E1130" s="1"/>
      <c r="F1130" s="1"/>
      <c r="G1130" s="1"/>
      <c r="H1130" s="1"/>
      <c r="I1130" s="1"/>
      <c r="J1130" s="1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</row>
    <row r="1131" spans="2:73" s="38" customFormat="1">
      <c r="B1131" s="1"/>
      <c r="C1131" s="1"/>
      <c r="D1131" s="1"/>
      <c r="E1131" s="1"/>
      <c r="F1131" s="1"/>
      <c r="G1131" s="1"/>
      <c r="H1131" s="1"/>
      <c r="I1131" s="1"/>
      <c r="J1131" s="1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</row>
    <row r="1132" spans="2:73" s="38" customFormat="1">
      <c r="B1132" s="1"/>
      <c r="C1132" s="1"/>
      <c r="D1132" s="1"/>
      <c r="E1132" s="1"/>
      <c r="F1132" s="1"/>
      <c r="G1132" s="1"/>
      <c r="H1132" s="1"/>
      <c r="I1132" s="1"/>
      <c r="J1132" s="1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</row>
    <row r="1133" spans="2:73" s="38" customFormat="1">
      <c r="B1133" s="1"/>
      <c r="C1133" s="1"/>
      <c r="D1133" s="1"/>
      <c r="E1133" s="1"/>
      <c r="F1133" s="1"/>
      <c r="G1133" s="1"/>
      <c r="H1133" s="1"/>
      <c r="I1133" s="1"/>
      <c r="J1133" s="1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</row>
    <row r="1134" spans="2:73" s="38" customFormat="1">
      <c r="B1134" s="1"/>
      <c r="C1134" s="1"/>
      <c r="D1134" s="1"/>
      <c r="E1134" s="1"/>
      <c r="F1134" s="1"/>
      <c r="G1134" s="1"/>
      <c r="H1134" s="1"/>
      <c r="I1134" s="1"/>
      <c r="J1134" s="1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</row>
    <row r="1135" spans="2:73" s="38" customFormat="1">
      <c r="B1135" s="1"/>
      <c r="C1135" s="1"/>
      <c r="D1135" s="1"/>
      <c r="E1135" s="1"/>
      <c r="F1135" s="1"/>
      <c r="G1135" s="1"/>
      <c r="H1135" s="1"/>
      <c r="I1135" s="1"/>
      <c r="J1135" s="1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</row>
    <row r="1136" spans="2:73" s="38" customFormat="1">
      <c r="B1136" s="1"/>
      <c r="C1136" s="1"/>
      <c r="D1136" s="1"/>
      <c r="E1136" s="1"/>
      <c r="F1136" s="1"/>
      <c r="G1136" s="1"/>
      <c r="H1136" s="1"/>
      <c r="I1136" s="1"/>
      <c r="J1136" s="1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</row>
    <row r="1137" spans="2:73" s="38" customFormat="1">
      <c r="B1137" s="1"/>
      <c r="C1137" s="1"/>
      <c r="D1137" s="1"/>
      <c r="E1137" s="1"/>
      <c r="F1137" s="1"/>
      <c r="G1137" s="1"/>
      <c r="H1137" s="1"/>
      <c r="I1137" s="1"/>
      <c r="J1137" s="1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</row>
    <row r="1138" spans="2:73" s="38" customFormat="1">
      <c r="B1138" s="1"/>
      <c r="C1138" s="1"/>
      <c r="D1138" s="1"/>
      <c r="E1138" s="1"/>
      <c r="F1138" s="1"/>
      <c r="G1138" s="1"/>
      <c r="H1138" s="1"/>
      <c r="I1138" s="1"/>
      <c r="J1138" s="1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</row>
    <row r="1139" spans="2:73" s="38" customFormat="1">
      <c r="B1139" s="1"/>
      <c r="C1139" s="1"/>
      <c r="D1139" s="1"/>
      <c r="E1139" s="1"/>
      <c r="F1139" s="1"/>
      <c r="G1139" s="1"/>
      <c r="H1139" s="1"/>
      <c r="I1139" s="1"/>
      <c r="J1139" s="1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</row>
    <row r="1140" spans="2:73" s="38" customFormat="1">
      <c r="B1140" s="1"/>
      <c r="C1140" s="1"/>
      <c r="D1140" s="1"/>
      <c r="E1140" s="1"/>
      <c r="F1140" s="1"/>
      <c r="G1140" s="1"/>
      <c r="H1140" s="1"/>
      <c r="I1140" s="1"/>
      <c r="J1140" s="1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</row>
    <row r="1141" spans="2:73" s="38" customFormat="1">
      <c r="B1141" s="1"/>
      <c r="C1141" s="1"/>
      <c r="D1141" s="1"/>
      <c r="E1141" s="1"/>
      <c r="F1141" s="1"/>
      <c r="G1141" s="1"/>
      <c r="H1141" s="1"/>
      <c r="I1141" s="1"/>
      <c r="J1141" s="1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</row>
    <row r="1142" spans="2:73" s="38" customFormat="1">
      <c r="B1142" s="1"/>
      <c r="C1142" s="1"/>
      <c r="D1142" s="1"/>
      <c r="E1142" s="1"/>
      <c r="F1142" s="1"/>
      <c r="G1142" s="1"/>
      <c r="H1142" s="1"/>
      <c r="I1142" s="1"/>
      <c r="J1142" s="1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</row>
    <row r="1143" spans="2:73" s="38" customFormat="1">
      <c r="B1143" s="1"/>
      <c r="C1143" s="1"/>
      <c r="D1143" s="1"/>
      <c r="E1143" s="1"/>
      <c r="F1143" s="1"/>
      <c r="G1143" s="1"/>
      <c r="H1143" s="1"/>
      <c r="I1143" s="1"/>
      <c r="J1143" s="1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</row>
    <row r="1144" spans="2:73" s="38" customFormat="1">
      <c r="B1144" s="1"/>
      <c r="C1144" s="1"/>
      <c r="D1144" s="1"/>
      <c r="E1144" s="1"/>
      <c r="F1144" s="1"/>
      <c r="G1144" s="1"/>
      <c r="H1144" s="1"/>
      <c r="I1144" s="1"/>
      <c r="J1144" s="1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</row>
    <row r="1145" spans="2:73" s="38" customFormat="1">
      <c r="B1145" s="1"/>
      <c r="C1145" s="1"/>
      <c r="D1145" s="1"/>
      <c r="E1145" s="1"/>
      <c r="F1145" s="1"/>
      <c r="G1145" s="1"/>
      <c r="H1145" s="1"/>
      <c r="I1145" s="1"/>
      <c r="J1145" s="1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</row>
    <row r="1146" spans="2:73" s="38" customFormat="1">
      <c r="B1146" s="1"/>
      <c r="C1146" s="1"/>
      <c r="D1146" s="1"/>
      <c r="E1146" s="1"/>
      <c r="F1146" s="1"/>
      <c r="G1146" s="1"/>
      <c r="H1146" s="1"/>
      <c r="I1146" s="1"/>
      <c r="J1146" s="1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</row>
    <row r="1147" spans="2:73" s="38" customFormat="1">
      <c r="B1147" s="1"/>
      <c r="C1147" s="1"/>
      <c r="D1147" s="1"/>
      <c r="E1147" s="1"/>
      <c r="F1147" s="1"/>
      <c r="G1147" s="1"/>
      <c r="H1147" s="1"/>
      <c r="I1147" s="1"/>
      <c r="J1147" s="1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</row>
    <row r="1148" spans="2:73" s="38" customFormat="1">
      <c r="B1148" s="1"/>
      <c r="C1148" s="1"/>
      <c r="D1148" s="1"/>
      <c r="E1148" s="1"/>
      <c r="F1148" s="1"/>
      <c r="G1148" s="1"/>
      <c r="H1148" s="1"/>
      <c r="I1148" s="1"/>
      <c r="J1148" s="1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</row>
    <row r="1149" spans="2:73" s="38" customFormat="1">
      <c r="B1149" s="1"/>
      <c r="C1149" s="1"/>
      <c r="D1149" s="1"/>
      <c r="E1149" s="1"/>
      <c r="F1149" s="1"/>
      <c r="G1149" s="1"/>
      <c r="H1149" s="1"/>
      <c r="I1149" s="1"/>
      <c r="J1149" s="1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</row>
    <row r="1150" spans="2:73" s="38" customFormat="1">
      <c r="B1150" s="1"/>
      <c r="C1150" s="1"/>
      <c r="D1150" s="1"/>
      <c r="E1150" s="1"/>
      <c r="F1150" s="1"/>
      <c r="G1150" s="1"/>
      <c r="H1150" s="1"/>
      <c r="I1150" s="1"/>
      <c r="J1150" s="1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</row>
    <row r="1151" spans="2:73" s="38" customFormat="1">
      <c r="B1151" s="1"/>
      <c r="C1151" s="1"/>
      <c r="D1151" s="1"/>
      <c r="E1151" s="1"/>
      <c r="F1151" s="1"/>
      <c r="G1151" s="1"/>
      <c r="H1151" s="1"/>
      <c r="I1151" s="1"/>
      <c r="J1151" s="1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</row>
    <row r="1152" spans="2:73" s="38" customFormat="1">
      <c r="B1152" s="1"/>
      <c r="C1152" s="1"/>
      <c r="D1152" s="1"/>
      <c r="E1152" s="1"/>
      <c r="F1152" s="1"/>
      <c r="G1152" s="1"/>
      <c r="H1152" s="1"/>
      <c r="I1152" s="1"/>
      <c r="J1152" s="1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</row>
    <row r="1153" spans="2:73" s="38" customFormat="1">
      <c r="B1153" s="1"/>
      <c r="C1153" s="1"/>
      <c r="D1153" s="1"/>
      <c r="E1153" s="1"/>
      <c r="F1153" s="1"/>
      <c r="G1153" s="1"/>
      <c r="H1153" s="1"/>
      <c r="I1153" s="1"/>
      <c r="J1153" s="1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</row>
    <row r="1154" spans="2:73" s="38" customFormat="1">
      <c r="B1154" s="1"/>
      <c r="C1154" s="1"/>
      <c r="D1154" s="1"/>
      <c r="E1154" s="1"/>
      <c r="F1154" s="1"/>
      <c r="G1154" s="1"/>
      <c r="H1154" s="1"/>
      <c r="I1154" s="1"/>
      <c r="J1154" s="1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</row>
    <row r="1155" spans="2:73" s="38" customFormat="1">
      <c r="B1155" s="1"/>
      <c r="C1155" s="1"/>
      <c r="D1155" s="1"/>
      <c r="E1155" s="1"/>
      <c r="F1155" s="1"/>
      <c r="G1155" s="1"/>
      <c r="H1155" s="1"/>
      <c r="I1155" s="1"/>
      <c r="J1155" s="1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</row>
    <row r="1156" spans="2:73" s="38" customFormat="1">
      <c r="B1156" s="1"/>
      <c r="C1156" s="1"/>
      <c r="D1156" s="1"/>
      <c r="E1156" s="1"/>
      <c r="F1156" s="1"/>
      <c r="G1156" s="1"/>
      <c r="H1156" s="1"/>
      <c r="I1156" s="1"/>
      <c r="J1156" s="1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</row>
    <row r="1157" spans="2:73" s="38" customFormat="1">
      <c r="B1157" s="1"/>
      <c r="C1157" s="1"/>
      <c r="D1157" s="1"/>
      <c r="E1157" s="1"/>
      <c r="F1157" s="1"/>
      <c r="G1157" s="1"/>
      <c r="H1157" s="1"/>
      <c r="I1157" s="1"/>
      <c r="J1157" s="1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</row>
    <row r="1158" spans="2:73" s="38" customFormat="1">
      <c r="B1158" s="1"/>
      <c r="C1158" s="1"/>
      <c r="D1158" s="1"/>
      <c r="E1158" s="1"/>
      <c r="F1158" s="1"/>
      <c r="G1158" s="1"/>
      <c r="H1158" s="1"/>
      <c r="I1158" s="1"/>
      <c r="J1158" s="1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</row>
    <row r="1159" spans="2:73" s="38" customFormat="1">
      <c r="B1159" s="1"/>
      <c r="C1159" s="1"/>
      <c r="D1159" s="1"/>
      <c r="E1159" s="1"/>
      <c r="F1159" s="1"/>
      <c r="G1159" s="1"/>
      <c r="H1159" s="1"/>
      <c r="I1159" s="1"/>
      <c r="J1159" s="1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</row>
    <row r="1160" spans="2:73" s="38" customFormat="1">
      <c r="B1160" s="1"/>
      <c r="C1160" s="1"/>
      <c r="D1160" s="1"/>
      <c r="E1160" s="1"/>
      <c r="F1160" s="1"/>
      <c r="G1160" s="1"/>
      <c r="H1160" s="1"/>
      <c r="I1160" s="1"/>
      <c r="J1160" s="1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</row>
    <row r="1161" spans="2:73" s="38" customFormat="1">
      <c r="B1161" s="1"/>
      <c r="C1161" s="1"/>
      <c r="D1161" s="1"/>
      <c r="E1161" s="1"/>
      <c r="F1161" s="1"/>
      <c r="G1161" s="1"/>
      <c r="H1161" s="1"/>
      <c r="I1161" s="1"/>
      <c r="J1161" s="1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</row>
    <row r="1162" spans="2:73" s="38" customFormat="1">
      <c r="B1162" s="1"/>
      <c r="C1162" s="1"/>
      <c r="D1162" s="1"/>
      <c r="E1162" s="1"/>
      <c r="F1162" s="1"/>
      <c r="G1162" s="1"/>
      <c r="H1162" s="1"/>
      <c r="I1162" s="1"/>
      <c r="J1162" s="1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</row>
    <row r="1163" spans="2:73" s="38" customFormat="1">
      <c r="B1163" s="1"/>
      <c r="C1163" s="1"/>
      <c r="D1163" s="1"/>
      <c r="E1163" s="1"/>
      <c r="F1163" s="1"/>
      <c r="G1163" s="1"/>
      <c r="H1163" s="1"/>
      <c r="I1163" s="1"/>
      <c r="J1163" s="1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</row>
    <row r="1164" spans="2:73" s="38" customFormat="1">
      <c r="B1164" s="1"/>
      <c r="C1164" s="1"/>
      <c r="D1164" s="1"/>
      <c r="E1164" s="1"/>
      <c r="F1164" s="1"/>
      <c r="G1164" s="1"/>
      <c r="H1164" s="1"/>
      <c r="I1164" s="1"/>
      <c r="J1164" s="1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</row>
    <row r="1165" spans="2:73" s="38" customFormat="1">
      <c r="B1165" s="1"/>
      <c r="C1165" s="1"/>
      <c r="D1165" s="1"/>
      <c r="E1165" s="1"/>
      <c r="F1165" s="1"/>
      <c r="G1165" s="1"/>
      <c r="H1165" s="1"/>
      <c r="I1165" s="1"/>
      <c r="J1165" s="1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</row>
    <row r="1166" spans="2:73" s="38" customFormat="1">
      <c r="B1166" s="1"/>
      <c r="C1166" s="1"/>
      <c r="D1166" s="1"/>
      <c r="E1166" s="1"/>
      <c r="F1166" s="1"/>
      <c r="G1166" s="1"/>
      <c r="H1166" s="1"/>
      <c r="I1166" s="1"/>
      <c r="J1166" s="1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</row>
    <row r="1167" spans="2:73" s="38" customFormat="1">
      <c r="B1167" s="1"/>
      <c r="C1167" s="1"/>
      <c r="D1167" s="1"/>
      <c r="E1167" s="1"/>
      <c r="F1167" s="1"/>
      <c r="G1167" s="1"/>
      <c r="H1167" s="1"/>
      <c r="I1167" s="1"/>
      <c r="J1167" s="1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</row>
    <row r="1168" spans="2:73" s="38" customFormat="1">
      <c r="B1168" s="1"/>
      <c r="C1168" s="1"/>
      <c r="D1168" s="1"/>
      <c r="E1168" s="1"/>
      <c r="F1168" s="1"/>
      <c r="G1168" s="1"/>
      <c r="H1168" s="1"/>
      <c r="I1168" s="1"/>
      <c r="J1168" s="1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</row>
    <row r="1169" spans="2:73" s="38" customFormat="1">
      <c r="B1169" s="1"/>
      <c r="C1169" s="1"/>
      <c r="D1169" s="1"/>
      <c r="E1169" s="1"/>
      <c r="F1169" s="1"/>
      <c r="G1169" s="1"/>
      <c r="H1169" s="1"/>
      <c r="I1169" s="1"/>
      <c r="J1169" s="1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</row>
    <row r="1170" spans="2:73" s="38" customFormat="1">
      <c r="B1170" s="1"/>
      <c r="C1170" s="1"/>
      <c r="D1170" s="1"/>
      <c r="E1170" s="1"/>
      <c r="F1170" s="1"/>
      <c r="G1170" s="1"/>
      <c r="H1170" s="1"/>
      <c r="I1170" s="1"/>
      <c r="J1170" s="1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</row>
    <row r="1171" spans="2:73" s="38" customFormat="1">
      <c r="B1171" s="1"/>
      <c r="C1171" s="1"/>
      <c r="D1171" s="1"/>
      <c r="E1171" s="1"/>
      <c r="F1171" s="1"/>
      <c r="G1171" s="1"/>
      <c r="H1171" s="1"/>
      <c r="I1171" s="1"/>
      <c r="J1171" s="1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</row>
    <row r="1172" spans="2:73" s="38" customFormat="1">
      <c r="B1172" s="1"/>
      <c r="C1172" s="1"/>
      <c r="D1172" s="1"/>
      <c r="E1172" s="1"/>
      <c r="F1172" s="1"/>
      <c r="G1172" s="1"/>
      <c r="H1172" s="1"/>
      <c r="I1172" s="1"/>
      <c r="J1172" s="1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</row>
    <row r="1173" spans="2:73" s="38" customFormat="1">
      <c r="B1173" s="1"/>
      <c r="C1173" s="1"/>
      <c r="D1173" s="1"/>
      <c r="E1173" s="1"/>
      <c r="F1173" s="1"/>
      <c r="G1173" s="1"/>
      <c r="H1173" s="1"/>
      <c r="I1173" s="1"/>
      <c r="J1173" s="1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</row>
    <row r="1174" spans="2:73" s="38" customFormat="1">
      <c r="B1174" s="1"/>
      <c r="C1174" s="1"/>
      <c r="D1174" s="1"/>
      <c r="E1174" s="1"/>
      <c r="F1174" s="1"/>
      <c r="G1174" s="1"/>
      <c r="H1174" s="1"/>
      <c r="I1174" s="1"/>
      <c r="J1174" s="1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</row>
    <row r="1175" spans="2:73" s="38" customFormat="1">
      <c r="B1175" s="1"/>
      <c r="C1175" s="1"/>
      <c r="D1175" s="1"/>
      <c r="E1175" s="1"/>
      <c r="F1175" s="1"/>
      <c r="G1175" s="1"/>
      <c r="H1175" s="1"/>
      <c r="I1175" s="1"/>
      <c r="J1175" s="1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</row>
    <row r="1176" spans="2:73" s="38" customFormat="1">
      <c r="B1176" s="1"/>
      <c r="C1176" s="1"/>
      <c r="D1176" s="1"/>
      <c r="E1176" s="1"/>
      <c r="F1176" s="1"/>
      <c r="G1176" s="1"/>
      <c r="H1176" s="1"/>
      <c r="I1176" s="1"/>
      <c r="J1176" s="1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</row>
    <row r="1177" spans="2:73" s="38" customFormat="1">
      <c r="B1177" s="1"/>
      <c r="C1177" s="1"/>
      <c r="D1177" s="1"/>
      <c r="E1177" s="1"/>
      <c r="F1177" s="1"/>
      <c r="G1177" s="1"/>
      <c r="H1177" s="1"/>
      <c r="I1177" s="1"/>
      <c r="J1177" s="1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</row>
    <row r="1178" spans="2:73" s="38" customFormat="1">
      <c r="B1178" s="1"/>
      <c r="C1178" s="1"/>
      <c r="D1178" s="1"/>
      <c r="E1178" s="1"/>
      <c r="F1178" s="1"/>
      <c r="G1178" s="1"/>
      <c r="H1178" s="1"/>
      <c r="I1178" s="1"/>
      <c r="J1178" s="1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</row>
    <row r="1179" spans="2:73" s="38" customFormat="1">
      <c r="B1179" s="1"/>
      <c r="C1179" s="1"/>
      <c r="D1179" s="1"/>
      <c r="E1179" s="1"/>
      <c r="F1179" s="1"/>
      <c r="G1179" s="1"/>
      <c r="H1179" s="1"/>
      <c r="I1179" s="1"/>
      <c r="J1179" s="1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</row>
    <row r="1180" spans="2:73" s="38" customFormat="1">
      <c r="B1180" s="1"/>
      <c r="C1180" s="1"/>
      <c r="D1180" s="1"/>
      <c r="E1180" s="1"/>
      <c r="F1180" s="1"/>
      <c r="G1180" s="1"/>
      <c r="H1180" s="1"/>
      <c r="I1180" s="1"/>
      <c r="J1180" s="1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</row>
    <row r="1181" spans="2:73" s="38" customFormat="1">
      <c r="B1181" s="1"/>
      <c r="C1181" s="1"/>
      <c r="D1181" s="1"/>
      <c r="E1181" s="1"/>
      <c r="F1181" s="1"/>
      <c r="G1181" s="1"/>
      <c r="H1181" s="1"/>
      <c r="I1181" s="1"/>
      <c r="J1181" s="1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</row>
    <row r="1182" spans="2:73" s="38" customFormat="1">
      <c r="B1182" s="1"/>
      <c r="C1182" s="1"/>
      <c r="D1182" s="1"/>
      <c r="E1182" s="1"/>
      <c r="F1182" s="1"/>
      <c r="G1182" s="1"/>
      <c r="H1182" s="1"/>
      <c r="I1182" s="1"/>
      <c r="J1182" s="1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</row>
    <row r="1183" spans="2:73" s="38" customFormat="1">
      <c r="B1183" s="1"/>
      <c r="C1183" s="1"/>
      <c r="D1183" s="1"/>
      <c r="E1183" s="1"/>
      <c r="F1183" s="1"/>
      <c r="G1183" s="1"/>
      <c r="H1183" s="1"/>
      <c r="I1183" s="1"/>
      <c r="J1183" s="1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</row>
    <row r="1184" spans="2:73" s="38" customFormat="1">
      <c r="B1184" s="1"/>
      <c r="C1184" s="1"/>
      <c r="D1184" s="1"/>
      <c r="E1184" s="1"/>
      <c r="F1184" s="1"/>
      <c r="G1184" s="1"/>
      <c r="H1184" s="1"/>
      <c r="I1184" s="1"/>
      <c r="J1184" s="1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</row>
    <row r="1185" spans="2:73" s="38" customFormat="1">
      <c r="B1185" s="1"/>
      <c r="C1185" s="1"/>
      <c r="D1185" s="1"/>
      <c r="E1185" s="1"/>
      <c r="F1185" s="1"/>
      <c r="G1185" s="1"/>
      <c r="H1185" s="1"/>
      <c r="I1185" s="1"/>
      <c r="J1185" s="1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</row>
    <row r="1186" spans="2:73" s="38" customFormat="1">
      <c r="B1186" s="1"/>
      <c r="C1186" s="1"/>
      <c r="D1186" s="1"/>
      <c r="E1186" s="1"/>
      <c r="F1186" s="1"/>
      <c r="G1186" s="1"/>
      <c r="H1186" s="1"/>
      <c r="I1186" s="1"/>
      <c r="J1186" s="1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</row>
    <row r="1187" spans="2:73" s="38" customFormat="1">
      <c r="B1187" s="1"/>
      <c r="C1187" s="1"/>
      <c r="D1187" s="1"/>
      <c r="E1187" s="1"/>
      <c r="F1187" s="1"/>
      <c r="G1187" s="1"/>
      <c r="H1187" s="1"/>
      <c r="I1187" s="1"/>
      <c r="J1187" s="1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</row>
    <row r="1188" spans="2:73" s="38" customFormat="1">
      <c r="B1188" s="1"/>
      <c r="C1188" s="1"/>
      <c r="D1188" s="1"/>
      <c r="E1188" s="1"/>
      <c r="F1188" s="1"/>
      <c r="G1188" s="1"/>
      <c r="H1188" s="1"/>
      <c r="I1188" s="1"/>
      <c r="J1188" s="1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</row>
    <row r="1189" spans="2:73" s="38" customFormat="1">
      <c r="B1189" s="1"/>
      <c r="C1189" s="1"/>
      <c r="D1189" s="1"/>
      <c r="E1189" s="1"/>
      <c r="F1189" s="1"/>
      <c r="G1189" s="1"/>
      <c r="H1189" s="1"/>
      <c r="I1189" s="1"/>
      <c r="J1189" s="1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</row>
    <row r="1190" spans="2:73" s="38" customFormat="1">
      <c r="B1190" s="1"/>
      <c r="C1190" s="1"/>
      <c r="D1190" s="1"/>
      <c r="E1190" s="1"/>
      <c r="F1190" s="1"/>
      <c r="G1190" s="1"/>
      <c r="H1190" s="1"/>
      <c r="I1190" s="1"/>
      <c r="J1190" s="1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</row>
    <row r="1191" spans="2:73" s="38" customFormat="1">
      <c r="B1191" s="1"/>
      <c r="C1191" s="1"/>
      <c r="D1191" s="1"/>
      <c r="E1191" s="1"/>
      <c r="F1191" s="1"/>
      <c r="G1191" s="1"/>
      <c r="H1191" s="1"/>
      <c r="I1191" s="1"/>
      <c r="J1191" s="1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</row>
    <row r="1192" spans="2:73" s="38" customFormat="1">
      <c r="B1192" s="1"/>
      <c r="C1192" s="1"/>
      <c r="D1192" s="1"/>
      <c r="E1192" s="1"/>
      <c r="F1192" s="1"/>
      <c r="G1192" s="1"/>
      <c r="H1192" s="1"/>
      <c r="I1192" s="1"/>
      <c r="J1192" s="1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</row>
    <row r="1193" spans="2:73" s="38" customFormat="1">
      <c r="B1193" s="1"/>
      <c r="C1193" s="1"/>
      <c r="D1193" s="1"/>
      <c r="E1193" s="1"/>
      <c r="F1193" s="1"/>
      <c r="G1193" s="1"/>
      <c r="H1193" s="1"/>
      <c r="I1193" s="1"/>
      <c r="J1193" s="1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</row>
    <row r="1194" spans="2:73" s="38" customFormat="1">
      <c r="B1194" s="1"/>
      <c r="C1194" s="1"/>
      <c r="D1194" s="1"/>
      <c r="E1194" s="1"/>
      <c r="F1194" s="1"/>
      <c r="G1194" s="1"/>
      <c r="H1194" s="1"/>
      <c r="I1194" s="1"/>
      <c r="J1194" s="1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</row>
    <row r="1195" spans="2:73" s="38" customFormat="1">
      <c r="B1195" s="1"/>
      <c r="C1195" s="1"/>
      <c r="D1195" s="1"/>
      <c r="E1195" s="1"/>
      <c r="F1195" s="1"/>
      <c r="G1195" s="1"/>
      <c r="H1195" s="1"/>
      <c r="I1195" s="1"/>
      <c r="J1195" s="1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</row>
    <row r="1196" spans="2:73" s="38" customFormat="1">
      <c r="B1196" s="1"/>
      <c r="C1196" s="1"/>
      <c r="D1196" s="1"/>
      <c r="E1196" s="1"/>
      <c r="F1196" s="1"/>
      <c r="G1196" s="1"/>
      <c r="H1196" s="1"/>
      <c r="I1196" s="1"/>
      <c r="J1196" s="1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</row>
    <row r="1197" spans="2:73" s="38" customFormat="1">
      <c r="B1197" s="1"/>
      <c r="C1197" s="1"/>
      <c r="D1197" s="1"/>
      <c r="E1197" s="1"/>
      <c r="F1197" s="1"/>
      <c r="G1197" s="1"/>
      <c r="H1197" s="1"/>
      <c r="I1197" s="1"/>
      <c r="J1197" s="1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</row>
    <row r="1198" spans="2:73" s="38" customFormat="1">
      <c r="B1198" s="1"/>
      <c r="C1198" s="1"/>
      <c r="D1198" s="1"/>
      <c r="E1198" s="1"/>
      <c r="F1198" s="1"/>
      <c r="G1198" s="1"/>
      <c r="H1198" s="1"/>
      <c r="I1198" s="1"/>
      <c r="J1198" s="1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</row>
    <row r="1199" spans="2:73" s="38" customFormat="1">
      <c r="B1199" s="1"/>
      <c r="C1199" s="1"/>
      <c r="D1199" s="1"/>
      <c r="E1199" s="1"/>
      <c r="F1199" s="1"/>
      <c r="G1199" s="1"/>
      <c r="H1199" s="1"/>
      <c r="I1199" s="1"/>
      <c r="J1199" s="1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</row>
    <row r="1200" spans="2:73" s="38" customFormat="1">
      <c r="B1200" s="1"/>
      <c r="C1200" s="1"/>
      <c r="D1200" s="1"/>
      <c r="E1200" s="1"/>
      <c r="F1200" s="1"/>
      <c r="G1200" s="1"/>
      <c r="H1200" s="1"/>
      <c r="I1200" s="1"/>
      <c r="J1200" s="1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</row>
    <row r="1201" spans="2:73" s="38" customFormat="1">
      <c r="B1201" s="1"/>
      <c r="C1201" s="1"/>
      <c r="D1201" s="1"/>
      <c r="E1201" s="1"/>
      <c r="F1201" s="1"/>
      <c r="G1201" s="1"/>
      <c r="H1201" s="1"/>
      <c r="I1201" s="1"/>
      <c r="J1201" s="1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</row>
    <row r="1202" spans="2:73" s="38" customFormat="1">
      <c r="B1202" s="1"/>
      <c r="C1202" s="1"/>
      <c r="D1202" s="1"/>
      <c r="E1202" s="1"/>
      <c r="F1202" s="1"/>
      <c r="G1202" s="1"/>
      <c r="H1202" s="1"/>
      <c r="I1202" s="1"/>
      <c r="J1202" s="1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</row>
    <row r="1203" spans="2:73" s="38" customFormat="1">
      <c r="B1203" s="1"/>
      <c r="C1203" s="1"/>
      <c r="D1203" s="1"/>
      <c r="E1203" s="1"/>
      <c r="F1203" s="1"/>
      <c r="G1203" s="1"/>
      <c r="H1203" s="1"/>
      <c r="I1203" s="1"/>
      <c r="J1203" s="1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</row>
    <row r="1204" spans="2:73" s="38" customFormat="1">
      <c r="B1204" s="1"/>
      <c r="C1204" s="1"/>
      <c r="D1204" s="1"/>
      <c r="E1204" s="1"/>
      <c r="F1204" s="1"/>
      <c r="G1204" s="1"/>
      <c r="H1204" s="1"/>
      <c r="I1204" s="1"/>
      <c r="J1204" s="1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</row>
    <row r="1205" spans="2:73" s="38" customFormat="1">
      <c r="B1205" s="1"/>
      <c r="C1205" s="1"/>
      <c r="D1205" s="1"/>
      <c r="E1205" s="1"/>
      <c r="F1205" s="1"/>
      <c r="G1205" s="1"/>
      <c r="H1205" s="1"/>
      <c r="I1205" s="1"/>
      <c r="J1205" s="1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</row>
    <row r="1206" spans="2:73" s="38" customFormat="1">
      <c r="B1206" s="1"/>
      <c r="C1206" s="1"/>
      <c r="D1206" s="1"/>
      <c r="E1206" s="1"/>
      <c r="F1206" s="1"/>
      <c r="G1206" s="1"/>
      <c r="H1206" s="1"/>
      <c r="I1206" s="1"/>
      <c r="J1206" s="1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</row>
    <row r="1207" spans="2:73" s="38" customFormat="1">
      <c r="B1207" s="1"/>
      <c r="C1207" s="1"/>
      <c r="D1207" s="1"/>
      <c r="E1207" s="1"/>
      <c r="F1207" s="1"/>
      <c r="G1207" s="1"/>
      <c r="H1207" s="1"/>
      <c r="I1207" s="1"/>
      <c r="J1207" s="1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</row>
    <row r="1208" spans="2:73" s="38" customFormat="1">
      <c r="B1208" s="1"/>
      <c r="C1208" s="1"/>
      <c r="D1208" s="1"/>
      <c r="E1208" s="1"/>
      <c r="F1208" s="1"/>
      <c r="G1208" s="1"/>
      <c r="H1208" s="1"/>
      <c r="I1208" s="1"/>
      <c r="J1208" s="1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</row>
    <row r="1209" spans="2:73" s="38" customFormat="1">
      <c r="B1209" s="1"/>
      <c r="C1209" s="1"/>
      <c r="D1209" s="1"/>
      <c r="E1209" s="1"/>
      <c r="F1209" s="1"/>
      <c r="G1209" s="1"/>
      <c r="H1209" s="1"/>
      <c r="I1209" s="1"/>
      <c r="J1209" s="1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</row>
    <row r="1210" spans="2:73" s="38" customFormat="1">
      <c r="B1210" s="1"/>
      <c r="C1210" s="1"/>
      <c r="D1210" s="1"/>
      <c r="E1210" s="1"/>
      <c r="F1210" s="1"/>
      <c r="G1210" s="1"/>
      <c r="H1210" s="1"/>
      <c r="I1210" s="1"/>
      <c r="J1210" s="1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</row>
    <row r="1211" spans="2:73" s="38" customFormat="1">
      <c r="B1211" s="1"/>
      <c r="C1211" s="1"/>
      <c r="D1211" s="1"/>
      <c r="E1211" s="1"/>
      <c r="F1211" s="1"/>
      <c r="G1211" s="1"/>
      <c r="H1211" s="1"/>
      <c r="I1211" s="1"/>
      <c r="J1211" s="1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</row>
    <row r="1212" spans="2:73" s="38" customFormat="1">
      <c r="B1212" s="1"/>
      <c r="C1212" s="1"/>
      <c r="D1212" s="1"/>
      <c r="E1212" s="1"/>
      <c r="F1212" s="1"/>
      <c r="G1212" s="1"/>
      <c r="H1212" s="1"/>
      <c r="I1212" s="1"/>
      <c r="J1212" s="1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</row>
    <row r="1213" spans="2:73" s="38" customFormat="1">
      <c r="B1213" s="1"/>
      <c r="C1213" s="1"/>
      <c r="D1213" s="1"/>
      <c r="E1213" s="1"/>
      <c r="F1213" s="1"/>
      <c r="G1213" s="1"/>
      <c r="H1213" s="1"/>
      <c r="I1213" s="1"/>
      <c r="J1213" s="1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</row>
    <row r="1214" spans="2:73" s="38" customFormat="1">
      <c r="B1214" s="1"/>
      <c r="C1214" s="1"/>
      <c r="D1214" s="1"/>
      <c r="E1214" s="1"/>
      <c r="F1214" s="1"/>
      <c r="G1214" s="1"/>
      <c r="H1214" s="1"/>
      <c r="I1214" s="1"/>
      <c r="J1214" s="1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</row>
    <row r="1215" spans="2:73" s="38" customFormat="1">
      <c r="B1215" s="1"/>
      <c r="C1215" s="1"/>
      <c r="D1215" s="1"/>
      <c r="E1215" s="1"/>
      <c r="F1215" s="1"/>
      <c r="G1215" s="1"/>
      <c r="H1215" s="1"/>
      <c r="I1215" s="1"/>
      <c r="J1215" s="1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</row>
    <row r="1216" spans="2:73" s="38" customFormat="1">
      <c r="B1216" s="1"/>
      <c r="C1216" s="1"/>
      <c r="D1216" s="1"/>
      <c r="E1216" s="1"/>
      <c r="F1216" s="1"/>
      <c r="G1216" s="1"/>
      <c r="H1216" s="1"/>
      <c r="I1216" s="1"/>
      <c r="J1216" s="1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</row>
    <row r="1217" spans="2:73" s="38" customFormat="1">
      <c r="B1217" s="1"/>
      <c r="C1217" s="1"/>
      <c r="D1217" s="1"/>
      <c r="E1217" s="1"/>
      <c r="F1217" s="1"/>
      <c r="G1217" s="1"/>
      <c r="H1217" s="1"/>
      <c r="I1217" s="1"/>
      <c r="J1217" s="1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</row>
    <row r="1218" spans="2:73" s="38" customFormat="1">
      <c r="B1218" s="1"/>
      <c r="C1218" s="1"/>
      <c r="D1218" s="1"/>
      <c r="E1218" s="1"/>
      <c r="F1218" s="1"/>
      <c r="G1218" s="1"/>
      <c r="H1218" s="1"/>
      <c r="I1218" s="1"/>
      <c r="J1218" s="1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</row>
    <row r="1219" spans="2:73" s="38" customFormat="1">
      <c r="B1219" s="1"/>
      <c r="C1219" s="1"/>
      <c r="D1219" s="1"/>
      <c r="E1219" s="1"/>
      <c r="F1219" s="1"/>
      <c r="G1219" s="1"/>
      <c r="H1219" s="1"/>
      <c r="I1219" s="1"/>
      <c r="J1219" s="1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</row>
    <row r="1220" spans="2:73" s="38" customFormat="1">
      <c r="B1220" s="1"/>
      <c r="C1220" s="1"/>
      <c r="D1220" s="1"/>
      <c r="E1220" s="1"/>
      <c r="F1220" s="1"/>
      <c r="G1220" s="1"/>
      <c r="H1220" s="1"/>
      <c r="I1220" s="1"/>
      <c r="J1220" s="1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</row>
    <row r="1221" spans="2:73" s="38" customFormat="1">
      <c r="B1221" s="1"/>
      <c r="C1221" s="1"/>
      <c r="D1221" s="1"/>
      <c r="E1221" s="1"/>
      <c r="F1221" s="1"/>
      <c r="G1221" s="1"/>
      <c r="H1221" s="1"/>
      <c r="I1221" s="1"/>
      <c r="J1221" s="1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</row>
    <row r="1222" spans="2:73" s="38" customFormat="1">
      <c r="B1222" s="1"/>
      <c r="C1222" s="1"/>
      <c r="D1222" s="1"/>
      <c r="E1222" s="1"/>
      <c r="F1222" s="1"/>
      <c r="G1222" s="1"/>
      <c r="H1222" s="1"/>
      <c r="I1222" s="1"/>
      <c r="J1222" s="1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</row>
    <row r="1223" spans="2:73" s="38" customFormat="1">
      <c r="B1223" s="1"/>
      <c r="C1223" s="1"/>
      <c r="D1223" s="1"/>
      <c r="E1223" s="1"/>
      <c r="F1223" s="1"/>
      <c r="G1223" s="1"/>
      <c r="H1223" s="1"/>
      <c r="I1223" s="1"/>
      <c r="J1223" s="1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</row>
    <row r="1224" spans="2:73" s="38" customFormat="1">
      <c r="B1224" s="1"/>
      <c r="C1224" s="1"/>
      <c r="D1224" s="1"/>
      <c r="E1224" s="1"/>
      <c r="F1224" s="1"/>
      <c r="G1224" s="1"/>
      <c r="H1224" s="1"/>
      <c r="I1224" s="1"/>
      <c r="J1224" s="1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</row>
    <row r="1225" spans="2:73" s="38" customFormat="1">
      <c r="B1225" s="1"/>
      <c r="C1225" s="1"/>
      <c r="D1225" s="1"/>
      <c r="E1225" s="1"/>
      <c r="F1225" s="1"/>
      <c r="G1225" s="1"/>
      <c r="H1225" s="1"/>
      <c r="I1225" s="1"/>
      <c r="J1225" s="1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</row>
    <row r="1226" spans="2:73" s="38" customFormat="1">
      <c r="B1226" s="1"/>
      <c r="C1226" s="1"/>
      <c r="D1226" s="1"/>
      <c r="E1226" s="1"/>
      <c r="F1226" s="1"/>
      <c r="G1226" s="1"/>
      <c r="H1226" s="1"/>
      <c r="I1226" s="1"/>
      <c r="J1226" s="1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</row>
    <row r="1227" spans="2:73" s="38" customFormat="1">
      <c r="B1227" s="1"/>
      <c r="C1227" s="1"/>
      <c r="D1227" s="1"/>
      <c r="E1227" s="1"/>
      <c r="F1227" s="1"/>
      <c r="G1227" s="1"/>
      <c r="H1227" s="1"/>
      <c r="I1227" s="1"/>
      <c r="J1227" s="1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</row>
    <row r="1228" spans="2:73" s="38" customFormat="1">
      <c r="B1228" s="1"/>
      <c r="C1228" s="1"/>
      <c r="D1228" s="1"/>
      <c r="E1228" s="1"/>
      <c r="F1228" s="1"/>
      <c r="G1228" s="1"/>
      <c r="H1228" s="1"/>
      <c r="I1228" s="1"/>
      <c r="J1228" s="1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</row>
    <row r="1229" spans="2:73" s="38" customFormat="1">
      <c r="B1229" s="1"/>
      <c r="C1229" s="1"/>
      <c r="D1229" s="1"/>
      <c r="E1229" s="1"/>
      <c r="F1229" s="1"/>
      <c r="G1229" s="1"/>
      <c r="H1229" s="1"/>
      <c r="I1229" s="1"/>
      <c r="J1229" s="1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</row>
    <row r="1230" spans="2:73" s="38" customFormat="1">
      <c r="B1230" s="1"/>
      <c r="C1230" s="1"/>
      <c r="D1230" s="1"/>
      <c r="E1230" s="1"/>
      <c r="F1230" s="1"/>
      <c r="G1230" s="1"/>
      <c r="H1230" s="1"/>
      <c r="I1230" s="1"/>
      <c r="J1230" s="1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</row>
    <row r="1231" spans="2:73" s="38" customFormat="1">
      <c r="B1231" s="1"/>
      <c r="C1231" s="1"/>
      <c r="D1231" s="1"/>
      <c r="E1231" s="1"/>
      <c r="F1231" s="1"/>
      <c r="G1231" s="1"/>
      <c r="H1231" s="1"/>
      <c r="I1231" s="1"/>
      <c r="J1231" s="1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</row>
    <row r="1232" spans="2:73" s="38" customFormat="1">
      <c r="B1232" s="1"/>
      <c r="C1232" s="1"/>
      <c r="D1232" s="1"/>
      <c r="E1232" s="1"/>
      <c r="F1232" s="1"/>
      <c r="G1232" s="1"/>
      <c r="H1232" s="1"/>
      <c r="I1232" s="1"/>
      <c r="J1232" s="1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</row>
    <row r="1233" spans="2:73" s="38" customFormat="1">
      <c r="B1233" s="1"/>
      <c r="C1233" s="1"/>
      <c r="D1233" s="1"/>
      <c r="E1233" s="1"/>
      <c r="F1233" s="1"/>
      <c r="G1233" s="1"/>
      <c r="H1233" s="1"/>
      <c r="I1233" s="1"/>
      <c r="J1233" s="1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</row>
    <row r="1234" spans="2:73" s="38" customFormat="1">
      <c r="B1234" s="1"/>
      <c r="C1234" s="1"/>
      <c r="D1234" s="1"/>
      <c r="E1234" s="1"/>
      <c r="F1234" s="1"/>
      <c r="G1234" s="1"/>
      <c r="H1234" s="1"/>
      <c r="I1234" s="1"/>
      <c r="J1234" s="1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</row>
    <row r="1235" spans="2:73" s="38" customFormat="1">
      <c r="B1235" s="1"/>
      <c r="C1235" s="1"/>
      <c r="D1235" s="1"/>
      <c r="E1235" s="1"/>
      <c r="F1235" s="1"/>
      <c r="G1235" s="1"/>
      <c r="H1235" s="1"/>
      <c r="I1235" s="1"/>
      <c r="J1235" s="1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</row>
    <row r="1236" spans="2:73" s="38" customFormat="1">
      <c r="B1236" s="1"/>
      <c r="C1236" s="1"/>
      <c r="D1236" s="1"/>
      <c r="E1236" s="1"/>
      <c r="F1236" s="1"/>
      <c r="G1236" s="1"/>
      <c r="H1236" s="1"/>
      <c r="I1236" s="1"/>
      <c r="J1236" s="1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</row>
    <row r="1237" spans="2:73" s="38" customFormat="1">
      <c r="B1237" s="1"/>
      <c r="C1237" s="1"/>
      <c r="D1237" s="1"/>
      <c r="E1237" s="1"/>
      <c r="F1237" s="1"/>
      <c r="G1237" s="1"/>
      <c r="H1237" s="1"/>
      <c r="I1237" s="1"/>
      <c r="J1237" s="1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</row>
    <row r="1238" spans="2:73" s="38" customFormat="1">
      <c r="B1238" s="1"/>
      <c r="C1238" s="1"/>
      <c r="D1238" s="1"/>
      <c r="E1238" s="1"/>
      <c r="F1238" s="1"/>
      <c r="G1238" s="1"/>
      <c r="H1238" s="1"/>
      <c r="I1238" s="1"/>
      <c r="J1238" s="1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</row>
    <row r="1239" spans="2:73" s="38" customFormat="1">
      <c r="B1239" s="1"/>
      <c r="C1239" s="1"/>
      <c r="D1239" s="1"/>
      <c r="E1239" s="1"/>
      <c r="F1239" s="1"/>
      <c r="G1239" s="1"/>
      <c r="H1239" s="1"/>
      <c r="I1239" s="1"/>
      <c r="J1239" s="1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</row>
    <row r="1240" spans="2:73" s="38" customFormat="1">
      <c r="B1240" s="1"/>
      <c r="C1240" s="1"/>
      <c r="D1240" s="1"/>
      <c r="E1240" s="1"/>
      <c r="F1240" s="1"/>
      <c r="G1240" s="1"/>
      <c r="H1240" s="1"/>
      <c r="I1240" s="1"/>
      <c r="J1240" s="1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</row>
    <row r="1241" spans="2:73" s="38" customFormat="1">
      <c r="B1241" s="1"/>
      <c r="C1241" s="1"/>
      <c r="D1241" s="1"/>
      <c r="E1241" s="1"/>
      <c r="F1241" s="1"/>
      <c r="G1241" s="1"/>
      <c r="H1241" s="1"/>
      <c r="I1241" s="1"/>
      <c r="J1241" s="1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</row>
    <row r="1242" spans="2:73" s="38" customFormat="1">
      <c r="B1242" s="1"/>
      <c r="C1242" s="1"/>
      <c r="D1242" s="1"/>
      <c r="E1242" s="1"/>
      <c r="F1242" s="1"/>
      <c r="G1242" s="1"/>
      <c r="H1242" s="1"/>
      <c r="I1242" s="1"/>
      <c r="J1242" s="1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</row>
    <row r="1243" spans="2:73" s="38" customFormat="1">
      <c r="B1243" s="1"/>
      <c r="C1243" s="1"/>
      <c r="D1243" s="1"/>
      <c r="E1243" s="1"/>
      <c r="F1243" s="1"/>
      <c r="G1243" s="1"/>
      <c r="H1243" s="1"/>
      <c r="I1243" s="1"/>
      <c r="J1243" s="1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</row>
    <row r="1244" spans="2:73" s="38" customFormat="1">
      <c r="B1244" s="1"/>
      <c r="C1244" s="1"/>
      <c r="D1244" s="1"/>
      <c r="E1244" s="1"/>
      <c r="F1244" s="1"/>
      <c r="G1244" s="1"/>
      <c r="H1244" s="1"/>
      <c r="I1244" s="1"/>
      <c r="J1244" s="1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</row>
    <row r="1245" spans="2:73" s="38" customFormat="1">
      <c r="B1245" s="1"/>
      <c r="C1245" s="1"/>
      <c r="D1245" s="1"/>
      <c r="E1245" s="1"/>
      <c r="F1245" s="1"/>
      <c r="G1245" s="1"/>
      <c r="H1245" s="1"/>
      <c r="I1245" s="1"/>
      <c r="J1245" s="1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</row>
    <row r="1246" spans="2:73" s="38" customFormat="1">
      <c r="B1246" s="1"/>
      <c r="C1246" s="1"/>
      <c r="D1246" s="1"/>
      <c r="E1246" s="1"/>
      <c r="F1246" s="1"/>
      <c r="G1246" s="1"/>
      <c r="H1246" s="1"/>
      <c r="I1246" s="1"/>
      <c r="J1246" s="1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</row>
    <row r="1247" spans="2:73" s="38" customFormat="1">
      <c r="B1247" s="1"/>
      <c r="C1247" s="1"/>
      <c r="D1247" s="1"/>
      <c r="E1247" s="1"/>
      <c r="F1247" s="1"/>
      <c r="G1247" s="1"/>
      <c r="H1247" s="1"/>
      <c r="I1247" s="1"/>
      <c r="J1247" s="1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</row>
    <row r="1248" spans="2:73" s="38" customFormat="1">
      <c r="B1248" s="1"/>
      <c r="C1248" s="1"/>
      <c r="D1248" s="1"/>
      <c r="E1248" s="1"/>
      <c r="F1248" s="1"/>
      <c r="G1248" s="1"/>
      <c r="H1248" s="1"/>
      <c r="I1248" s="1"/>
      <c r="J1248" s="1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</row>
    <row r="1249" spans="2:73" s="38" customFormat="1">
      <c r="B1249" s="1"/>
      <c r="C1249" s="1"/>
      <c r="D1249" s="1"/>
      <c r="E1249" s="1"/>
      <c r="F1249" s="1"/>
      <c r="G1249" s="1"/>
      <c r="H1249" s="1"/>
      <c r="I1249" s="1"/>
      <c r="J1249" s="1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</row>
    <row r="1250" spans="2:73" s="38" customFormat="1">
      <c r="B1250" s="1"/>
      <c r="C1250" s="1"/>
      <c r="D1250" s="1"/>
      <c r="E1250" s="1"/>
      <c r="F1250" s="1"/>
      <c r="G1250" s="1"/>
      <c r="H1250" s="1"/>
      <c r="I1250" s="1"/>
      <c r="J1250" s="1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</row>
    <row r="1251" spans="2:73" s="38" customFormat="1">
      <c r="B1251" s="1"/>
      <c r="C1251" s="1"/>
      <c r="D1251" s="1"/>
      <c r="E1251" s="1"/>
      <c r="F1251" s="1"/>
      <c r="G1251" s="1"/>
      <c r="H1251" s="1"/>
      <c r="I1251" s="1"/>
      <c r="J1251" s="1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</row>
    <row r="1252" spans="2:73" s="38" customFormat="1">
      <c r="B1252" s="1"/>
      <c r="C1252" s="1"/>
      <c r="D1252" s="1"/>
      <c r="E1252" s="1"/>
      <c r="F1252" s="1"/>
      <c r="G1252" s="1"/>
      <c r="H1252" s="1"/>
      <c r="I1252" s="1"/>
      <c r="J1252" s="1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</row>
    <row r="1253" spans="2:73" s="38" customFormat="1">
      <c r="B1253" s="1"/>
      <c r="C1253" s="1"/>
      <c r="D1253" s="1"/>
      <c r="E1253" s="1"/>
      <c r="F1253" s="1"/>
      <c r="G1253" s="1"/>
      <c r="H1253" s="1"/>
      <c r="I1253" s="1"/>
      <c r="J1253" s="1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</row>
    <row r="1254" spans="2:73" s="38" customFormat="1">
      <c r="B1254" s="1"/>
      <c r="C1254" s="1"/>
      <c r="D1254" s="1"/>
      <c r="E1254" s="1"/>
      <c r="F1254" s="1"/>
      <c r="G1254" s="1"/>
      <c r="H1254" s="1"/>
      <c r="I1254" s="1"/>
      <c r="J1254" s="1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</row>
    <row r="1255" spans="2:73" s="38" customFormat="1">
      <c r="B1255" s="1"/>
      <c r="C1255" s="1"/>
      <c r="D1255" s="1"/>
      <c r="E1255" s="1"/>
      <c r="F1255" s="1"/>
      <c r="G1255" s="1"/>
      <c r="H1255" s="1"/>
      <c r="I1255" s="1"/>
      <c r="J1255" s="1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</row>
    <row r="1256" spans="2:73" s="38" customFormat="1">
      <c r="B1256" s="1"/>
      <c r="C1256" s="1"/>
      <c r="D1256" s="1"/>
      <c r="E1256" s="1"/>
      <c r="F1256" s="1"/>
      <c r="G1256" s="1"/>
      <c r="H1256" s="1"/>
      <c r="I1256" s="1"/>
      <c r="J1256" s="1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</row>
    <row r="1257" spans="2:73" s="38" customFormat="1">
      <c r="B1257" s="1"/>
      <c r="C1257" s="1"/>
      <c r="D1257" s="1"/>
      <c r="E1257" s="1"/>
      <c r="F1257" s="1"/>
      <c r="G1257" s="1"/>
      <c r="H1257" s="1"/>
      <c r="I1257" s="1"/>
      <c r="J1257" s="1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</row>
    <row r="1258" spans="2:73" s="38" customFormat="1">
      <c r="B1258" s="1"/>
      <c r="C1258" s="1"/>
      <c r="D1258" s="1"/>
      <c r="E1258" s="1"/>
      <c r="F1258" s="1"/>
      <c r="G1258" s="1"/>
      <c r="H1258" s="1"/>
      <c r="I1258" s="1"/>
      <c r="J1258" s="1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</row>
    <row r="1259" spans="2:73" s="38" customFormat="1">
      <c r="B1259" s="1"/>
      <c r="C1259" s="1"/>
      <c r="D1259" s="1"/>
      <c r="E1259" s="1"/>
      <c r="F1259" s="1"/>
      <c r="G1259" s="1"/>
      <c r="H1259" s="1"/>
      <c r="I1259" s="1"/>
      <c r="J1259" s="1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</row>
    <row r="1260" spans="2:73" s="38" customFormat="1">
      <c r="B1260" s="1"/>
      <c r="C1260" s="1"/>
      <c r="D1260" s="1"/>
      <c r="E1260" s="1"/>
      <c r="F1260" s="1"/>
      <c r="G1260" s="1"/>
      <c r="H1260" s="1"/>
      <c r="I1260" s="1"/>
      <c r="J1260" s="1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</row>
    <row r="1261" spans="2:73" s="38" customFormat="1">
      <c r="B1261" s="1"/>
      <c r="C1261" s="1"/>
      <c r="D1261" s="1"/>
      <c r="E1261" s="1"/>
      <c r="F1261" s="1"/>
      <c r="G1261" s="1"/>
      <c r="H1261" s="1"/>
      <c r="I1261" s="1"/>
      <c r="J1261" s="1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</row>
    <row r="1262" spans="2:73" s="38" customFormat="1">
      <c r="B1262" s="1"/>
      <c r="C1262" s="1"/>
      <c r="D1262" s="1"/>
      <c r="E1262" s="1"/>
      <c r="F1262" s="1"/>
      <c r="G1262" s="1"/>
      <c r="H1262" s="1"/>
      <c r="I1262" s="1"/>
      <c r="J1262" s="1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</row>
    <row r="1263" spans="2:73" s="38" customFormat="1">
      <c r="B1263" s="1"/>
      <c r="C1263" s="1"/>
      <c r="D1263" s="1"/>
      <c r="E1263" s="1"/>
      <c r="F1263" s="1"/>
      <c r="G1263" s="1"/>
      <c r="H1263" s="1"/>
      <c r="I1263" s="1"/>
      <c r="J1263" s="1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</row>
    <row r="1264" spans="2:73" s="38" customFormat="1">
      <c r="B1264" s="1"/>
      <c r="C1264" s="1"/>
      <c r="D1264" s="1"/>
      <c r="E1264" s="1"/>
      <c r="F1264" s="1"/>
      <c r="G1264" s="1"/>
      <c r="H1264" s="1"/>
      <c r="I1264" s="1"/>
      <c r="J1264" s="1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</row>
    <row r="1265" spans="2:73" s="38" customFormat="1">
      <c r="B1265" s="1"/>
      <c r="C1265" s="1"/>
      <c r="D1265" s="1"/>
      <c r="E1265" s="1"/>
      <c r="F1265" s="1"/>
      <c r="G1265" s="1"/>
      <c r="H1265" s="1"/>
      <c r="I1265" s="1"/>
      <c r="J1265" s="1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</row>
    <row r="1266" spans="2:73" s="38" customFormat="1">
      <c r="B1266" s="1"/>
      <c r="C1266" s="1"/>
      <c r="D1266" s="1"/>
      <c r="E1266" s="1"/>
      <c r="F1266" s="1"/>
      <c r="G1266" s="1"/>
      <c r="H1266" s="1"/>
      <c r="I1266" s="1"/>
      <c r="J1266" s="1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</row>
    <row r="1267" spans="2:73" s="38" customFormat="1">
      <c r="B1267" s="1"/>
      <c r="C1267" s="1"/>
      <c r="D1267" s="1"/>
      <c r="E1267" s="1"/>
      <c r="F1267" s="1"/>
      <c r="G1267" s="1"/>
      <c r="H1267" s="1"/>
      <c r="I1267" s="1"/>
      <c r="J1267" s="1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</row>
    <row r="1268" spans="2:73" s="38" customFormat="1">
      <c r="B1268" s="1"/>
      <c r="C1268" s="1"/>
      <c r="D1268" s="1"/>
      <c r="E1268" s="1"/>
      <c r="F1268" s="1"/>
      <c r="G1268" s="1"/>
      <c r="H1268" s="1"/>
      <c r="I1268" s="1"/>
      <c r="J1268" s="1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</row>
    <row r="1269" spans="2:73" s="38" customFormat="1">
      <c r="B1269" s="1"/>
      <c r="C1269" s="1"/>
      <c r="D1269" s="1"/>
      <c r="E1269" s="1"/>
      <c r="F1269" s="1"/>
      <c r="G1269" s="1"/>
      <c r="H1269" s="1"/>
      <c r="I1269" s="1"/>
      <c r="J1269" s="1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</row>
    <row r="1270" spans="2:73" s="38" customFormat="1">
      <c r="B1270" s="1"/>
      <c r="C1270" s="1"/>
      <c r="D1270" s="1"/>
      <c r="E1270" s="1"/>
      <c r="F1270" s="1"/>
      <c r="G1270" s="1"/>
      <c r="H1270" s="1"/>
      <c r="I1270" s="1"/>
      <c r="J1270" s="1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</row>
    <row r="1271" spans="2:73" s="38" customFormat="1">
      <c r="B1271" s="1"/>
      <c r="C1271" s="1"/>
      <c r="D1271" s="1"/>
      <c r="E1271" s="1"/>
      <c r="F1271" s="1"/>
      <c r="G1271" s="1"/>
      <c r="H1271" s="1"/>
      <c r="I1271" s="1"/>
      <c r="J1271" s="1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</row>
    <row r="1272" spans="2:73" s="38" customFormat="1">
      <c r="B1272" s="1"/>
      <c r="C1272" s="1"/>
      <c r="D1272" s="1"/>
      <c r="E1272" s="1"/>
      <c r="F1272" s="1"/>
      <c r="G1272" s="1"/>
      <c r="H1272" s="1"/>
      <c r="I1272" s="1"/>
      <c r="J1272" s="1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</row>
    <row r="1273" spans="2:73" s="38" customFormat="1">
      <c r="B1273" s="1"/>
      <c r="C1273" s="1"/>
      <c r="D1273" s="1"/>
      <c r="E1273" s="1"/>
      <c r="F1273" s="1"/>
      <c r="G1273" s="1"/>
      <c r="H1273" s="1"/>
      <c r="I1273" s="1"/>
      <c r="J1273" s="1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</row>
    <row r="1274" spans="2:73" s="38" customFormat="1">
      <c r="B1274" s="1"/>
      <c r="C1274" s="1"/>
      <c r="D1274" s="1"/>
      <c r="E1274" s="1"/>
      <c r="F1274" s="1"/>
      <c r="G1274" s="1"/>
      <c r="H1274" s="1"/>
      <c r="I1274" s="1"/>
      <c r="J1274" s="1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</row>
    <row r="1275" spans="2:73" s="38" customFormat="1">
      <c r="B1275" s="1"/>
      <c r="C1275" s="1"/>
      <c r="D1275" s="1"/>
      <c r="E1275" s="1"/>
      <c r="F1275" s="1"/>
      <c r="G1275" s="1"/>
      <c r="H1275" s="1"/>
      <c r="I1275" s="1"/>
      <c r="J1275" s="1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</row>
    <row r="1276" spans="2:73" s="38" customFormat="1">
      <c r="B1276" s="1"/>
      <c r="C1276" s="1"/>
      <c r="D1276" s="1"/>
      <c r="E1276" s="1"/>
      <c r="F1276" s="1"/>
      <c r="G1276" s="1"/>
      <c r="H1276" s="1"/>
      <c r="I1276" s="1"/>
      <c r="J1276" s="1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</row>
    <row r="1277" spans="2:73" s="38" customFormat="1">
      <c r="B1277" s="1"/>
      <c r="C1277" s="1"/>
      <c r="D1277" s="1"/>
      <c r="E1277" s="1"/>
      <c r="F1277" s="1"/>
      <c r="G1277" s="1"/>
      <c r="H1277" s="1"/>
      <c r="I1277" s="1"/>
      <c r="J1277" s="1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</row>
    <row r="1278" spans="2:73" s="38" customFormat="1">
      <c r="B1278" s="1"/>
      <c r="C1278" s="1"/>
      <c r="D1278" s="1"/>
      <c r="E1278" s="1"/>
      <c r="F1278" s="1"/>
      <c r="G1278" s="1"/>
      <c r="H1278" s="1"/>
      <c r="I1278" s="1"/>
      <c r="J1278" s="1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</row>
    <row r="1279" spans="2:73" s="38" customFormat="1">
      <c r="B1279" s="1"/>
      <c r="C1279" s="1"/>
      <c r="D1279" s="1"/>
      <c r="E1279" s="1"/>
      <c r="F1279" s="1"/>
      <c r="G1279" s="1"/>
      <c r="H1279" s="1"/>
      <c r="I1279" s="1"/>
      <c r="J1279" s="1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</row>
    <row r="1280" spans="2:73" s="38" customFormat="1">
      <c r="B1280" s="1"/>
      <c r="C1280" s="1"/>
      <c r="D1280" s="1"/>
      <c r="E1280" s="1"/>
      <c r="F1280" s="1"/>
      <c r="G1280" s="1"/>
      <c r="H1280" s="1"/>
      <c r="I1280" s="1"/>
      <c r="J1280" s="1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</row>
    <row r="1281" spans="2:73" s="38" customFormat="1">
      <c r="B1281" s="1"/>
      <c r="C1281" s="1"/>
      <c r="D1281" s="1"/>
      <c r="E1281" s="1"/>
      <c r="F1281" s="1"/>
      <c r="G1281" s="1"/>
      <c r="H1281" s="1"/>
      <c r="I1281" s="1"/>
      <c r="J1281" s="1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</row>
    <row r="1282" spans="2:73" s="38" customFormat="1">
      <c r="B1282" s="1"/>
      <c r="C1282" s="1"/>
      <c r="D1282" s="1"/>
      <c r="E1282" s="1"/>
      <c r="F1282" s="1"/>
      <c r="G1282" s="1"/>
      <c r="H1282" s="1"/>
      <c r="I1282" s="1"/>
      <c r="J1282" s="1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</row>
    <row r="1283" spans="2:73" s="38" customFormat="1">
      <c r="B1283" s="1"/>
      <c r="C1283" s="1"/>
      <c r="D1283" s="1"/>
      <c r="E1283" s="1"/>
      <c r="F1283" s="1"/>
      <c r="G1283" s="1"/>
      <c r="H1283" s="1"/>
      <c r="I1283" s="1"/>
      <c r="J1283" s="1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</row>
    <row r="1284" spans="2:73" s="38" customFormat="1">
      <c r="B1284" s="1"/>
      <c r="C1284" s="1"/>
      <c r="D1284" s="1"/>
      <c r="E1284" s="1"/>
      <c r="F1284" s="1"/>
      <c r="G1284" s="1"/>
      <c r="H1284" s="1"/>
      <c r="I1284" s="1"/>
      <c r="J1284" s="1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</row>
    <row r="1285" spans="2:73" s="38" customFormat="1">
      <c r="B1285" s="1"/>
      <c r="C1285" s="1"/>
      <c r="D1285" s="1"/>
      <c r="E1285" s="1"/>
      <c r="F1285" s="1"/>
      <c r="G1285" s="1"/>
      <c r="H1285" s="1"/>
      <c r="I1285" s="1"/>
      <c r="J1285" s="1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</row>
    <row r="1286" spans="2:73" s="38" customFormat="1">
      <c r="B1286" s="1"/>
      <c r="C1286" s="1"/>
      <c r="D1286" s="1"/>
      <c r="E1286" s="1"/>
      <c r="F1286" s="1"/>
      <c r="G1286" s="1"/>
      <c r="H1286" s="1"/>
      <c r="I1286" s="1"/>
      <c r="J1286" s="1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</row>
    <row r="1287" spans="2:73" s="38" customFormat="1">
      <c r="B1287" s="1"/>
      <c r="C1287" s="1"/>
      <c r="D1287" s="1"/>
      <c r="E1287" s="1"/>
      <c r="F1287" s="1"/>
      <c r="G1287" s="1"/>
      <c r="H1287" s="1"/>
      <c r="I1287" s="1"/>
      <c r="J1287" s="1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</row>
    <row r="1288" spans="2:73" s="38" customFormat="1">
      <c r="B1288" s="1"/>
      <c r="C1288" s="1"/>
      <c r="D1288" s="1"/>
      <c r="E1288" s="1"/>
      <c r="F1288" s="1"/>
      <c r="G1288" s="1"/>
      <c r="H1288" s="1"/>
      <c r="I1288" s="1"/>
      <c r="J1288" s="1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</row>
    <row r="1289" spans="2:73" s="38" customFormat="1">
      <c r="B1289" s="1"/>
      <c r="C1289" s="1"/>
      <c r="D1289" s="1"/>
      <c r="E1289" s="1"/>
      <c r="F1289" s="1"/>
      <c r="G1289" s="1"/>
      <c r="H1289" s="1"/>
      <c r="I1289" s="1"/>
      <c r="J1289" s="1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</row>
    <row r="1290" spans="2:73" s="38" customFormat="1">
      <c r="B1290" s="1"/>
      <c r="C1290" s="1"/>
      <c r="D1290" s="1"/>
      <c r="E1290" s="1"/>
      <c r="F1290" s="1"/>
      <c r="G1290" s="1"/>
      <c r="H1290" s="1"/>
      <c r="I1290" s="1"/>
      <c r="J1290" s="1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</row>
    <row r="1291" spans="2:73" s="38" customFormat="1">
      <c r="B1291" s="1"/>
      <c r="C1291" s="1"/>
      <c r="D1291" s="1"/>
      <c r="E1291" s="1"/>
      <c r="F1291" s="1"/>
      <c r="G1291" s="1"/>
      <c r="H1291" s="1"/>
      <c r="I1291" s="1"/>
      <c r="J1291" s="1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</row>
    <row r="1292" spans="2:73" s="38" customFormat="1">
      <c r="B1292" s="1"/>
      <c r="C1292" s="1"/>
      <c r="D1292" s="1"/>
      <c r="E1292" s="1"/>
      <c r="F1292" s="1"/>
      <c r="G1292" s="1"/>
      <c r="H1292" s="1"/>
      <c r="I1292" s="1"/>
      <c r="J1292" s="1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</row>
    <row r="1293" spans="2:73" s="38" customFormat="1">
      <c r="B1293" s="1"/>
      <c r="C1293" s="1"/>
      <c r="D1293" s="1"/>
      <c r="E1293" s="1"/>
      <c r="F1293" s="1"/>
      <c r="G1293" s="1"/>
      <c r="H1293" s="1"/>
      <c r="I1293" s="1"/>
      <c r="J1293" s="1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</row>
    <row r="1294" spans="2:73" s="38" customFormat="1">
      <c r="B1294" s="1"/>
      <c r="C1294" s="1"/>
      <c r="D1294" s="1"/>
      <c r="E1294" s="1"/>
      <c r="F1294" s="1"/>
      <c r="G1294" s="1"/>
      <c r="H1294" s="1"/>
      <c r="I1294" s="1"/>
      <c r="J1294" s="1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</row>
    <row r="1295" spans="2:73" s="38" customFormat="1">
      <c r="B1295" s="1"/>
      <c r="C1295" s="1"/>
      <c r="D1295" s="1"/>
      <c r="E1295" s="1"/>
      <c r="F1295" s="1"/>
      <c r="G1295" s="1"/>
      <c r="H1295" s="1"/>
      <c r="I1295" s="1"/>
      <c r="J1295" s="1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</row>
    <row r="1296" spans="2:73" s="38" customFormat="1">
      <c r="B1296" s="1"/>
      <c r="C1296" s="1"/>
      <c r="D1296" s="1"/>
      <c r="E1296" s="1"/>
      <c r="F1296" s="1"/>
      <c r="G1296" s="1"/>
      <c r="H1296" s="1"/>
      <c r="I1296" s="1"/>
      <c r="J1296" s="1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</row>
    <row r="1297" spans="2:73" s="38" customFormat="1">
      <c r="B1297" s="1"/>
      <c r="C1297" s="1"/>
      <c r="D1297" s="1"/>
      <c r="E1297" s="1"/>
      <c r="F1297" s="1"/>
      <c r="G1297" s="1"/>
      <c r="H1297" s="1"/>
      <c r="I1297" s="1"/>
      <c r="J1297" s="1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</row>
    <row r="1298" spans="2:73" s="38" customFormat="1">
      <c r="B1298" s="1"/>
      <c r="C1298" s="1"/>
      <c r="D1298" s="1"/>
      <c r="E1298" s="1"/>
      <c r="F1298" s="1"/>
      <c r="G1298" s="1"/>
      <c r="H1298" s="1"/>
      <c r="I1298" s="1"/>
      <c r="J1298" s="1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</row>
    <row r="1299" spans="2:73" s="38" customFormat="1">
      <c r="B1299" s="1"/>
      <c r="C1299" s="1"/>
      <c r="D1299" s="1"/>
      <c r="E1299" s="1"/>
      <c r="F1299" s="1"/>
      <c r="G1299" s="1"/>
      <c r="H1299" s="1"/>
      <c r="I1299" s="1"/>
      <c r="J1299" s="1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</row>
    <row r="1300" spans="2:73" s="38" customFormat="1">
      <c r="B1300" s="1"/>
      <c r="C1300" s="1"/>
      <c r="D1300" s="1"/>
      <c r="E1300" s="1"/>
      <c r="F1300" s="1"/>
      <c r="G1300" s="1"/>
      <c r="H1300" s="1"/>
      <c r="I1300" s="1"/>
      <c r="J1300" s="1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</row>
    <row r="1301" spans="2:73" s="38" customFormat="1">
      <c r="B1301" s="1"/>
      <c r="C1301" s="1"/>
      <c r="D1301" s="1"/>
      <c r="E1301" s="1"/>
      <c r="F1301" s="1"/>
      <c r="G1301" s="1"/>
      <c r="H1301" s="1"/>
      <c r="I1301" s="1"/>
      <c r="J1301" s="1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</row>
    <row r="1302" spans="2:73" s="38" customFormat="1">
      <c r="B1302" s="1"/>
      <c r="C1302" s="1"/>
      <c r="D1302" s="1"/>
      <c r="E1302" s="1"/>
      <c r="F1302" s="1"/>
      <c r="G1302" s="1"/>
      <c r="H1302" s="1"/>
      <c r="I1302" s="1"/>
      <c r="J1302" s="1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</row>
    <row r="1303" spans="2:73" s="38" customFormat="1">
      <c r="B1303" s="1"/>
      <c r="C1303" s="1"/>
      <c r="D1303" s="1"/>
      <c r="E1303" s="1"/>
      <c r="F1303" s="1"/>
      <c r="G1303" s="1"/>
      <c r="H1303" s="1"/>
      <c r="I1303" s="1"/>
      <c r="J1303" s="1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</row>
    <row r="1304" spans="2:73" s="38" customFormat="1">
      <c r="B1304" s="1"/>
      <c r="C1304" s="1"/>
      <c r="D1304" s="1"/>
      <c r="E1304" s="1"/>
      <c r="F1304" s="1"/>
      <c r="G1304" s="1"/>
      <c r="H1304" s="1"/>
      <c r="I1304" s="1"/>
      <c r="J1304" s="1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</row>
    <row r="1305" spans="2:73" s="38" customFormat="1">
      <c r="B1305" s="1"/>
      <c r="C1305" s="1"/>
      <c r="D1305" s="1"/>
      <c r="E1305" s="1"/>
      <c r="F1305" s="1"/>
      <c r="G1305" s="1"/>
      <c r="H1305" s="1"/>
      <c r="I1305" s="1"/>
      <c r="J1305" s="1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</row>
    <row r="1306" spans="2:73" s="38" customFormat="1">
      <c r="B1306" s="1"/>
      <c r="C1306" s="1"/>
      <c r="D1306" s="1"/>
      <c r="E1306" s="1"/>
      <c r="F1306" s="1"/>
      <c r="G1306" s="1"/>
      <c r="H1306" s="1"/>
      <c r="I1306" s="1"/>
      <c r="J1306" s="1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</row>
    <row r="1307" spans="2:73" s="38" customFormat="1">
      <c r="B1307" s="1"/>
      <c r="C1307" s="1"/>
      <c r="D1307" s="1"/>
      <c r="E1307" s="1"/>
      <c r="F1307" s="1"/>
      <c r="G1307" s="1"/>
      <c r="H1307" s="1"/>
      <c r="I1307" s="1"/>
      <c r="J1307" s="1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</row>
    <row r="1308" spans="2:73" s="38" customFormat="1">
      <c r="B1308" s="1"/>
      <c r="C1308" s="1"/>
      <c r="D1308" s="1"/>
      <c r="E1308" s="1"/>
      <c r="F1308" s="1"/>
      <c r="G1308" s="1"/>
      <c r="H1308" s="1"/>
      <c r="I1308" s="1"/>
      <c r="J1308" s="1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</row>
    <row r="1309" spans="2:73" s="38" customFormat="1">
      <c r="B1309" s="1"/>
      <c r="C1309" s="1"/>
      <c r="D1309" s="1"/>
      <c r="E1309" s="1"/>
      <c r="F1309" s="1"/>
      <c r="G1309" s="1"/>
      <c r="H1309" s="1"/>
      <c r="I1309" s="1"/>
      <c r="J1309" s="1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</row>
    <row r="1310" spans="2:73" s="38" customFormat="1">
      <c r="B1310" s="1"/>
      <c r="C1310" s="1"/>
      <c r="D1310" s="1"/>
      <c r="E1310" s="1"/>
      <c r="F1310" s="1"/>
      <c r="G1310" s="1"/>
      <c r="H1310" s="1"/>
      <c r="I1310" s="1"/>
      <c r="J1310" s="1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</row>
    <row r="1311" spans="2:73" s="38" customFormat="1">
      <c r="B1311" s="1"/>
      <c r="C1311" s="1"/>
      <c r="D1311" s="1"/>
      <c r="E1311" s="1"/>
      <c r="F1311" s="1"/>
      <c r="G1311" s="1"/>
      <c r="H1311" s="1"/>
      <c r="I1311" s="1"/>
      <c r="J1311" s="1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</row>
    <row r="1312" spans="2:73" s="38" customFormat="1">
      <c r="B1312" s="1"/>
      <c r="C1312" s="1"/>
      <c r="D1312" s="1"/>
      <c r="E1312" s="1"/>
      <c r="F1312" s="1"/>
      <c r="G1312" s="1"/>
      <c r="H1312" s="1"/>
      <c r="I1312" s="1"/>
      <c r="J1312" s="1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</row>
    <row r="1313" spans="2:73" s="38" customFormat="1">
      <c r="B1313" s="1"/>
      <c r="C1313" s="1"/>
      <c r="D1313" s="1"/>
      <c r="E1313" s="1"/>
      <c r="F1313" s="1"/>
      <c r="G1313" s="1"/>
      <c r="H1313" s="1"/>
      <c r="I1313" s="1"/>
      <c r="J1313" s="1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</row>
    <row r="1314" spans="2:73" s="38" customFormat="1">
      <c r="B1314" s="1"/>
      <c r="C1314" s="1"/>
      <c r="D1314" s="1"/>
      <c r="E1314" s="1"/>
      <c r="F1314" s="1"/>
      <c r="G1314" s="1"/>
      <c r="H1314" s="1"/>
      <c r="I1314" s="1"/>
      <c r="J1314" s="1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</row>
    <row r="1315" spans="2:73" s="38" customFormat="1">
      <c r="B1315" s="1"/>
      <c r="C1315" s="1"/>
      <c r="D1315" s="1"/>
      <c r="E1315" s="1"/>
      <c r="F1315" s="1"/>
      <c r="G1315" s="1"/>
      <c r="H1315" s="1"/>
      <c r="I1315" s="1"/>
      <c r="J1315" s="1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</row>
    <row r="1316" spans="2:73" s="38" customFormat="1">
      <c r="B1316" s="1"/>
      <c r="C1316" s="1"/>
      <c r="D1316" s="1"/>
      <c r="E1316" s="1"/>
      <c r="F1316" s="1"/>
      <c r="G1316" s="1"/>
      <c r="H1316" s="1"/>
      <c r="I1316" s="1"/>
      <c r="J1316" s="1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</row>
    <row r="1317" spans="2:73" s="38" customFormat="1">
      <c r="B1317" s="1"/>
      <c r="C1317" s="1"/>
      <c r="D1317" s="1"/>
      <c r="E1317" s="1"/>
      <c r="F1317" s="1"/>
      <c r="G1317" s="1"/>
      <c r="H1317" s="1"/>
      <c r="I1317" s="1"/>
      <c r="J1317" s="1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</row>
    <row r="1318" spans="2:73" s="38" customFormat="1">
      <c r="B1318" s="1"/>
      <c r="C1318" s="1"/>
      <c r="D1318" s="1"/>
      <c r="E1318" s="1"/>
      <c r="F1318" s="1"/>
      <c r="G1318" s="1"/>
      <c r="H1318" s="1"/>
      <c r="I1318" s="1"/>
      <c r="J1318" s="1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</row>
    <row r="1319" spans="2:73" s="38" customFormat="1">
      <c r="B1319" s="1"/>
      <c r="C1319" s="1"/>
      <c r="D1319" s="1"/>
      <c r="E1319" s="1"/>
      <c r="F1319" s="1"/>
      <c r="G1319" s="1"/>
      <c r="H1319" s="1"/>
      <c r="I1319" s="1"/>
      <c r="J1319" s="1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</row>
    <row r="1320" spans="2:73" s="38" customFormat="1">
      <c r="B1320" s="1"/>
      <c r="C1320" s="1"/>
      <c r="D1320" s="1"/>
      <c r="E1320" s="1"/>
      <c r="F1320" s="1"/>
      <c r="G1320" s="1"/>
      <c r="H1320" s="1"/>
      <c r="I1320" s="1"/>
      <c r="J1320" s="1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</row>
    <row r="1321" spans="2:73" s="38" customFormat="1">
      <c r="B1321" s="1"/>
      <c r="C1321" s="1"/>
      <c r="D1321" s="1"/>
      <c r="E1321" s="1"/>
      <c r="F1321" s="1"/>
      <c r="G1321" s="1"/>
      <c r="H1321" s="1"/>
      <c r="I1321" s="1"/>
      <c r="J1321" s="1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</row>
    <row r="1322" spans="2:73" s="38" customFormat="1">
      <c r="B1322" s="1"/>
      <c r="C1322" s="1"/>
      <c r="D1322" s="1"/>
      <c r="E1322" s="1"/>
      <c r="F1322" s="1"/>
      <c r="G1322" s="1"/>
      <c r="H1322" s="1"/>
      <c r="I1322" s="1"/>
      <c r="J1322" s="1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</row>
    <row r="1323" spans="2:73" s="38" customFormat="1">
      <c r="B1323" s="1"/>
      <c r="C1323" s="1"/>
      <c r="D1323" s="1"/>
      <c r="E1323" s="1"/>
      <c r="F1323" s="1"/>
      <c r="G1323" s="1"/>
      <c r="H1323" s="1"/>
      <c r="I1323" s="1"/>
      <c r="J1323" s="1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</row>
    <row r="1324" spans="2:73" s="38" customFormat="1">
      <c r="B1324" s="1"/>
      <c r="C1324" s="1"/>
      <c r="D1324" s="1"/>
      <c r="E1324" s="1"/>
      <c r="F1324" s="1"/>
      <c r="G1324" s="1"/>
      <c r="H1324" s="1"/>
      <c r="I1324" s="1"/>
      <c r="J1324" s="1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</row>
    <row r="1325" spans="2:73" s="38" customFormat="1">
      <c r="B1325" s="1"/>
      <c r="C1325" s="1"/>
      <c r="D1325" s="1"/>
      <c r="E1325" s="1"/>
      <c r="F1325" s="1"/>
      <c r="G1325" s="1"/>
      <c r="H1325" s="1"/>
      <c r="I1325" s="1"/>
      <c r="J1325" s="1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</row>
    <row r="1326" spans="2:73" s="38" customFormat="1">
      <c r="B1326" s="1"/>
      <c r="C1326" s="1"/>
      <c r="D1326" s="1"/>
      <c r="E1326" s="1"/>
      <c r="F1326" s="1"/>
      <c r="G1326" s="1"/>
      <c r="H1326" s="1"/>
      <c r="I1326" s="1"/>
      <c r="J1326" s="1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</row>
    <row r="1327" spans="2:73" s="38" customFormat="1">
      <c r="B1327" s="1"/>
      <c r="C1327" s="1"/>
      <c r="D1327" s="1"/>
      <c r="E1327" s="1"/>
      <c r="F1327" s="1"/>
      <c r="G1327" s="1"/>
      <c r="H1327" s="1"/>
      <c r="I1327" s="1"/>
      <c r="J1327" s="1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</row>
    <row r="1328" spans="2:73" s="38" customFormat="1">
      <c r="B1328" s="1"/>
      <c r="C1328" s="1"/>
      <c r="D1328" s="1"/>
      <c r="E1328" s="1"/>
      <c r="F1328" s="1"/>
      <c r="G1328" s="1"/>
      <c r="H1328" s="1"/>
      <c r="I1328" s="1"/>
      <c r="J1328" s="1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</row>
    <row r="1329" spans="2:73" s="38" customFormat="1">
      <c r="B1329" s="1"/>
      <c r="C1329" s="1"/>
      <c r="D1329" s="1"/>
      <c r="E1329" s="1"/>
      <c r="F1329" s="1"/>
      <c r="G1329" s="1"/>
      <c r="H1329" s="1"/>
      <c r="I1329" s="1"/>
      <c r="J1329" s="1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</row>
    <row r="1330" spans="2:73" s="38" customFormat="1">
      <c r="B1330" s="1"/>
      <c r="C1330" s="1"/>
      <c r="D1330" s="1"/>
      <c r="E1330" s="1"/>
      <c r="F1330" s="1"/>
      <c r="G1330" s="1"/>
      <c r="H1330" s="1"/>
      <c r="I1330" s="1"/>
      <c r="J1330" s="1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</row>
    <row r="1331" spans="2:73" s="38" customFormat="1">
      <c r="B1331" s="1"/>
      <c r="C1331" s="1"/>
      <c r="D1331" s="1"/>
      <c r="E1331" s="1"/>
      <c r="F1331" s="1"/>
      <c r="G1331" s="1"/>
      <c r="H1331" s="1"/>
      <c r="I1331" s="1"/>
      <c r="J1331" s="1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</row>
    <row r="1332" spans="2:73" s="38" customFormat="1">
      <c r="B1332" s="1"/>
      <c r="C1332" s="1"/>
      <c r="D1332" s="1"/>
      <c r="E1332" s="1"/>
      <c r="F1332" s="1"/>
      <c r="G1332" s="1"/>
      <c r="H1332" s="1"/>
      <c r="I1332" s="1"/>
      <c r="J1332" s="1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</row>
    <row r="1333" spans="2:73" s="38" customFormat="1">
      <c r="B1333" s="1"/>
      <c r="C1333" s="1"/>
      <c r="D1333" s="1"/>
      <c r="E1333" s="1"/>
      <c r="F1333" s="1"/>
      <c r="G1333" s="1"/>
      <c r="H1333" s="1"/>
      <c r="I1333" s="1"/>
      <c r="J1333" s="1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</row>
    <row r="1334" spans="2:73" s="38" customFormat="1">
      <c r="B1334" s="1"/>
      <c r="C1334" s="1"/>
      <c r="D1334" s="1"/>
      <c r="E1334" s="1"/>
      <c r="F1334" s="1"/>
      <c r="G1334" s="1"/>
      <c r="H1334" s="1"/>
      <c r="I1334" s="1"/>
      <c r="J1334" s="1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</row>
    <row r="1335" spans="2:73" s="38" customFormat="1">
      <c r="B1335" s="1"/>
      <c r="C1335" s="1"/>
      <c r="D1335" s="1"/>
      <c r="E1335" s="1"/>
      <c r="F1335" s="1"/>
      <c r="G1335" s="1"/>
      <c r="H1335" s="1"/>
      <c r="I1335" s="1"/>
      <c r="J1335" s="1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</row>
    <row r="1336" spans="2:73" s="38" customFormat="1">
      <c r="B1336" s="1"/>
      <c r="C1336" s="1"/>
      <c r="D1336" s="1"/>
      <c r="E1336" s="1"/>
      <c r="F1336" s="1"/>
      <c r="G1336" s="1"/>
      <c r="H1336" s="1"/>
      <c r="I1336" s="1"/>
      <c r="J1336" s="1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</row>
    <row r="1337" spans="2:73" s="38" customFormat="1">
      <c r="B1337" s="1"/>
      <c r="C1337" s="1"/>
      <c r="D1337" s="1"/>
      <c r="E1337" s="1"/>
      <c r="F1337" s="1"/>
      <c r="G1337" s="1"/>
      <c r="H1337" s="1"/>
      <c r="I1337" s="1"/>
      <c r="J1337" s="1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</row>
    <row r="1338" spans="2:73" s="38" customFormat="1">
      <c r="B1338" s="1"/>
      <c r="C1338" s="1"/>
      <c r="D1338" s="1"/>
      <c r="E1338" s="1"/>
      <c r="F1338" s="1"/>
      <c r="G1338" s="1"/>
      <c r="H1338" s="1"/>
      <c r="I1338" s="1"/>
      <c r="J1338" s="1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</row>
    <row r="1339" spans="2:73" s="38" customFormat="1">
      <c r="B1339" s="1"/>
      <c r="C1339" s="1"/>
      <c r="D1339" s="1"/>
      <c r="E1339" s="1"/>
      <c r="F1339" s="1"/>
      <c r="G1339" s="1"/>
      <c r="H1339" s="1"/>
      <c r="I1339" s="1"/>
      <c r="J1339" s="1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</row>
    <row r="1340" spans="2:73" s="38" customFormat="1">
      <c r="B1340" s="1"/>
      <c r="C1340" s="1"/>
      <c r="D1340" s="1"/>
      <c r="E1340" s="1"/>
      <c r="F1340" s="1"/>
      <c r="G1340" s="1"/>
      <c r="H1340" s="1"/>
      <c r="I1340" s="1"/>
      <c r="J1340" s="1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</row>
    <row r="1341" spans="2:73" s="38" customFormat="1">
      <c r="B1341" s="1"/>
      <c r="C1341" s="1"/>
      <c r="D1341" s="1"/>
      <c r="E1341" s="1"/>
      <c r="F1341" s="1"/>
      <c r="G1341" s="1"/>
      <c r="H1341" s="1"/>
      <c r="I1341" s="1"/>
      <c r="J1341" s="1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</row>
    <row r="1342" spans="2:73" s="38" customFormat="1">
      <c r="B1342" s="1"/>
      <c r="C1342" s="1"/>
      <c r="D1342" s="1"/>
      <c r="E1342" s="1"/>
      <c r="F1342" s="1"/>
      <c r="G1342" s="1"/>
      <c r="H1342" s="1"/>
      <c r="I1342" s="1"/>
      <c r="J1342" s="1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</row>
    <row r="1343" spans="2:73" s="38" customFormat="1">
      <c r="B1343" s="1"/>
      <c r="C1343" s="1"/>
      <c r="D1343" s="1"/>
      <c r="E1343" s="1"/>
      <c r="F1343" s="1"/>
      <c r="G1343" s="1"/>
      <c r="H1343" s="1"/>
      <c r="I1343" s="1"/>
      <c r="J1343" s="1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</row>
    <row r="1344" spans="2:73" s="38" customFormat="1">
      <c r="B1344" s="1"/>
      <c r="C1344" s="1"/>
      <c r="D1344" s="1"/>
      <c r="E1344" s="1"/>
      <c r="F1344" s="1"/>
      <c r="G1344" s="1"/>
      <c r="H1344" s="1"/>
      <c r="I1344" s="1"/>
      <c r="J1344" s="1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</row>
    <row r="1345" spans="2:73" s="38" customFormat="1">
      <c r="B1345" s="1"/>
      <c r="C1345" s="1"/>
      <c r="D1345" s="1"/>
      <c r="E1345" s="1"/>
      <c r="F1345" s="1"/>
      <c r="G1345" s="1"/>
      <c r="H1345" s="1"/>
      <c r="I1345" s="1"/>
      <c r="J1345" s="1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</row>
    <row r="1346" spans="2:73" s="38" customFormat="1">
      <c r="B1346" s="1"/>
      <c r="C1346" s="1"/>
      <c r="D1346" s="1"/>
      <c r="E1346" s="1"/>
      <c r="F1346" s="1"/>
      <c r="G1346" s="1"/>
      <c r="H1346" s="1"/>
      <c r="I1346" s="1"/>
      <c r="J1346" s="1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</row>
    <row r="1347" spans="2:73" s="38" customFormat="1">
      <c r="B1347" s="1"/>
      <c r="C1347" s="1"/>
      <c r="D1347" s="1"/>
      <c r="E1347" s="1"/>
      <c r="F1347" s="1"/>
      <c r="G1347" s="1"/>
      <c r="H1347" s="1"/>
      <c r="I1347" s="1"/>
      <c r="J1347" s="1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</row>
    <row r="1348" spans="2:73" s="38" customFormat="1">
      <c r="B1348" s="1"/>
      <c r="C1348" s="1"/>
      <c r="D1348" s="1"/>
      <c r="E1348" s="1"/>
      <c r="F1348" s="1"/>
      <c r="G1348" s="1"/>
      <c r="H1348" s="1"/>
      <c r="I1348" s="1"/>
      <c r="J1348" s="1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</row>
    <row r="1349" spans="2:73" s="38" customFormat="1">
      <c r="B1349" s="1"/>
      <c r="C1349" s="1"/>
      <c r="D1349" s="1"/>
      <c r="E1349" s="1"/>
      <c r="F1349" s="1"/>
      <c r="G1349" s="1"/>
      <c r="H1349" s="1"/>
      <c r="I1349" s="1"/>
      <c r="J1349" s="1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</row>
    <row r="1350" spans="2:73" s="38" customFormat="1">
      <c r="B1350" s="1"/>
      <c r="C1350" s="1"/>
      <c r="D1350" s="1"/>
      <c r="E1350" s="1"/>
      <c r="F1350" s="1"/>
      <c r="G1350" s="1"/>
      <c r="H1350" s="1"/>
      <c r="I1350" s="1"/>
      <c r="J1350" s="1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</row>
    <row r="1351" spans="2:73" s="38" customFormat="1">
      <c r="B1351" s="1"/>
      <c r="C1351" s="1"/>
      <c r="D1351" s="1"/>
      <c r="E1351" s="1"/>
      <c r="F1351" s="1"/>
      <c r="G1351" s="1"/>
      <c r="H1351" s="1"/>
      <c r="I1351" s="1"/>
      <c r="J1351" s="1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</row>
    <row r="1352" spans="2:73" s="38" customFormat="1">
      <c r="B1352" s="1"/>
      <c r="C1352" s="1"/>
      <c r="D1352" s="1"/>
      <c r="E1352" s="1"/>
      <c r="F1352" s="1"/>
      <c r="G1352" s="1"/>
      <c r="H1352" s="1"/>
      <c r="I1352" s="1"/>
      <c r="J1352" s="1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</row>
    <row r="1353" spans="2:73" s="38" customFormat="1">
      <c r="B1353" s="1"/>
      <c r="C1353" s="1"/>
      <c r="D1353" s="1"/>
      <c r="E1353" s="1"/>
      <c r="F1353" s="1"/>
      <c r="G1353" s="1"/>
      <c r="H1353" s="1"/>
      <c r="I1353" s="1"/>
      <c r="J1353" s="1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</row>
    <row r="1354" spans="2:73" s="38" customFormat="1">
      <c r="B1354" s="1"/>
      <c r="C1354" s="1"/>
      <c r="D1354" s="1"/>
      <c r="E1354" s="1"/>
      <c r="F1354" s="1"/>
      <c r="G1354" s="1"/>
      <c r="H1354" s="1"/>
      <c r="I1354" s="1"/>
      <c r="J1354" s="1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</row>
    <row r="1355" spans="2:73" s="38" customFormat="1">
      <c r="B1355" s="1"/>
      <c r="C1355" s="1"/>
      <c r="D1355" s="1"/>
      <c r="E1355" s="1"/>
      <c r="F1355" s="1"/>
      <c r="G1355" s="1"/>
      <c r="H1355" s="1"/>
      <c r="I1355" s="1"/>
      <c r="J1355" s="1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</row>
    <row r="1356" spans="2:73" s="38" customFormat="1">
      <c r="B1356" s="1"/>
      <c r="C1356" s="1"/>
      <c r="D1356" s="1"/>
      <c r="E1356" s="1"/>
      <c r="F1356" s="1"/>
      <c r="G1356" s="1"/>
      <c r="H1356" s="1"/>
      <c r="I1356" s="1"/>
      <c r="J1356" s="1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</row>
    <row r="1357" spans="2:73" s="38" customFormat="1">
      <c r="B1357" s="1"/>
      <c r="C1357" s="1"/>
      <c r="D1357" s="1"/>
      <c r="E1357" s="1"/>
      <c r="F1357" s="1"/>
      <c r="G1357" s="1"/>
      <c r="H1357" s="1"/>
      <c r="I1357" s="1"/>
      <c r="J1357" s="1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</row>
    <row r="1358" spans="2:73" s="38" customFormat="1">
      <c r="B1358" s="1"/>
      <c r="C1358" s="1"/>
      <c r="D1358" s="1"/>
      <c r="E1358" s="1"/>
      <c r="F1358" s="1"/>
      <c r="G1358" s="1"/>
      <c r="H1358" s="1"/>
      <c r="I1358" s="1"/>
      <c r="J1358" s="1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</row>
    <row r="1359" spans="2:73" s="38" customFormat="1">
      <c r="B1359" s="1"/>
      <c r="C1359" s="1"/>
      <c r="D1359" s="1"/>
      <c r="E1359" s="1"/>
      <c r="F1359" s="1"/>
      <c r="G1359" s="1"/>
      <c r="H1359" s="1"/>
      <c r="I1359" s="1"/>
      <c r="J1359" s="1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</row>
    <row r="1360" spans="2:73" s="38" customFormat="1">
      <c r="B1360" s="1"/>
      <c r="C1360" s="1"/>
      <c r="D1360" s="1"/>
      <c r="E1360" s="1"/>
      <c r="F1360" s="1"/>
      <c r="G1360" s="1"/>
      <c r="H1360" s="1"/>
      <c r="I1360" s="1"/>
      <c r="J1360" s="1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</row>
    <row r="1361" spans="2:73" s="38" customFormat="1">
      <c r="B1361" s="1"/>
      <c r="C1361" s="1"/>
      <c r="D1361" s="1"/>
      <c r="E1361" s="1"/>
      <c r="F1361" s="1"/>
      <c r="G1361" s="1"/>
      <c r="H1361" s="1"/>
      <c r="I1361" s="1"/>
      <c r="J1361" s="1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</row>
    <row r="1362" spans="2:73" s="38" customFormat="1">
      <c r="B1362" s="1"/>
      <c r="C1362" s="1"/>
      <c r="D1362" s="1"/>
      <c r="E1362" s="1"/>
      <c r="F1362" s="1"/>
      <c r="G1362" s="1"/>
      <c r="H1362" s="1"/>
      <c r="I1362" s="1"/>
      <c r="J1362" s="1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</row>
    <row r="1363" spans="2:73" s="38" customFormat="1">
      <c r="B1363" s="1"/>
      <c r="C1363" s="1"/>
      <c r="D1363" s="1"/>
      <c r="E1363" s="1"/>
      <c r="F1363" s="1"/>
      <c r="G1363" s="1"/>
      <c r="H1363" s="1"/>
      <c r="I1363" s="1"/>
      <c r="J1363" s="1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</row>
    <row r="1364" spans="2:73" s="38" customFormat="1">
      <c r="B1364" s="1"/>
      <c r="C1364" s="1"/>
      <c r="D1364" s="1"/>
      <c r="E1364" s="1"/>
      <c r="F1364" s="1"/>
      <c r="G1364" s="1"/>
      <c r="H1364" s="1"/>
      <c r="I1364" s="1"/>
      <c r="J1364" s="1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</row>
    <row r="1365" spans="2:73" s="38" customFormat="1">
      <c r="B1365" s="1"/>
      <c r="C1365" s="1"/>
      <c r="D1365" s="1"/>
      <c r="E1365" s="1"/>
      <c r="F1365" s="1"/>
      <c r="G1365" s="1"/>
      <c r="H1365" s="1"/>
      <c r="I1365" s="1"/>
      <c r="J1365" s="1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</row>
    <row r="1366" spans="2:73" s="38" customFormat="1">
      <c r="B1366" s="1"/>
      <c r="C1366" s="1"/>
      <c r="D1366" s="1"/>
      <c r="E1366" s="1"/>
      <c r="F1366" s="1"/>
      <c r="G1366" s="1"/>
      <c r="H1366" s="1"/>
      <c r="I1366" s="1"/>
      <c r="J1366" s="1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</row>
    <row r="1367" spans="2:73" s="38" customFormat="1">
      <c r="B1367" s="1"/>
      <c r="C1367" s="1"/>
      <c r="D1367" s="1"/>
      <c r="E1367" s="1"/>
      <c r="F1367" s="1"/>
      <c r="G1367" s="1"/>
      <c r="H1367" s="1"/>
      <c r="I1367" s="1"/>
      <c r="J1367" s="1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</row>
    <row r="1368" spans="2:73" s="38" customFormat="1">
      <c r="B1368" s="1"/>
      <c r="C1368" s="1"/>
      <c r="D1368" s="1"/>
      <c r="E1368" s="1"/>
      <c r="F1368" s="1"/>
      <c r="G1368" s="1"/>
      <c r="H1368" s="1"/>
      <c r="I1368" s="1"/>
      <c r="J1368" s="1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</row>
    <row r="1369" spans="2:73" s="38" customFormat="1">
      <c r="B1369" s="1"/>
      <c r="C1369" s="1"/>
      <c r="D1369" s="1"/>
      <c r="E1369" s="1"/>
      <c r="F1369" s="1"/>
      <c r="G1369" s="1"/>
      <c r="H1369" s="1"/>
      <c r="I1369" s="1"/>
      <c r="J1369" s="1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</row>
    <row r="1370" spans="2:73" s="38" customFormat="1">
      <c r="B1370" s="1"/>
      <c r="C1370" s="1"/>
      <c r="D1370" s="1"/>
      <c r="E1370" s="1"/>
      <c r="F1370" s="1"/>
      <c r="G1370" s="1"/>
      <c r="H1370" s="1"/>
      <c r="I1370" s="1"/>
      <c r="J1370" s="1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</row>
    <row r="1371" spans="2:73" s="38" customFormat="1">
      <c r="B1371" s="1"/>
      <c r="C1371" s="1"/>
      <c r="D1371" s="1"/>
      <c r="E1371" s="1"/>
      <c r="F1371" s="1"/>
      <c r="G1371" s="1"/>
      <c r="H1371" s="1"/>
      <c r="I1371" s="1"/>
      <c r="J1371" s="1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</row>
    <row r="1372" spans="2:73" s="38" customFormat="1">
      <c r="B1372" s="1"/>
      <c r="C1372" s="1"/>
      <c r="D1372" s="1"/>
      <c r="E1372" s="1"/>
      <c r="F1372" s="1"/>
      <c r="G1372" s="1"/>
      <c r="H1372" s="1"/>
      <c r="I1372" s="1"/>
      <c r="J1372" s="1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</row>
    <row r="1373" spans="2:73" s="38" customFormat="1">
      <c r="B1373" s="1"/>
      <c r="C1373" s="1"/>
      <c r="D1373" s="1"/>
      <c r="E1373" s="1"/>
      <c r="F1373" s="1"/>
      <c r="G1373" s="1"/>
      <c r="H1373" s="1"/>
      <c r="I1373" s="1"/>
      <c r="J1373" s="1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</row>
    <row r="1374" spans="2:73" s="38" customFormat="1">
      <c r="B1374" s="1"/>
      <c r="C1374" s="1"/>
      <c r="D1374" s="1"/>
      <c r="E1374" s="1"/>
      <c r="F1374" s="1"/>
      <c r="G1374" s="1"/>
      <c r="H1374" s="1"/>
      <c r="I1374" s="1"/>
      <c r="J1374" s="1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</row>
    <row r="1375" spans="2:73" s="38" customFormat="1">
      <c r="B1375" s="1"/>
      <c r="C1375" s="1"/>
      <c r="D1375" s="1"/>
      <c r="E1375" s="1"/>
      <c r="F1375" s="1"/>
      <c r="G1375" s="1"/>
      <c r="H1375" s="1"/>
      <c r="I1375" s="1"/>
      <c r="J1375" s="1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</row>
    <row r="1376" spans="2:73" s="38" customFormat="1">
      <c r="B1376" s="1"/>
      <c r="C1376" s="1"/>
      <c r="D1376" s="1"/>
      <c r="E1376" s="1"/>
      <c r="F1376" s="1"/>
      <c r="G1376" s="1"/>
      <c r="H1376" s="1"/>
      <c r="I1376" s="1"/>
      <c r="J1376" s="1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</row>
    <row r="1377" spans="2:73" s="38" customFormat="1">
      <c r="B1377" s="1"/>
      <c r="C1377" s="1"/>
      <c r="D1377" s="1"/>
      <c r="E1377" s="1"/>
      <c r="F1377" s="1"/>
      <c r="G1377" s="1"/>
      <c r="H1377" s="1"/>
      <c r="I1377" s="1"/>
      <c r="J1377" s="1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</row>
    <row r="1378" spans="2:73" s="38" customFormat="1">
      <c r="B1378" s="1"/>
      <c r="C1378" s="1"/>
      <c r="D1378" s="1"/>
      <c r="E1378" s="1"/>
      <c r="F1378" s="1"/>
      <c r="G1378" s="1"/>
      <c r="H1378" s="1"/>
      <c r="I1378" s="1"/>
      <c r="J1378" s="1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</row>
    <row r="1379" spans="2:73" s="38" customFormat="1">
      <c r="B1379" s="1"/>
      <c r="C1379" s="1"/>
      <c r="D1379" s="1"/>
      <c r="E1379" s="1"/>
      <c r="F1379" s="1"/>
      <c r="G1379" s="1"/>
      <c r="H1379" s="1"/>
      <c r="I1379" s="1"/>
      <c r="J1379" s="1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</row>
    <row r="1380" spans="2:73" s="38" customFormat="1">
      <c r="B1380" s="1"/>
      <c r="C1380" s="1"/>
      <c r="D1380" s="1"/>
      <c r="E1380" s="1"/>
      <c r="F1380" s="1"/>
      <c r="G1380" s="1"/>
      <c r="H1380" s="1"/>
      <c r="I1380" s="1"/>
      <c r="J1380" s="1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</row>
    <row r="1381" spans="2:73" s="38" customFormat="1">
      <c r="B1381" s="1"/>
      <c r="C1381" s="1"/>
      <c r="D1381" s="1"/>
      <c r="E1381" s="1"/>
      <c r="F1381" s="1"/>
      <c r="G1381" s="1"/>
      <c r="H1381" s="1"/>
      <c r="I1381" s="1"/>
      <c r="J1381" s="1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</row>
    <row r="1382" spans="2:73" s="38" customFormat="1">
      <c r="B1382" s="1"/>
      <c r="C1382" s="1"/>
      <c r="D1382" s="1"/>
      <c r="E1382" s="1"/>
      <c r="F1382" s="1"/>
      <c r="G1382" s="1"/>
      <c r="H1382" s="1"/>
      <c r="I1382" s="1"/>
      <c r="J1382" s="1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</row>
    <row r="1383" spans="2:73" s="38" customFormat="1">
      <c r="B1383" s="1"/>
      <c r="C1383" s="1"/>
      <c r="D1383" s="1"/>
      <c r="E1383" s="1"/>
      <c r="F1383" s="1"/>
      <c r="G1383" s="1"/>
      <c r="H1383" s="1"/>
      <c r="I1383" s="1"/>
      <c r="J1383" s="1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</row>
    <row r="1384" spans="2:73" s="38" customFormat="1">
      <c r="B1384" s="1"/>
      <c r="C1384" s="1"/>
      <c r="D1384" s="1"/>
      <c r="E1384" s="1"/>
      <c r="F1384" s="1"/>
      <c r="G1384" s="1"/>
      <c r="H1384" s="1"/>
      <c r="I1384" s="1"/>
      <c r="J1384" s="1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</row>
    <row r="1385" spans="2:73" s="38" customFormat="1">
      <c r="B1385" s="1"/>
      <c r="C1385" s="1"/>
      <c r="D1385" s="1"/>
      <c r="E1385" s="1"/>
      <c r="F1385" s="1"/>
      <c r="G1385" s="1"/>
      <c r="H1385" s="1"/>
      <c r="I1385" s="1"/>
      <c r="J1385" s="1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</row>
    <row r="1386" spans="2:73" s="38" customFormat="1">
      <c r="B1386" s="1"/>
      <c r="C1386" s="1"/>
      <c r="D1386" s="1"/>
      <c r="E1386" s="1"/>
      <c r="F1386" s="1"/>
      <c r="G1386" s="1"/>
      <c r="H1386" s="1"/>
      <c r="I1386" s="1"/>
      <c r="J1386" s="1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</row>
    <row r="1387" spans="2:73" s="38" customFormat="1">
      <c r="B1387" s="1"/>
      <c r="C1387" s="1"/>
      <c r="D1387" s="1"/>
      <c r="E1387" s="1"/>
      <c r="F1387" s="1"/>
      <c r="G1387" s="1"/>
      <c r="H1387" s="1"/>
      <c r="I1387" s="1"/>
      <c r="J1387" s="1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</row>
    <row r="1388" spans="2:73" s="38" customFormat="1">
      <c r="B1388" s="1"/>
      <c r="C1388" s="1"/>
      <c r="D1388" s="1"/>
      <c r="E1388" s="1"/>
      <c r="F1388" s="1"/>
      <c r="G1388" s="1"/>
      <c r="H1388" s="1"/>
      <c r="I1388" s="1"/>
      <c r="J1388" s="1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</row>
    <row r="1389" spans="2:73" s="38" customFormat="1">
      <c r="B1389" s="1"/>
      <c r="C1389" s="1"/>
      <c r="D1389" s="1"/>
      <c r="E1389" s="1"/>
      <c r="F1389" s="1"/>
      <c r="G1389" s="1"/>
      <c r="H1389" s="1"/>
      <c r="I1389" s="1"/>
      <c r="J1389" s="1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</row>
    <row r="1390" spans="2:73" s="38" customFormat="1">
      <c r="B1390" s="1"/>
      <c r="C1390" s="1"/>
      <c r="D1390" s="1"/>
      <c r="E1390" s="1"/>
      <c r="F1390" s="1"/>
      <c r="G1390" s="1"/>
      <c r="H1390" s="1"/>
      <c r="I1390" s="1"/>
      <c r="J1390" s="1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</row>
    <row r="1391" spans="2:73" s="38" customFormat="1">
      <c r="B1391" s="1"/>
      <c r="C1391" s="1"/>
      <c r="D1391" s="1"/>
      <c r="E1391" s="1"/>
      <c r="F1391" s="1"/>
      <c r="G1391" s="1"/>
      <c r="H1391" s="1"/>
      <c r="I1391" s="1"/>
      <c r="J1391" s="1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</row>
    <row r="1392" spans="2:73" s="38" customFormat="1">
      <c r="B1392" s="1"/>
      <c r="C1392" s="1"/>
      <c r="D1392" s="1"/>
      <c r="E1392" s="1"/>
      <c r="F1392" s="1"/>
      <c r="G1392" s="1"/>
      <c r="H1392" s="1"/>
      <c r="I1392" s="1"/>
      <c r="J1392" s="1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</row>
    <row r="1393" spans="2:73" s="38" customFormat="1">
      <c r="B1393" s="1"/>
      <c r="C1393" s="1"/>
      <c r="D1393" s="1"/>
      <c r="E1393" s="1"/>
      <c r="F1393" s="1"/>
      <c r="G1393" s="1"/>
      <c r="H1393" s="1"/>
      <c r="I1393" s="1"/>
      <c r="J1393" s="1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</row>
    <row r="1394" spans="2:73" s="38" customFormat="1">
      <c r="B1394" s="1"/>
      <c r="C1394" s="1"/>
      <c r="D1394" s="1"/>
      <c r="E1394" s="1"/>
      <c r="F1394" s="1"/>
      <c r="G1394" s="1"/>
      <c r="H1394" s="1"/>
      <c r="I1394" s="1"/>
      <c r="J1394" s="1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</row>
    <row r="1395" spans="2:73" s="38" customFormat="1">
      <c r="B1395" s="1"/>
      <c r="C1395" s="1"/>
      <c r="D1395" s="1"/>
      <c r="E1395" s="1"/>
      <c r="F1395" s="1"/>
      <c r="G1395" s="1"/>
      <c r="H1395" s="1"/>
      <c r="I1395" s="1"/>
      <c r="J1395" s="1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</row>
    <row r="1396" spans="2:73" s="38" customFormat="1">
      <c r="B1396" s="1"/>
      <c r="C1396" s="1"/>
      <c r="D1396" s="1"/>
      <c r="E1396" s="1"/>
      <c r="F1396" s="1"/>
      <c r="G1396" s="1"/>
      <c r="H1396" s="1"/>
      <c r="I1396" s="1"/>
      <c r="J1396" s="1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</row>
    <row r="1397" spans="2:73" s="38" customFormat="1">
      <c r="B1397" s="1"/>
      <c r="C1397" s="1"/>
      <c r="D1397" s="1"/>
      <c r="E1397" s="1"/>
      <c r="F1397" s="1"/>
      <c r="G1397" s="1"/>
      <c r="H1397" s="1"/>
      <c r="I1397" s="1"/>
      <c r="J1397" s="1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</row>
    <row r="1398" spans="2:73" s="38" customFormat="1">
      <c r="B1398" s="1"/>
      <c r="C1398" s="1"/>
      <c r="D1398" s="1"/>
      <c r="E1398" s="1"/>
      <c r="F1398" s="1"/>
      <c r="G1398" s="1"/>
      <c r="H1398" s="1"/>
      <c r="I1398" s="1"/>
      <c r="J1398" s="1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</row>
    <row r="1399" spans="2:73" s="38" customFormat="1">
      <c r="B1399" s="1"/>
      <c r="C1399" s="1"/>
      <c r="D1399" s="1"/>
      <c r="E1399" s="1"/>
      <c r="F1399" s="1"/>
      <c r="G1399" s="1"/>
      <c r="H1399" s="1"/>
      <c r="I1399" s="1"/>
      <c r="J1399" s="1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</row>
    <row r="1400" spans="2:73" s="38" customFormat="1">
      <c r="B1400" s="1"/>
      <c r="C1400" s="1"/>
      <c r="D1400" s="1"/>
      <c r="E1400" s="1"/>
      <c r="F1400" s="1"/>
      <c r="G1400" s="1"/>
      <c r="H1400" s="1"/>
      <c r="I1400" s="1"/>
      <c r="J1400" s="1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</row>
    <row r="1401" spans="2:73" s="38" customFormat="1">
      <c r="B1401" s="1"/>
      <c r="C1401" s="1"/>
      <c r="D1401" s="1"/>
      <c r="E1401" s="1"/>
      <c r="F1401" s="1"/>
      <c r="G1401" s="1"/>
      <c r="H1401" s="1"/>
      <c r="I1401" s="1"/>
      <c r="J1401" s="1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</row>
    <row r="1402" spans="2:73" s="38" customFormat="1">
      <c r="B1402" s="1"/>
      <c r="C1402" s="1"/>
      <c r="D1402" s="1"/>
      <c r="E1402" s="1"/>
      <c r="F1402" s="1"/>
      <c r="G1402" s="1"/>
      <c r="H1402" s="1"/>
      <c r="I1402" s="1"/>
      <c r="J1402" s="1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</row>
    <row r="1403" spans="2:73" s="38" customFormat="1">
      <c r="B1403" s="1"/>
      <c r="C1403" s="1"/>
      <c r="D1403" s="1"/>
      <c r="E1403" s="1"/>
      <c r="F1403" s="1"/>
      <c r="G1403" s="1"/>
      <c r="H1403" s="1"/>
      <c r="I1403" s="1"/>
      <c r="J1403" s="1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</row>
    <row r="1404" spans="2:73" s="38" customFormat="1">
      <c r="B1404" s="1"/>
      <c r="C1404" s="1"/>
      <c r="D1404" s="1"/>
      <c r="E1404" s="1"/>
      <c r="F1404" s="1"/>
      <c r="G1404" s="1"/>
      <c r="H1404" s="1"/>
      <c r="I1404" s="1"/>
      <c r="J1404" s="1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</row>
    <row r="1405" spans="2:73" s="38" customFormat="1">
      <c r="B1405" s="1"/>
      <c r="C1405" s="1"/>
      <c r="D1405" s="1"/>
      <c r="E1405" s="1"/>
      <c r="F1405" s="1"/>
      <c r="G1405" s="1"/>
      <c r="H1405" s="1"/>
      <c r="I1405" s="1"/>
      <c r="J1405" s="1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</row>
    <row r="1406" spans="2:73" s="38" customFormat="1">
      <c r="B1406" s="1"/>
      <c r="C1406" s="1"/>
      <c r="D1406" s="1"/>
      <c r="E1406" s="1"/>
      <c r="F1406" s="1"/>
      <c r="G1406" s="1"/>
      <c r="H1406" s="1"/>
      <c r="I1406" s="1"/>
      <c r="J1406" s="1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</row>
    <row r="1407" spans="2:73" s="38" customFormat="1">
      <c r="B1407" s="1"/>
      <c r="C1407" s="1"/>
      <c r="D1407" s="1"/>
      <c r="E1407" s="1"/>
      <c r="F1407" s="1"/>
      <c r="G1407" s="1"/>
      <c r="H1407" s="1"/>
      <c r="I1407" s="1"/>
      <c r="J1407" s="1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</row>
    <row r="1408" spans="2:73" s="38" customFormat="1">
      <c r="B1408" s="1"/>
      <c r="C1408" s="1"/>
      <c r="D1408" s="1"/>
      <c r="E1408" s="1"/>
      <c r="F1408" s="1"/>
      <c r="G1408" s="1"/>
      <c r="H1408" s="1"/>
      <c r="I1408" s="1"/>
      <c r="J1408" s="1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</row>
    <row r="1409" spans="2:73" s="38" customFormat="1">
      <c r="B1409" s="1"/>
      <c r="C1409" s="1"/>
      <c r="D1409" s="1"/>
      <c r="E1409" s="1"/>
      <c r="F1409" s="1"/>
      <c r="G1409" s="1"/>
      <c r="H1409" s="1"/>
      <c r="I1409" s="1"/>
      <c r="J1409" s="1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</row>
    <row r="1410" spans="2:73" s="38" customFormat="1">
      <c r="B1410" s="1"/>
      <c r="C1410" s="1"/>
      <c r="D1410" s="1"/>
      <c r="E1410" s="1"/>
      <c r="F1410" s="1"/>
      <c r="G1410" s="1"/>
      <c r="H1410" s="1"/>
      <c r="I1410" s="1"/>
      <c r="J1410" s="1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</row>
    <row r="1411" spans="2:73" s="38" customFormat="1">
      <c r="B1411" s="1"/>
      <c r="C1411" s="1"/>
      <c r="D1411" s="1"/>
      <c r="E1411" s="1"/>
      <c r="F1411" s="1"/>
      <c r="G1411" s="1"/>
      <c r="H1411" s="1"/>
      <c r="I1411" s="1"/>
      <c r="J1411" s="1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</row>
    <row r="1412" spans="2:73" s="38" customFormat="1">
      <c r="B1412" s="1"/>
      <c r="C1412" s="1"/>
      <c r="D1412" s="1"/>
      <c r="E1412" s="1"/>
      <c r="F1412" s="1"/>
      <c r="G1412" s="1"/>
      <c r="H1412" s="1"/>
      <c r="I1412" s="1"/>
      <c r="J1412" s="1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</row>
    <row r="1413" spans="2:73" s="38" customFormat="1">
      <c r="B1413" s="1"/>
      <c r="C1413" s="1"/>
      <c r="D1413" s="1"/>
      <c r="E1413" s="1"/>
      <c r="F1413" s="1"/>
      <c r="G1413" s="1"/>
      <c r="H1413" s="1"/>
      <c r="I1413" s="1"/>
      <c r="J1413" s="1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</row>
    <row r="1414" spans="2:73" s="38" customFormat="1">
      <c r="B1414" s="1"/>
      <c r="C1414" s="1"/>
      <c r="D1414" s="1"/>
      <c r="E1414" s="1"/>
      <c r="F1414" s="1"/>
      <c r="G1414" s="1"/>
      <c r="H1414" s="1"/>
      <c r="I1414" s="1"/>
      <c r="J1414" s="1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</row>
    <row r="1415" spans="2:73" s="38" customFormat="1">
      <c r="B1415" s="1"/>
      <c r="C1415" s="1"/>
      <c r="D1415" s="1"/>
      <c r="E1415" s="1"/>
      <c r="F1415" s="1"/>
      <c r="G1415" s="1"/>
      <c r="H1415" s="1"/>
      <c r="I1415" s="1"/>
      <c r="J1415" s="1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</row>
    <row r="1416" spans="2:73" s="38" customFormat="1">
      <c r="B1416" s="1"/>
      <c r="C1416" s="1"/>
      <c r="D1416" s="1"/>
      <c r="E1416" s="1"/>
      <c r="F1416" s="1"/>
      <c r="G1416" s="1"/>
      <c r="H1416" s="1"/>
      <c r="I1416" s="1"/>
      <c r="J1416" s="1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</row>
    <row r="1417" spans="2:73" s="38" customFormat="1">
      <c r="B1417" s="1"/>
      <c r="C1417" s="1"/>
      <c r="D1417" s="1"/>
      <c r="E1417" s="1"/>
      <c r="F1417" s="1"/>
      <c r="G1417" s="1"/>
      <c r="H1417" s="1"/>
      <c r="I1417" s="1"/>
      <c r="J1417" s="1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</row>
    <row r="1418" spans="2:73" s="38" customFormat="1">
      <c r="B1418" s="1"/>
      <c r="C1418" s="1"/>
      <c r="D1418" s="1"/>
      <c r="E1418" s="1"/>
      <c r="F1418" s="1"/>
      <c r="G1418" s="1"/>
      <c r="H1418" s="1"/>
      <c r="I1418" s="1"/>
      <c r="J1418" s="1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</row>
    <row r="1419" spans="2:73" s="38" customFormat="1">
      <c r="B1419" s="1"/>
      <c r="C1419" s="1"/>
      <c r="D1419" s="1"/>
      <c r="E1419" s="1"/>
      <c r="F1419" s="1"/>
      <c r="G1419" s="1"/>
      <c r="H1419" s="1"/>
      <c r="I1419" s="1"/>
      <c r="J1419" s="1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</row>
    <row r="1420" spans="2:73" s="38" customFormat="1">
      <c r="B1420" s="1"/>
      <c r="C1420" s="1"/>
      <c r="D1420" s="1"/>
      <c r="E1420" s="1"/>
      <c r="F1420" s="1"/>
      <c r="G1420" s="1"/>
      <c r="H1420" s="1"/>
      <c r="I1420" s="1"/>
      <c r="J1420" s="1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</row>
    <row r="1421" spans="2:73" s="38" customFormat="1">
      <c r="B1421" s="1"/>
      <c r="C1421" s="1"/>
      <c r="D1421" s="1"/>
      <c r="E1421" s="1"/>
      <c r="F1421" s="1"/>
      <c r="G1421" s="1"/>
      <c r="H1421" s="1"/>
      <c r="I1421" s="1"/>
      <c r="J1421" s="1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</row>
    <row r="1422" spans="2:73" s="38" customFormat="1">
      <c r="B1422" s="1"/>
      <c r="C1422" s="1"/>
      <c r="D1422" s="1"/>
      <c r="E1422" s="1"/>
      <c r="F1422" s="1"/>
      <c r="G1422" s="1"/>
      <c r="H1422" s="1"/>
      <c r="I1422" s="1"/>
      <c r="J1422" s="1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</row>
    <row r="1423" spans="2:73" s="38" customFormat="1">
      <c r="B1423" s="1"/>
      <c r="C1423" s="1"/>
      <c r="D1423" s="1"/>
      <c r="E1423" s="1"/>
      <c r="F1423" s="1"/>
      <c r="G1423" s="1"/>
      <c r="H1423" s="1"/>
      <c r="I1423" s="1"/>
      <c r="J1423" s="1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</row>
    <row r="1424" spans="2:73" s="38" customFormat="1">
      <c r="B1424" s="1"/>
      <c r="C1424" s="1"/>
      <c r="D1424" s="1"/>
      <c r="E1424" s="1"/>
      <c r="F1424" s="1"/>
      <c r="G1424" s="1"/>
      <c r="H1424" s="1"/>
      <c r="I1424" s="1"/>
      <c r="J1424" s="1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</row>
    <row r="1425" spans="2:73" s="38" customFormat="1">
      <c r="B1425" s="1"/>
      <c r="C1425" s="1"/>
      <c r="D1425" s="1"/>
      <c r="E1425" s="1"/>
      <c r="F1425" s="1"/>
      <c r="G1425" s="1"/>
      <c r="H1425" s="1"/>
      <c r="I1425" s="1"/>
      <c r="J1425" s="1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</row>
    <row r="1426" spans="2:73" s="38" customFormat="1">
      <c r="B1426" s="1"/>
      <c r="C1426" s="1"/>
      <c r="D1426" s="1"/>
      <c r="E1426" s="1"/>
      <c r="F1426" s="1"/>
      <c r="G1426" s="1"/>
      <c r="H1426" s="1"/>
      <c r="I1426" s="1"/>
      <c r="J1426" s="1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</row>
    <row r="1427" spans="2:73" s="38" customFormat="1">
      <c r="B1427" s="1"/>
      <c r="C1427" s="1"/>
      <c r="D1427" s="1"/>
      <c r="E1427" s="1"/>
      <c r="F1427" s="1"/>
      <c r="G1427" s="1"/>
      <c r="H1427" s="1"/>
      <c r="I1427" s="1"/>
      <c r="J1427" s="1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</row>
    <row r="1428" spans="2:73" s="38" customFormat="1">
      <c r="B1428" s="1"/>
      <c r="C1428" s="1"/>
      <c r="D1428" s="1"/>
      <c r="E1428" s="1"/>
      <c r="F1428" s="1"/>
      <c r="G1428" s="1"/>
      <c r="H1428" s="1"/>
      <c r="I1428" s="1"/>
      <c r="J1428" s="1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</row>
    <row r="1429" spans="2:73" s="38" customFormat="1">
      <c r="B1429" s="1"/>
      <c r="C1429" s="1"/>
      <c r="D1429" s="1"/>
      <c r="E1429" s="1"/>
      <c r="F1429" s="1"/>
      <c r="G1429" s="1"/>
      <c r="H1429" s="1"/>
      <c r="I1429" s="1"/>
      <c r="J1429" s="1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</row>
    <row r="1430" spans="2:73" s="38" customFormat="1">
      <c r="B1430" s="1"/>
      <c r="C1430" s="1"/>
      <c r="D1430" s="1"/>
      <c r="E1430" s="1"/>
      <c r="F1430" s="1"/>
      <c r="G1430" s="1"/>
      <c r="H1430" s="1"/>
      <c r="I1430" s="1"/>
      <c r="J1430" s="1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</row>
    <row r="1431" spans="2:73" s="38" customFormat="1">
      <c r="B1431" s="1"/>
      <c r="C1431" s="1"/>
      <c r="D1431" s="1"/>
      <c r="E1431" s="1"/>
      <c r="F1431" s="1"/>
      <c r="G1431" s="1"/>
      <c r="H1431" s="1"/>
      <c r="I1431" s="1"/>
      <c r="J1431" s="1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</row>
    <row r="1432" spans="2:73" s="38" customFormat="1">
      <c r="B1432" s="1"/>
      <c r="C1432" s="1"/>
      <c r="D1432" s="1"/>
      <c r="E1432" s="1"/>
      <c r="F1432" s="1"/>
      <c r="G1432" s="1"/>
      <c r="H1432" s="1"/>
      <c r="I1432" s="1"/>
      <c r="J1432" s="1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</row>
    <row r="1433" spans="2:73" s="38" customFormat="1">
      <c r="B1433" s="1"/>
      <c r="C1433" s="1"/>
      <c r="D1433" s="1"/>
      <c r="E1433" s="1"/>
      <c r="F1433" s="1"/>
      <c r="G1433" s="1"/>
      <c r="H1433" s="1"/>
      <c r="I1433" s="1"/>
      <c r="J1433" s="1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</row>
    <row r="1434" spans="2:73" s="38" customFormat="1">
      <c r="B1434" s="1"/>
      <c r="C1434" s="1"/>
      <c r="D1434" s="1"/>
      <c r="E1434" s="1"/>
      <c r="F1434" s="1"/>
      <c r="G1434" s="1"/>
      <c r="H1434" s="1"/>
      <c r="I1434" s="1"/>
      <c r="J1434" s="1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</row>
    <row r="1435" spans="2:73" s="38" customFormat="1">
      <c r="B1435" s="1"/>
      <c r="C1435" s="1"/>
      <c r="D1435" s="1"/>
      <c r="E1435" s="1"/>
      <c r="F1435" s="1"/>
      <c r="G1435" s="1"/>
      <c r="H1435" s="1"/>
      <c r="I1435" s="1"/>
      <c r="J1435" s="1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</row>
    <row r="1436" spans="2:73" s="38" customFormat="1">
      <c r="B1436" s="1"/>
      <c r="C1436" s="1"/>
      <c r="D1436" s="1"/>
      <c r="E1436" s="1"/>
      <c r="F1436" s="1"/>
      <c r="G1436" s="1"/>
      <c r="H1436" s="1"/>
      <c r="I1436" s="1"/>
      <c r="J1436" s="1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</row>
    <row r="1437" spans="2:73" s="38" customFormat="1">
      <c r="B1437" s="1"/>
      <c r="C1437" s="1"/>
      <c r="D1437" s="1"/>
      <c r="E1437" s="1"/>
      <c r="F1437" s="1"/>
      <c r="G1437" s="1"/>
      <c r="H1437" s="1"/>
      <c r="I1437" s="1"/>
      <c r="J1437" s="1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</row>
    <row r="1438" spans="2:73" s="38" customFormat="1">
      <c r="B1438" s="1"/>
      <c r="C1438" s="1"/>
      <c r="D1438" s="1"/>
      <c r="E1438" s="1"/>
      <c r="F1438" s="1"/>
      <c r="G1438" s="1"/>
      <c r="H1438" s="1"/>
      <c r="I1438" s="1"/>
      <c r="J1438" s="1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</row>
    <row r="1439" spans="2:73" s="38" customFormat="1">
      <c r="B1439" s="1"/>
      <c r="C1439" s="1"/>
      <c r="D1439" s="1"/>
      <c r="E1439" s="1"/>
      <c r="F1439" s="1"/>
      <c r="G1439" s="1"/>
      <c r="H1439" s="1"/>
      <c r="I1439" s="1"/>
      <c r="J1439" s="1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</row>
    <row r="1440" spans="2:73" s="38" customFormat="1">
      <c r="B1440" s="1"/>
      <c r="C1440" s="1"/>
      <c r="D1440" s="1"/>
      <c r="E1440" s="1"/>
      <c r="F1440" s="1"/>
      <c r="G1440" s="1"/>
      <c r="H1440" s="1"/>
      <c r="I1440" s="1"/>
      <c r="J1440" s="1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</row>
    <row r="1441" spans="2:73" s="38" customFormat="1">
      <c r="B1441" s="1"/>
      <c r="C1441" s="1"/>
      <c r="D1441" s="1"/>
      <c r="E1441" s="1"/>
      <c r="F1441" s="1"/>
      <c r="G1441" s="1"/>
      <c r="H1441" s="1"/>
      <c r="I1441" s="1"/>
      <c r="J1441" s="1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</row>
    <row r="1442" spans="2:73" s="38" customFormat="1">
      <c r="B1442" s="1"/>
      <c r="C1442" s="1"/>
      <c r="D1442" s="1"/>
      <c r="E1442" s="1"/>
      <c r="F1442" s="1"/>
      <c r="G1442" s="1"/>
      <c r="H1442" s="1"/>
      <c r="I1442" s="1"/>
      <c r="J1442" s="1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</row>
    <row r="1443" spans="2:73" s="38" customFormat="1">
      <c r="B1443" s="1"/>
      <c r="C1443" s="1"/>
      <c r="D1443" s="1"/>
      <c r="E1443" s="1"/>
      <c r="F1443" s="1"/>
      <c r="G1443" s="1"/>
      <c r="H1443" s="1"/>
      <c r="I1443" s="1"/>
      <c r="J1443" s="1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</row>
    <row r="1444" spans="2:73" s="38" customFormat="1">
      <c r="B1444" s="1"/>
      <c r="C1444" s="1"/>
      <c r="D1444" s="1"/>
      <c r="E1444" s="1"/>
      <c r="F1444" s="1"/>
      <c r="G1444" s="1"/>
      <c r="H1444" s="1"/>
      <c r="I1444" s="1"/>
      <c r="J1444" s="1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</row>
    <row r="1445" spans="2:73" s="38" customFormat="1">
      <c r="B1445" s="1"/>
      <c r="C1445" s="1"/>
      <c r="D1445" s="1"/>
      <c r="E1445" s="1"/>
      <c r="F1445" s="1"/>
      <c r="G1445" s="1"/>
      <c r="H1445" s="1"/>
      <c r="I1445" s="1"/>
      <c r="J1445" s="1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</row>
    <row r="1446" spans="2:73" s="38" customFormat="1">
      <c r="B1446" s="1"/>
      <c r="C1446" s="1"/>
      <c r="D1446" s="1"/>
      <c r="E1446" s="1"/>
      <c r="F1446" s="1"/>
      <c r="G1446" s="1"/>
      <c r="H1446" s="1"/>
      <c r="I1446" s="1"/>
      <c r="J1446" s="1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</row>
    <row r="1447" spans="2:73" s="38" customFormat="1">
      <c r="B1447" s="1"/>
      <c r="C1447" s="1"/>
      <c r="D1447" s="1"/>
      <c r="E1447" s="1"/>
      <c r="F1447" s="1"/>
      <c r="G1447" s="1"/>
      <c r="H1447" s="1"/>
      <c r="I1447" s="1"/>
      <c r="J1447" s="1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</row>
    <row r="1448" spans="2:73" s="38" customFormat="1">
      <c r="B1448" s="1"/>
      <c r="C1448" s="1"/>
      <c r="D1448" s="1"/>
      <c r="E1448" s="1"/>
      <c r="F1448" s="1"/>
      <c r="G1448" s="1"/>
      <c r="H1448" s="1"/>
      <c r="I1448" s="1"/>
      <c r="J1448" s="1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</row>
    <row r="1449" spans="2:73" s="38" customFormat="1">
      <c r="B1449" s="1"/>
      <c r="C1449" s="1"/>
      <c r="D1449" s="1"/>
      <c r="E1449" s="1"/>
      <c r="F1449" s="1"/>
      <c r="G1449" s="1"/>
      <c r="H1449" s="1"/>
      <c r="I1449" s="1"/>
      <c r="J1449" s="1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</row>
    <row r="1450" spans="2:73" s="38" customFormat="1">
      <c r="B1450" s="1"/>
      <c r="C1450" s="1"/>
      <c r="D1450" s="1"/>
      <c r="E1450" s="1"/>
      <c r="F1450" s="1"/>
      <c r="G1450" s="1"/>
      <c r="H1450" s="1"/>
      <c r="I1450" s="1"/>
      <c r="J1450" s="1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</row>
    <row r="1451" spans="2:73" s="38" customFormat="1">
      <c r="B1451" s="1"/>
      <c r="C1451" s="1"/>
      <c r="D1451" s="1"/>
      <c r="E1451" s="1"/>
      <c r="F1451" s="1"/>
      <c r="G1451" s="1"/>
      <c r="H1451" s="1"/>
      <c r="I1451" s="1"/>
      <c r="J1451" s="1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</row>
    <row r="1452" spans="2:73" s="38" customFormat="1">
      <c r="B1452" s="1"/>
      <c r="C1452" s="1"/>
      <c r="D1452" s="1"/>
      <c r="E1452" s="1"/>
      <c r="F1452" s="1"/>
      <c r="G1452" s="1"/>
      <c r="H1452" s="1"/>
      <c r="I1452" s="1"/>
      <c r="J1452" s="1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</row>
    <row r="1453" spans="2:73" s="38" customFormat="1">
      <c r="B1453" s="1"/>
      <c r="C1453" s="1"/>
      <c r="D1453" s="1"/>
      <c r="E1453" s="1"/>
      <c r="F1453" s="1"/>
      <c r="G1453" s="1"/>
      <c r="H1453" s="1"/>
      <c r="I1453" s="1"/>
      <c r="J1453" s="1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</row>
    <row r="1454" spans="2:73" s="38" customFormat="1">
      <c r="B1454" s="1"/>
      <c r="C1454" s="1"/>
      <c r="D1454" s="1"/>
      <c r="E1454" s="1"/>
      <c r="F1454" s="1"/>
      <c r="G1454" s="1"/>
      <c r="H1454" s="1"/>
      <c r="I1454" s="1"/>
      <c r="J1454" s="1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</row>
    <row r="1455" spans="2:73" s="38" customFormat="1">
      <c r="B1455" s="1"/>
      <c r="C1455" s="1"/>
      <c r="D1455" s="1"/>
      <c r="E1455" s="1"/>
      <c r="F1455" s="1"/>
      <c r="G1455" s="1"/>
      <c r="H1455" s="1"/>
      <c r="I1455" s="1"/>
      <c r="J1455" s="1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</row>
    <row r="1456" spans="2:73" s="38" customFormat="1">
      <c r="B1456" s="1"/>
      <c r="C1456" s="1"/>
      <c r="D1456" s="1"/>
      <c r="E1456" s="1"/>
      <c r="F1456" s="1"/>
      <c r="G1456" s="1"/>
      <c r="H1456" s="1"/>
      <c r="I1456" s="1"/>
      <c r="J1456" s="1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</row>
    <row r="1457" spans="2:73" s="38" customFormat="1">
      <c r="B1457" s="1"/>
      <c r="C1457" s="1"/>
      <c r="D1457" s="1"/>
      <c r="E1457" s="1"/>
      <c r="F1457" s="1"/>
      <c r="G1457" s="1"/>
      <c r="H1457" s="1"/>
      <c r="I1457" s="1"/>
      <c r="J1457" s="1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</row>
    <row r="1458" spans="2:73" s="38" customFormat="1">
      <c r="B1458" s="1"/>
      <c r="C1458" s="1"/>
      <c r="D1458" s="1"/>
      <c r="E1458" s="1"/>
      <c r="F1458" s="1"/>
      <c r="G1458" s="1"/>
      <c r="H1458" s="1"/>
      <c r="I1458" s="1"/>
      <c r="J1458" s="1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</row>
    <row r="1459" spans="2:73" s="38" customFormat="1">
      <c r="B1459" s="1"/>
      <c r="C1459" s="1"/>
      <c r="D1459" s="1"/>
      <c r="E1459" s="1"/>
      <c r="F1459" s="1"/>
      <c r="G1459" s="1"/>
      <c r="H1459" s="1"/>
      <c r="I1459" s="1"/>
      <c r="J1459" s="1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</row>
    <row r="1460" spans="2:73" s="38" customFormat="1">
      <c r="B1460" s="1"/>
      <c r="C1460" s="1"/>
      <c r="D1460" s="1"/>
      <c r="E1460" s="1"/>
      <c r="F1460" s="1"/>
      <c r="G1460" s="1"/>
      <c r="H1460" s="1"/>
      <c r="I1460" s="1"/>
      <c r="J1460" s="1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</row>
    <row r="1461" spans="2:73" s="38" customFormat="1">
      <c r="B1461" s="1"/>
      <c r="C1461" s="1"/>
      <c r="D1461" s="1"/>
      <c r="E1461" s="1"/>
      <c r="F1461" s="1"/>
      <c r="G1461" s="1"/>
      <c r="H1461" s="1"/>
      <c r="I1461" s="1"/>
      <c r="J1461" s="1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</row>
    <row r="1462" spans="2:73" s="38" customFormat="1">
      <c r="B1462" s="1"/>
      <c r="C1462" s="1"/>
      <c r="D1462" s="1"/>
      <c r="E1462" s="1"/>
      <c r="F1462" s="1"/>
      <c r="G1462" s="1"/>
      <c r="H1462" s="1"/>
      <c r="I1462" s="1"/>
      <c r="J1462" s="1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</row>
    <row r="1463" spans="2:73" s="38" customFormat="1">
      <c r="B1463" s="1"/>
      <c r="C1463" s="1"/>
      <c r="D1463" s="1"/>
      <c r="E1463" s="1"/>
      <c r="F1463" s="1"/>
      <c r="G1463" s="1"/>
      <c r="H1463" s="1"/>
      <c r="I1463" s="1"/>
      <c r="J1463" s="1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</row>
    <row r="1464" spans="2:73" s="38" customFormat="1">
      <c r="B1464" s="1"/>
      <c r="C1464" s="1"/>
      <c r="D1464" s="1"/>
      <c r="E1464" s="1"/>
      <c r="F1464" s="1"/>
      <c r="G1464" s="1"/>
      <c r="H1464" s="1"/>
      <c r="I1464" s="1"/>
      <c r="J1464" s="1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</row>
    <row r="1465" spans="2:73" s="38" customFormat="1">
      <c r="B1465" s="1"/>
      <c r="C1465" s="1"/>
      <c r="D1465" s="1"/>
      <c r="E1465" s="1"/>
      <c r="F1465" s="1"/>
      <c r="G1465" s="1"/>
      <c r="H1465" s="1"/>
      <c r="I1465" s="1"/>
      <c r="J1465" s="1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</row>
    <row r="1466" spans="2:73" s="38" customFormat="1">
      <c r="B1466" s="1"/>
      <c r="C1466" s="1"/>
      <c r="D1466" s="1"/>
      <c r="E1466" s="1"/>
      <c r="F1466" s="1"/>
      <c r="G1466" s="1"/>
      <c r="H1466" s="1"/>
      <c r="I1466" s="1"/>
      <c r="J1466" s="1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</row>
    <row r="1467" spans="2:73" s="38" customFormat="1">
      <c r="B1467" s="1"/>
      <c r="C1467" s="1"/>
      <c r="D1467" s="1"/>
      <c r="E1467" s="1"/>
      <c r="F1467" s="1"/>
      <c r="G1467" s="1"/>
      <c r="H1467" s="1"/>
      <c r="I1467" s="1"/>
      <c r="J1467" s="1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</row>
    <row r="1468" spans="2:73" s="38" customFormat="1">
      <c r="B1468" s="1"/>
      <c r="C1468" s="1"/>
      <c r="D1468" s="1"/>
      <c r="E1468" s="1"/>
      <c r="F1468" s="1"/>
      <c r="G1468" s="1"/>
      <c r="H1468" s="1"/>
      <c r="I1468" s="1"/>
      <c r="J1468" s="1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</row>
    <row r="1469" spans="2:73" s="38" customFormat="1">
      <c r="B1469" s="1"/>
      <c r="C1469" s="1"/>
      <c r="D1469" s="1"/>
      <c r="E1469" s="1"/>
      <c r="F1469" s="1"/>
      <c r="G1469" s="1"/>
      <c r="H1469" s="1"/>
      <c r="I1469" s="1"/>
      <c r="J1469" s="1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</row>
    <row r="1470" spans="2:73" s="38" customFormat="1">
      <c r="B1470" s="1"/>
      <c r="C1470" s="1"/>
      <c r="D1470" s="1"/>
      <c r="E1470" s="1"/>
      <c r="F1470" s="1"/>
      <c r="G1470" s="1"/>
      <c r="H1470" s="1"/>
      <c r="I1470" s="1"/>
      <c r="J1470" s="1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</row>
    <row r="1471" spans="2:73" s="38" customFormat="1">
      <c r="B1471" s="1"/>
      <c r="C1471" s="1"/>
      <c r="D1471" s="1"/>
      <c r="E1471" s="1"/>
      <c r="F1471" s="1"/>
      <c r="G1471" s="1"/>
      <c r="H1471" s="1"/>
      <c r="I1471" s="1"/>
      <c r="J1471" s="1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</row>
    <row r="1472" spans="2:73" s="38" customFormat="1">
      <c r="B1472" s="1"/>
      <c r="C1472" s="1"/>
      <c r="D1472" s="1"/>
      <c r="E1472" s="1"/>
      <c r="F1472" s="1"/>
      <c r="G1472" s="1"/>
      <c r="H1472" s="1"/>
      <c r="I1472" s="1"/>
      <c r="J1472" s="1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</row>
    <row r="1473" spans="2:73" s="38" customFormat="1">
      <c r="B1473" s="1"/>
      <c r="C1473" s="1"/>
      <c r="D1473" s="1"/>
      <c r="E1473" s="1"/>
      <c r="F1473" s="1"/>
      <c r="G1473" s="1"/>
      <c r="H1473" s="1"/>
      <c r="I1473" s="1"/>
      <c r="J1473" s="1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</row>
    <row r="1474" spans="2:73" s="38" customFormat="1">
      <c r="B1474" s="1"/>
      <c r="C1474" s="1"/>
      <c r="D1474" s="1"/>
      <c r="E1474" s="1"/>
      <c r="F1474" s="1"/>
      <c r="G1474" s="1"/>
      <c r="H1474" s="1"/>
      <c r="I1474" s="1"/>
      <c r="J1474" s="1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</row>
    <row r="1475" spans="2:73" s="38" customFormat="1">
      <c r="B1475" s="1"/>
      <c r="C1475" s="1"/>
      <c r="D1475" s="1"/>
      <c r="E1475" s="1"/>
      <c r="F1475" s="1"/>
      <c r="G1475" s="1"/>
      <c r="H1475" s="1"/>
      <c r="I1475" s="1"/>
      <c r="J1475" s="1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</row>
    <row r="1476" spans="2:73" s="38" customFormat="1">
      <c r="B1476" s="1"/>
      <c r="C1476" s="1"/>
      <c r="D1476" s="1"/>
      <c r="E1476" s="1"/>
      <c r="F1476" s="1"/>
      <c r="G1476" s="1"/>
      <c r="H1476" s="1"/>
      <c r="I1476" s="1"/>
      <c r="J1476" s="1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</row>
    <row r="1477" spans="2:73" s="38" customFormat="1">
      <c r="B1477" s="1"/>
      <c r="C1477" s="1"/>
      <c r="D1477" s="1"/>
      <c r="E1477" s="1"/>
      <c r="F1477" s="1"/>
      <c r="G1477" s="1"/>
      <c r="H1477" s="1"/>
      <c r="I1477" s="1"/>
      <c r="J1477" s="1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</row>
    <row r="1478" spans="2:73" s="38" customFormat="1">
      <c r="B1478" s="1"/>
      <c r="C1478" s="1"/>
      <c r="D1478" s="1"/>
      <c r="E1478" s="1"/>
      <c r="F1478" s="1"/>
      <c r="G1478" s="1"/>
      <c r="H1478" s="1"/>
      <c r="I1478" s="1"/>
      <c r="J1478" s="1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</row>
    <row r="1479" spans="2:73" s="38" customFormat="1">
      <c r="B1479" s="1"/>
      <c r="C1479" s="1"/>
      <c r="D1479" s="1"/>
      <c r="E1479" s="1"/>
      <c r="F1479" s="1"/>
      <c r="G1479" s="1"/>
      <c r="H1479" s="1"/>
      <c r="I1479" s="1"/>
      <c r="J1479" s="1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</row>
    <row r="1480" spans="2:73" s="38" customFormat="1">
      <c r="B1480" s="1"/>
      <c r="C1480" s="1"/>
      <c r="D1480" s="1"/>
      <c r="E1480" s="1"/>
      <c r="F1480" s="1"/>
      <c r="G1480" s="1"/>
      <c r="H1480" s="1"/>
      <c r="I1480" s="1"/>
      <c r="J1480" s="1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</row>
    <row r="1481" spans="2:73" s="38" customFormat="1">
      <c r="B1481" s="1"/>
      <c r="C1481" s="1"/>
      <c r="D1481" s="1"/>
      <c r="E1481" s="1"/>
      <c r="F1481" s="1"/>
      <c r="G1481" s="1"/>
      <c r="H1481" s="1"/>
      <c r="I1481" s="1"/>
      <c r="J1481" s="1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</row>
    <row r="1482" spans="2:73" s="38" customFormat="1">
      <c r="B1482" s="1"/>
      <c r="C1482" s="1"/>
      <c r="D1482" s="1"/>
      <c r="E1482" s="1"/>
      <c r="F1482" s="1"/>
      <c r="G1482" s="1"/>
      <c r="H1482" s="1"/>
      <c r="I1482" s="1"/>
      <c r="J1482" s="1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</row>
    <row r="1483" spans="2:73" s="38" customFormat="1">
      <c r="B1483" s="1"/>
      <c r="C1483" s="1"/>
      <c r="D1483" s="1"/>
      <c r="E1483" s="1"/>
      <c r="F1483" s="1"/>
      <c r="G1483" s="1"/>
      <c r="H1483" s="1"/>
      <c r="I1483" s="1"/>
      <c r="J1483" s="1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</row>
    <row r="1484" spans="2:73" s="38" customFormat="1">
      <c r="B1484" s="1"/>
      <c r="C1484" s="1"/>
      <c r="D1484" s="1"/>
      <c r="E1484" s="1"/>
      <c r="F1484" s="1"/>
      <c r="G1484" s="1"/>
      <c r="H1484" s="1"/>
      <c r="I1484" s="1"/>
      <c r="J1484" s="1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</row>
    <row r="1485" spans="2:73" s="38" customFormat="1">
      <c r="B1485" s="1"/>
      <c r="C1485" s="1"/>
      <c r="D1485" s="1"/>
      <c r="E1485" s="1"/>
      <c r="F1485" s="1"/>
      <c r="G1485" s="1"/>
      <c r="H1485" s="1"/>
      <c r="I1485" s="1"/>
      <c r="J1485" s="1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</row>
    <row r="1486" spans="2:73" s="38" customFormat="1">
      <c r="B1486" s="1"/>
      <c r="C1486" s="1"/>
      <c r="D1486" s="1"/>
      <c r="E1486" s="1"/>
      <c r="F1486" s="1"/>
      <c r="G1486" s="1"/>
      <c r="H1486" s="1"/>
      <c r="I1486" s="1"/>
      <c r="J1486" s="1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</row>
    <row r="1487" spans="2:73" s="38" customFormat="1">
      <c r="B1487" s="1"/>
      <c r="C1487" s="1"/>
      <c r="D1487" s="1"/>
      <c r="E1487" s="1"/>
      <c r="F1487" s="1"/>
      <c r="G1487" s="1"/>
      <c r="H1487" s="1"/>
      <c r="I1487" s="1"/>
      <c r="J1487" s="1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</row>
    <row r="1488" spans="2:73" s="38" customFormat="1">
      <c r="B1488" s="1"/>
      <c r="C1488" s="1"/>
      <c r="D1488" s="1"/>
      <c r="E1488" s="1"/>
      <c r="F1488" s="1"/>
      <c r="G1488" s="1"/>
      <c r="H1488" s="1"/>
      <c r="I1488" s="1"/>
      <c r="J1488" s="1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</row>
    <row r="1489" spans="2:73" s="38" customFormat="1">
      <c r="B1489" s="1"/>
      <c r="C1489" s="1"/>
      <c r="D1489" s="1"/>
      <c r="E1489" s="1"/>
      <c r="F1489" s="1"/>
      <c r="G1489" s="1"/>
      <c r="H1489" s="1"/>
      <c r="I1489" s="1"/>
      <c r="J1489" s="1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</row>
    <row r="1490" spans="2:73" s="38" customFormat="1">
      <c r="B1490" s="1"/>
      <c r="C1490" s="1"/>
      <c r="D1490" s="1"/>
      <c r="E1490" s="1"/>
      <c r="F1490" s="1"/>
      <c r="G1490" s="1"/>
      <c r="H1490" s="1"/>
      <c r="I1490" s="1"/>
      <c r="J1490" s="1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</row>
    <row r="1491" spans="2:73" s="38" customFormat="1">
      <c r="B1491" s="1"/>
      <c r="C1491" s="1"/>
      <c r="D1491" s="1"/>
      <c r="E1491" s="1"/>
      <c r="F1491" s="1"/>
      <c r="G1491" s="1"/>
      <c r="H1491" s="1"/>
      <c r="I1491" s="1"/>
      <c r="J1491" s="1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</row>
    <row r="1492" spans="2:73" s="38" customFormat="1">
      <c r="B1492" s="1"/>
      <c r="C1492" s="1"/>
      <c r="D1492" s="1"/>
      <c r="E1492" s="1"/>
      <c r="F1492" s="1"/>
      <c r="G1492" s="1"/>
      <c r="H1492" s="1"/>
      <c r="I1492" s="1"/>
      <c r="J1492" s="1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</row>
    <row r="1493" spans="2:73" s="38" customFormat="1">
      <c r="B1493" s="1"/>
      <c r="C1493" s="1"/>
      <c r="D1493" s="1"/>
      <c r="E1493" s="1"/>
      <c r="F1493" s="1"/>
      <c r="G1493" s="1"/>
      <c r="H1493" s="1"/>
      <c r="I1493" s="1"/>
      <c r="J1493" s="1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</row>
    <row r="1494" spans="2:73" s="38" customFormat="1">
      <c r="B1494" s="1"/>
      <c r="C1494" s="1"/>
      <c r="D1494" s="1"/>
      <c r="E1494" s="1"/>
      <c r="F1494" s="1"/>
      <c r="G1494" s="1"/>
      <c r="H1494" s="1"/>
      <c r="I1494" s="1"/>
      <c r="J1494" s="1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</row>
    <row r="1495" spans="2:73" s="38" customFormat="1">
      <c r="B1495" s="1"/>
      <c r="C1495" s="1"/>
      <c r="D1495" s="1"/>
      <c r="E1495" s="1"/>
      <c r="F1495" s="1"/>
      <c r="G1495" s="1"/>
      <c r="H1495" s="1"/>
      <c r="I1495" s="1"/>
      <c r="J1495" s="1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</row>
    <row r="1496" spans="2:73" s="38" customFormat="1">
      <c r="B1496" s="1"/>
      <c r="C1496" s="1"/>
      <c r="D1496" s="1"/>
      <c r="E1496" s="1"/>
      <c r="F1496" s="1"/>
      <c r="G1496" s="1"/>
      <c r="H1496" s="1"/>
      <c r="I1496" s="1"/>
      <c r="J1496" s="1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</row>
    <row r="1497" spans="2:73" s="38" customFormat="1">
      <c r="B1497" s="1"/>
      <c r="C1497" s="1"/>
      <c r="D1497" s="1"/>
      <c r="E1497" s="1"/>
      <c r="F1497" s="1"/>
      <c r="G1497" s="1"/>
      <c r="H1497" s="1"/>
      <c r="I1497" s="1"/>
      <c r="J1497" s="1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</row>
    <row r="1498" spans="2:73" s="38" customFormat="1">
      <c r="B1498" s="1"/>
      <c r="C1498" s="1"/>
      <c r="D1498" s="1"/>
      <c r="E1498" s="1"/>
      <c r="F1498" s="1"/>
      <c r="G1498" s="1"/>
      <c r="H1498" s="1"/>
      <c r="I1498" s="1"/>
      <c r="J1498" s="1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</row>
    <row r="1499" spans="2:73" s="38" customFormat="1">
      <c r="B1499" s="1"/>
      <c r="C1499" s="1"/>
      <c r="D1499" s="1"/>
      <c r="E1499" s="1"/>
      <c r="F1499" s="1"/>
      <c r="G1499" s="1"/>
      <c r="H1499" s="1"/>
      <c r="I1499" s="1"/>
      <c r="J1499" s="1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</row>
    <row r="1500" spans="2:73" s="38" customFormat="1">
      <c r="B1500" s="1"/>
      <c r="C1500" s="1"/>
      <c r="D1500" s="1"/>
      <c r="E1500" s="1"/>
      <c r="F1500" s="1"/>
      <c r="G1500" s="1"/>
      <c r="H1500" s="1"/>
      <c r="I1500" s="1"/>
      <c r="J1500" s="1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</row>
    <row r="1501" spans="2:73" s="38" customFormat="1">
      <c r="B1501" s="1"/>
      <c r="C1501" s="1"/>
      <c r="D1501" s="1"/>
      <c r="E1501" s="1"/>
      <c r="F1501" s="1"/>
      <c r="G1501" s="1"/>
      <c r="H1501" s="1"/>
      <c r="I1501" s="1"/>
      <c r="J1501" s="1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</row>
    <row r="1502" spans="2:73" s="38" customFormat="1">
      <c r="B1502" s="1"/>
      <c r="C1502" s="1"/>
      <c r="D1502" s="1"/>
      <c r="E1502" s="1"/>
      <c r="F1502" s="1"/>
      <c r="G1502" s="1"/>
      <c r="H1502" s="1"/>
      <c r="I1502" s="1"/>
      <c r="J1502" s="1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</row>
    <row r="1503" spans="2:73" s="38" customFormat="1">
      <c r="B1503" s="1"/>
      <c r="C1503" s="1"/>
      <c r="D1503" s="1"/>
      <c r="E1503" s="1"/>
      <c r="F1503" s="1"/>
      <c r="G1503" s="1"/>
      <c r="H1503" s="1"/>
      <c r="I1503" s="1"/>
      <c r="J1503" s="1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</row>
    <row r="1504" spans="2:73" s="38" customFormat="1">
      <c r="B1504" s="1"/>
      <c r="C1504" s="1"/>
      <c r="D1504" s="1"/>
      <c r="E1504" s="1"/>
      <c r="F1504" s="1"/>
      <c r="G1504" s="1"/>
      <c r="H1504" s="1"/>
      <c r="I1504" s="1"/>
      <c r="J1504" s="1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</row>
    <row r="1505" spans="2:73" s="38" customFormat="1">
      <c r="B1505" s="1"/>
      <c r="C1505" s="1"/>
      <c r="D1505" s="1"/>
      <c r="E1505" s="1"/>
      <c r="F1505" s="1"/>
      <c r="G1505" s="1"/>
      <c r="H1505" s="1"/>
      <c r="I1505" s="1"/>
      <c r="J1505" s="1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</row>
    <row r="1506" spans="2:73" s="38" customFormat="1">
      <c r="B1506" s="1"/>
      <c r="C1506" s="1"/>
      <c r="D1506" s="1"/>
      <c r="E1506" s="1"/>
      <c r="F1506" s="1"/>
      <c r="G1506" s="1"/>
      <c r="H1506" s="1"/>
      <c r="I1506" s="1"/>
      <c r="J1506" s="1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</row>
    <row r="1507" spans="2:73" s="38" customFormat="1">
      <c r="B1507" s="1"/>
      <c r="C1507" s="1"/>
      <c r="D1507" s="1"/>
      <c r="E1507" s="1"/>
      <c r="F1507" s="1"/>
      <c r="G1507" s="1"/>
      <c r="H1507" s="1"/>
      <c r="I1507" s="1"/>
      <c r="J1507" s="1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</row>
    <row r="1508" spans="2:73" s="38" customFormat="1">
      <c r="B1508" s="1"/>
      <c r="C1508" s="1"/>
      <c r="D1508" s="1"/>
      <c r="E1508" s="1"/>
      <c r="F1508" s="1"/>
      <c r="G1508" s="1"/>
      <c r="H1508" s="1"/>
      <c r="I1508" s="1"/>
      <c r="J1508" s="1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</row>
    <row r="1509" spans="2:73" s="38" customFormat="1">
      <c r="B1509" s="1"/>
      <c r="C1509" s="1"/>
      <c r="D1509" s="1"/>
      <c r="E1509" s="1"/>
      <c r="F1509" s="1"/>
      <c r="G1509" s="1"/>
      <c r="H1509" s="1"/>
      <c r="I1509" s="1"/>
      <c r="J1509" s="1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</row>
    <row r="1510" spans="2:73" s="38" customFormat="1">
      <c r="B1510" s="1"/>
      <c r="C1510" s="1"/>
      <c r="D1510" s="1"/>
      <c r="E1510" s="1"/>
      <c r="F1510" s="1"/>
      <c r="G1510" s="1"/>
      <c r="H1510" s="1"/>
      <c r="I1510" s="1"/>
      <c r="J1510" s="1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</row>
    <row r="1511" spans="2:73" s="38" customFormat="1">
      <c r="B1511" s="1"/>
      <c r="C1511" s="1"/>
      <c r="D1511" s="1"/>
      <c r="E1511" s="1"/>
      <c r="F1511" s="1"/>
      <c r="G1511" s="1"/>
      <c r="H1511" s="1"/>
      <c r="I1511" s="1"/>
      <c r="J1511" s="1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</row>
    <row r="1512" spans="2:73" s="38" customFormat="1">
      <c r="B1512" s="1"/>
      <c r="C1512" s="1"/>
      <c r="D1512" s="1"/>
      <c r="E1512" s="1"/>
      <c r="F1512" s="1"/>
      <c r="G1512" s="1"/>
      <c r="H1512" s="1"/>
      <c r="I1512" s="1"/>
      <c r="J1512" s="1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</row>
    <row r="1513" spans="2:73" s="38" customFormat="1">
      <c r="B1513" s="1"/>
      <c r="C1513" s="1"/>
      <c r="D1513" s="1"/>
      <c r="E1513" s="1"/>
      <c r="F1513" s="1"/>
      <c r="G1513" s="1"/>
      <c r="H1513" s="1"/>
      <c r="I1513" s="1"/>
      <c r="J1513" s="1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</row>
    <row r="1514" spans="2:73" s="38" customFormat="1">
      <c r="B1514" s="1"/>
      <c r="C1514" s="1"/>
      <c r="D1514" s="1"/>
      <c r="E1514" s="1"/>
      <c r="F1514" s="1"/>
      <c r="G1514" s="1"/>
      <c r="H1514" s="1"/>
      <c r="I1514" s="1"/>
      <c r="J1514" s="1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</row>
    <row r="1515" spans="2:73" s="38" customFormat="1">
      <c r="B1515" s="1"/>
      <c r="C1515" s="1"/>
      <c r="D1515" s="1"/>
      <c r="E1515" s="1"/>
      <c r="F1515" s="1"/>
      <c r="G1515" s="1"/>
      <c r="H1515" s="1"/>
      <c r="I1515" s="1"/>
      <c r="J1515" s="1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</row>
    <row r="1516" spans="2:73" s="38" customFormat="1">
      <c r="B1516" s="1"/>
      <c r="C1516" s="1"/>
      <c r="D1516" s="1"/>
      <c r="E1516" s="1"/>
      <c r="F1516" s="1"/>
      <c r="G1516" s="1"/>
      <c r="H1516" s="1"/>
      <c r="I1516" s="1"/>
      <c r="J1516" s="1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</row>
    <row r="1517" spans="2:73" s="38" customFormat="1">
      <c r="B1517" s="1"/>
      <c r="C1517" s="1"/>
      <c r="D1517" s="1"/>
      <c r="E1517" s="1"/>
      <c r="F1517" s="1"/>
      <c r="G1517" s="1"/>
      <c r="H1517" s="1"/>
      <c r="I1517" s="1"/>
      <c r="J1517" s="1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</row>
    <row r="1518" spans="2:73" s="38" customFormat="1">
      <c r="B1518" s="1"/>
      <c r="C1518" s="1"/>
      <c r="D1518" s="1"/>
      <c r="E1518" s="1"/>
      <c r="F1518" s="1"/>
      <c r="G1518" s="1"/>
      <c r="H1518" s="1"/>
      <c r="I1518" s="1"/>
      <c r="J1518" s="1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</row>
    <row r="1519" spans="2:73" s="38" customFormat="1">
      <c r="B1519" s="1"/>
      <c r="C1519" s="1"/>
      <c r="D1519" s="1"/>
      <c r="E1519" s="1"/>
      <c r="F1519" s="1"/>
      <c r="G1519" s="1"/>
      <c r="H1519" s="1"/>
      <c r="I1519" s="1"/>
      <c r="J1519" s="1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</row>
    <row r="1520" spans="2:73" s="38" customFormat="1">
      <c r="B1520" s="1"/>
      <c r="C1520" s="1"/>
      <c r="D1520" s="1"/>
      <c r="E1520" s="1"/>
      <c r="F1520" s="1"/>
      <c r="G1520" s="1"/>
      <c r="H1520" s="1"/>
      <c r="I1520" s="1"/>
      <c r="J1520" s="1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</row>
    <row r="1521" spans="2:73" s="38" customFormat="1">
      <c r="B1521" s="1"/>
      <c r="C1521" s="1"/>
      <c r="D1521" s="1"/>
      <c r="E1521" s="1"/>
      <c r="F1521" s="1"/>
      <c r="G1521" s="1"/>
      <c r="H1521" s="1"/>
      <c r="I1521" s="1"/>
      <c r="J1521" s="1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</row>
    <row r="1522" spans="2:73" s="38" customFormat="1">
      <c r="B1522" s="1"/>
      <c r="C1522" s="1"/>
      <c r="D1522" s="1"/>
      <c r="E1522" s="1"/>
      <c r="F1522" s="1"/>
      <c r="G1522" s="1"/>
      <c r="H1522" s="1"/>
      <c r="I1522" s="1"/>
      <c r="J1522" s="1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</row>
    <row r="1523" spans="2:73" s="38" customFormat="1">
      <c r="B1523" s="1"/>
      <c r="C1523" s="1"/>
      <c r="D1523" s="1"/>
      <c r="E1523" s="1"/>
      <c r="F1523" s="1"/>
      <c r="G1523" s="1"/>
      <c r="H1523" s="1"/>
      <c r="I1523" s="1"/>
      <c r="J1523" s="1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</row>
    <row r="1524" spans="2:73" s="38" customFormat="1">
      <c r="B1524" s="1"/>
      <c r="C1524" s="1"/>
      <c r="D1524" s="1"/>
      <c r="E1524" s="1"/>
      <c r="F1524" s="1"/>
      <c r="G1524" s="1"/>
      <c r="H1524" s="1"/>
      <c r="I1524" s="1"/>
      <c r="J1524" s="1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</row>
    <row r="1525" spans="2:73" s="38" customFormat="1">
      <c r="B1525" s="1"/>
      <c r="C1525" s="1"/>
      <c r="D1525" s="1"/>
      <c r="E1525" s="1"/>
      <c r="F1525" s="1"/>
      <c r="G1525" s="1"/>
      <c r="H1525" s="1"/>
      <c r="I1525" s="1"/>
      <c r="J1525" s="1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</row>
    <row r="1526" spans="2:73" s="38" customFormat="1">
      <c r="B1526" s="1"/>
      <c r="C1526" s="1"/>
      <c r="D1526" s="1"/>
      <c r="E1526" s="1"/>
      <c r="F1526" s="1"/>
      <c r="G1526" s="1"/>
      <c r="H1526" s="1"/>
      <c r="I1526" s="1"/>
      <c r="J1526" s="1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</row>
    <row r="1527" spans="2:73" s="38" customFormat="1">
      <c r="B1527" s="1"/>
      <c r="C1527" s="1"/>
      <c r="D1527" s="1"/>
      <c r="E1527" s="1"/>
      <c r="F1527" s="1"/>
      <c r="G1527" s="1"/>
      <c r="H1527" s="1"/>
      <c r="I1527" s="1"/>
      <c r="J1527" s="1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</row>
    <row r="1528" spans="2:73" s="38" customFormat="1">
      <c r="B1528" s="1"/>
      <c r="C1528" s="1"/>
      <c r="D1528" s="1"/>
      <c r="E1528" s="1"/>
      <c r="F1528" s="1"/>
      <c r="G1528" s="1"/>
      <c r="H1528" s="1"/>
      <c r="I1528" s="1"/>
      <c r="J1528" s="1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</row>
    <row r="1529" spans="2:73" s="38" customFormat="1">
      <c r="B1529" s="1"/>
      <c r="C1529" s="1"/>
      <c r="D1529" s="1"/>
      <c r="E1529" s="1"/>
      <c r="F1529" s="1"/>
      <c r="G1529" s="1"/>
      <c r="H1529" s="1"/>
      <c r="I1529" s="1"/>
      <c r="J1529" s="1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</row>
    <row r="1530" spans="2:73" s="38" customFormat="1">
      <c r="B1530" s="1"/>
      <c r="C1530" s="1"/>
      <c r="D1530" s="1"/>
      <c r="E1530" s="1"/>
      <c r="F1530" s="1"/>
      <c r="G1530" s="1"/>
      <c r="H1530" s="1"/>
      <c r="I1530" s="1"/>
      <c r="J1530" s="1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</row>
    <row r="1531" spans="2:73" s="38" customFormat="1">
      <c r="B1531" s="1"/>
      <c r="C1531" s="1"/>
      <c r="D1531" s="1"/>
      <c r="E1531" s="1"/>
      <c r="F1531" s="1"/>
      <c r="G1531" s="1"/>
      <c r="H1531" s="1"/>
      <c r="I1531" s="1"/>
      <c r="J1531" s="1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</row>
    <row r="1532" spans="2:73" s="38" customFormat="1">
      <c r="B1532" s="1"/>
      <c r="C1532" s="1"/>
      <c r="D1532" s="1"/>
      <c r="E1532" s="1"/>
      <c r="F1532" s="1"/>
      <c r="G1532" s="1"/>
      <c r="H1532" s="1"/>
      <c r="I1532" s="1"/>
      <c r="J1532" s="1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</row>
    <row r="1533" spans="2:73" s="38" customFormat="1">
      <c r="B1533" s="1"/>
      <c r="C1533" s="1"/>
      <c r="D1533" s="1"/>
      <c r="E1533" s="1"/>
      <c r="F1533" s="1"/>
      <c r="G1533" s="1"/>
      <c r="H1533" s="1"/>
      <c r="I1533" s="1"/>
      <c r="J1533" s="1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</row>
    <row r="1534" spans="2:73" s="38" customFormat="1">
      <c r="B1534" s="1"/>
      <c r="C1534" s="1"/>
      <c r="D1534" s="1"/>
      <c r="E1534" s="1"/>
      <c r="F1534" s="1"/>
      <c r="G1534" s="1"/>
      <c r="H1534" s="1"/>
      <c r="I1534" s="1"/>
      <c r="J1534" s="1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</row>
    <row r="1535" spans="2:73" s="38" customFormat="1">
      <c r="B1535" s="1"/>
      <c r="C1535" s="1"/>
      <c r="D1535" s="1"/>
      <c r="E1535" s="1"/>
      <c r="F1535" s="1"/>
      <c r="G1535" s="1"/>
      <c r="H1535" s="1"/>
      <c r="I1535" s="1"/>
      <c r="J1535" s="1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</row>
    <row r="1536" spans="2:73" s="38" customFormat="1">
      <c r="B1536" s="1"/>
      <c r="C1536" s="1"/>
      <c r="D1536" s="1"/>
      <c r="E1536" s="1"/>
      <c r="F1536" s="1"/>
      <c r="G1536" s="1"/>
      <c r="H1536" s="1"/>
      <c r="I1536" s="1"/>
      <c r="J1536" s="1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</row>
    <row r="1537" spans="2:73" s="38" customFormat="1">
      <c r="B1537" s="1"/>
      <c r="C1537" s="1"/>
      <c r="D1537" s="1"/>
      <c r="E1537" s="1"/>
      <c r="F1537" s="1"/>
      <c r="G1537" s="1"/>
      <c r="H1537" s="1"/>
      <c r="I1537" s="1"/>
      <c r="J1537" s="1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</row>
    <row r="1538" spans="2:73" s="38" customFormat="1">
      <c r="B1538" s="1"/>
      <c r="C1538" s="1"/>
      <c r="D1538" s="1"/>
      <c r="E1538" s="1"/>
      <c r="F1538" s="1"/>
      <c r="G1538" s="1"/>
      <c r="H1538" s="1"/>
      <c r="I1538" s="1"/>
      <c r="J1538" s="1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</row>
    <row r="1539" spans="2:73" s="38" customFormat="1">
      <c r="B1539" s="1"/>
      <c r="C1539" s="1"/>
      <c r="D1539" s="1"/>
      <c r="E1539" s="1"/>
      <c r="F1539" s="1"/>
      <c r="G1539" s="1"/>
      <c r="H1539" s="1"/>
      <c r="I1539" s="1"/>
      <c r="J1539" s="1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</row>
    <row r="1540" spans="2:73" s="38" customFormat="1">
      <c r="B1540" s="1"/>
      <c r="C1540" s="1"/>
      <c r="D1540" s="1"/>
      <c r="E1540" s="1"/>
      <c r="F1540" s="1"/>
      <c r="G1540" s="1"/>
      <c r="H1540" s="1"/>
      <c r="I1540" s="1"/>
      <c r="J1540" s="1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</row>
    <row r="1541" spans="2:73" s="38" customFormat="1">
      <c r="B1541" s="1"/>
      <c r="C1541" s="1"/>
      <c r="D1541" s="1"/>
      <c r="E1541" s="1"/>
      <c r="F1541" s="1"/>
      <c r="G1541" s="1"/>
      <c r="H1541" s="1"/>
      <c r="I1541" s="1"/>
      <c r="J1541" s="1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</row>
    <row r="1542" spans="2:73" s="38" customFormat="1">
      <c r="B1542" s="1"/>
      <c r="C1542" s="1"/>
      <c r="D1542" s="1"/>
      <c r="E1542" s="1"/>
      <c r="F1542" s="1"/>
      <c r="G1542" s="1"/>
      <c r="H1542" s="1"/>
      <c r="I1542" s="1"/>
      <c r="J1542" s="1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</row>
    <row r="1543" spans="2:73" s="38" customFormat="1">
      <c r="B1543" s="1"/>
      <c r="C1543" s="1"/>
      <c r="D1543" s="1"/>
      <c r="E1543" s="1"/>
      <c r="F1543" s="1"/>
      <c r="G1543" s="1"/>
      <c r="H1543" s="1"/>
      <c r="I1543" s="1"/>
      <c r="J1543" s="1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</row>
    <row r="1544" spans="2:73" s="38" customFormat="1">
      <c r="B1544" s="1"/>
      <c r="C1544" s="1"/>
      <c r="D1544" s="1"/>
      <c r="E1544" s="1"/>
      <c r="F1544" s="1"/>
      <c r="G1544" s="1"/>
      <c r="H1544" s="1"/>
      <c r="I1544" s="1"/>
      <c r="J1544" s="1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</row>
    <row r="1545" spans="2:73" s="38" customFormat="1">
      <c r="B1545" s="1"/>
      <c r="C1545" s="1"/>
      <c r="D1545" s="1"/>
      <c r="E1545" s="1"/>
      <c r="F1545" s="1"/>
      <c r="G1545" s="1"/>
      <c r="H1545" s="1"/>
      <c r="I1545" s="1"/>
      <c r="J1545" s="1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</row>
    <row r="1546" spans="2:73" s="38" customFormat="1">
      <c r="B1546" s="1"/>
      <c r="C1546" s="1"/>
      <c r="D1546" s="1"/>
      <c r="E1546" s="1"/>
      <c r="F1546" s="1"/>
      <c r="G1546" s="1"/>
      <c r="H1546" s="1"/>
      <c r="I1546" s="1"/>
      <c r="J1546" s="1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</row>
    <row r="1547" spans="2:73" s="38" customFormat="1">
      <c r="B1547" s="1"/>
      <c r="C1547" s="1"/>
      <c r="D1547" s="1"/>
      <c r="E1547" s="1"/>
      <c r="F1547" s="1"/>
      <c r="G1547" s="1"/>
      <c r="H1547" s="1"/>
      <c r="I1547" s="1"/>
      <c r="J1547" s="1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</row>
    <row r="1548" spans="2:73" s="38" customFormat="1">
      <c r="B1548" s="1"/>
      <c r="C1548" s="1"/>
      <c r="D1548" s="1"/>
      <c r="E1548" s="1"/>
      <c r="F1548" s="1"/>
      <c r="G1548" s="1"/>
      <c r="H1548" s="1"/>
      <c r="I1548" s="1"/>
      <c r="J1548" s="1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</row>
    <row r="1549" spans="2:73" s="38" customFormat="1">
      <c r="B1549" s="1"/>
      <c r="C1549" s="1"/>
      <c r="D1549" s="1"/>
      <c r="E1549" s="1"/>
      <c r="F1549" s="1"/>
      <c r="G1549" s="1"/>
      <c r="H1549" s="1"/>
      <c r="I1549" s="1"/>
      <c r="J1549" s="1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</row>
    <row r="1550" spans="2:73" s="38" customFormat="1">
      <c r="B1550" s="1"/>
      <c r="C1550" s="1"/>
      <c r="D1550" s="1"/>
      <c r="E1550" s="1"/>
      <c r="F1550" s="1"/>
      <c r="G1550" s="1"/>
      <c r="H1550" s="1"/>
      <c r="I1550" s="1"/>
      <c r="J1550" s="1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</row>
    <row r="1551" spans="2:73" s="38" customFormat="1">
      <c r="B1551" s="1"/>
      <c r="C1551" s="1"/>
      <c r="D1551" s="1"/>
      <c r="E1551" s="1"/>
      <c r="F1551" s="1"/>
      <c r="G1551" s="1"/>
      <c r="H1551" s="1"/>
      <c r="I1551" s="1"/>
      <c r="J1551" s="1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</row>
    <row r="1552" spans="2:73" s="38" customFormat="1">
      <c r="B1552" s="1"/>
      <c r="C1552" s="1"/>
      <c r="D1552" s="1"/>
      <c r="E1552" s="1"/>
      <c r="F1552" s="1"/>
      <c r="G1552" s="1"/>
      <c r="H1552" s="1"/>
      <c r="I1552" s="1"/>
      <c r="J1552" s="1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</row>
    <row r="1553" spans="2:73" s="38" customFormat="1">
      <c r="B1553" s="1"/>
      <c r="C1553" s="1"/>
      <c r="D1553" s="1"/>
      <c r="E1553" s="1"/>
      <c r="F1553" s="1"/>
      <c r="G1553" s="1"/>
      <c r="H1553" s="1"/>
      <c r="I1553" s="1"/>
      <c r="J1553" s="1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</row>
    <row r="1554" spans="2:73" s="38" customFormat="1">
      <c r="B1554" s="1"/>
      <c r="C1554" s="1"/>
      <c r="D1554" s="1"/>
      <c r="E1554" s="1"/>
      <c r="F1554" s="1"/>
      <c r="G1554" s="1"/>
      <c r="H1554" s="1"/>
      <c r="I1554" s="1"/>
      <c r="J1554" s="1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</row>
    <row r="1555" spans="2:73" s="38" customFormat="1">
      <c r="B1555" s="1"/>
      <c r="C1555" s="1"/>
      <c r="D1555" s="1"/>
      <c r="E1555" s="1"/>
      <c r="F1555" s="1"/>
      <c r="G1555" s="1"/>
      <c r="H1555" s="1"/>
      <c r="I1555" s="1"/>
      <c r="J1555" s="1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</row>
    <row r="1556" spans="2:73" s="38" customFormat="1">
      <c r="B1556" s="1"/>
      <c r="C1556" s="1"/>
      <c r="D1556" s="1"/>
      <c r="E1556" s="1"/>
      <c r="F1556" s="1"/>
      <c r="G1556" s="1"/>
      <c r="H1556" s="1"/>
      <c r="I1556" s="1"/>
      <c r="J1556" s="1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</row>
    <row r="1557" spans="2:73" s="38" customFormat="1">
      <c r="B1557" s="1"/>
      <c r="C1557" s="1"/>
      <c r="D1557" s="1"/>
      <c r="E1557" s="1"/>
      <c r="F1557" s="1"/>
      <c r="G1557" s="1"/>
      <c r="H1557" s="1"/>
      <c r="I1557" s="1"/>
      <c r="J1557" s="1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</row>
    <row r="1558" spans="2:73" s="38" customFormat="1">
      <c r="B1558" s="1"/>
      <c r="C1558" s="1"/>
      <c r="D1558" s="1"/>
      <c r="E1558" s="1"/>
      <c r="F1558" s="1"/>
      <c r="G1558" s="1"/>
      <c r="H1558" s="1"/>
      <c r="I1558" s="1"/>
      <c r="J1558" s="1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</row>
    <row r="1559" spans="2:73" s="38" customFormat="1">
      <c r="B1559" s="1"/>
      <c r="C1559" s="1"/>
      <c r="D1559" s="1"/>
      <c r="E1559" s="1"/>
      <c r="F1559" s="1"/>
      <c r="G1559" s="1"/>
      <c r="H1559" s="1"/>
      <c r="I1559" s="1"/>
      <c r="J1559" s="1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</row>
    <row r="1560" spans="2:73" s="38" customFormat="1">
      <c r="B1560" s="1"/>
      <c r="C1560" s="1"/>
      <c r="D1560" s="1"/>
      <c r="E1560" s="1"/>
      <c r="F1560" s="1"/>
      <c r="G1560" s="1"/>
      <c r="H1560" s="1"/>
      <c r="I1560" s="1"/>
      <c r="J1560" s="1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</row>
    <row r="1561" spans="2:73" s="38" customFormat="1">
      <c r="B1561" s="1"/>
      <c r="C1561" s="1"/>
      <c r="D1561" s="1"/>
      <c r="E1561" s="1"/>
      <c r="F1561" s="1"/>
      <c r="G1561" s="1"/>
      <c r="H1561" s="1"/>
      <c r="I1561" s="1"/>
      <c r="J1561" s="1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</row>
    <row r="1562" spans="2:73" s="38" customFormat="1">
      <c r="B1562" s="1"/>
      <c r="C1562" s="1"/>
      <c r="D1562" s="1"/>
      <c r="E1562" s="1"/>
      <c r="F1562" s="1"/>
      <c r="G1562" s="1"/>
      <c r="H1562" s="1"/>
      <c r="I1562" s="1"/>
      <c r="J1562" s="1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</row>
    <row r="1563" spans="2:73" s="38" customFormat="1">
      <c r="B1563" s="1"/>
      <c r="C1563" s="1"/>
      <c r="D1563" s="1"/>
      <c r="E1563" s="1"/>
      <c r="F1563" s="1"/>
      <c r="G1563" s="1"/>
      <c r="H1563" s="1"/>
      <c r="I1563" s="1"/>
      <c r="J1563" s="1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</row>
    <row r="1564" spans="2:73" s="38" customFormat="1">
      <c r="B1564" s="1"/>
      <c r="C1564" s="1"/>
      <c r="D1564" s="1"/>
      <c r="E1564" s="1"/>
      <c r="F1564" s="1"/>
      <c r="G1564" s="1"/>
      <c r="H1564" s="1"/>
      <c r="I1564" s="1"/>
      <c r="J1564" s="1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</row>
    <row r="1565" spans="2:73" s="38" customFormat="1">
      <c r="B1565" s="1"/>
      <c r="C1565" s="1"/>
      <c r="D1565" s="1"/>
      <c r="E1565" s="1"/>
      <c r="F1565" s="1"/>
      <c r="G1565" s="1"/>
      <c r="H1565" s="1"/>
      <c r="I1565" s="1"/>
      <c r="J1565" s="1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</row>
    <row r="1566" spans="2:73" s="38" customFormat="1">
      <c r="B1566" s="1"/>
      <c r="C1566" s="1"/>
      <c r="D1566" s="1"/>
      <c r="E1566" s="1"/>
      <c r="F1566" s="1"/>
      <c r="G1566" s="1"/>
      <c r="H1566" s="1"/>
      <c r="I1566" s="1"/>
      <c r="J1566" s="1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</row>
    <row r="1567" spans="2:73" s="38" customFormat="1">
      <c r="B1567" s="1"/>
      <c r="C1567" s="1"/>
      <c r="D1567" s="1"/>
      <c r="E1567" s="1"/>
      <c r="F1567" s="1"/>
      <c r="G1567" s="1"/>
      <c r="H1567" s="1"/>
      <c r="I1567" s="1"/>
      <c r="J1567" s="1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</row>
    <row r="1568" spans="2:73" s="38" customFormat="1">
      <c r="B1568" s="1"/>
      <c r="C1568" s="1"/>
      <c r="D1568" s="1"/>
      <c r="E1568" s="1"/>
      <c r="F1568" s="1"/>
      <c r="G1568" s="1"/>
      <c r="H1568" s="1"/>
      <c r="I1568" s="1"/>
      <c r="J1568" s="1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</row>
    <row r="1569" spans="2:73" s="38" customFormat="1">
      <c r="B1569" s="1"/>
      <c r="C1569" s="1"/>
      <c r="D1569" s="1"/>
      <c r="E1569" s="1"/>
      <c r="F1569" s="1"/>
      <c r="G1569" s="1"/>
      <c r="H1569" s="1"/>
      <c r="I1569" s="1"/>
      <c r="J1569" s="1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</row>
    <row r="1570" spans="2:73" s="38" customFormat="1">
      <c r="B1570" s="1"/>
      <c r="C1570" s="1"/>
      <c r="D1570" s="1"/>
      <c r="E1570" s="1"/>
      <c r="F1570" s="1"/>
      <c r="G1570" s="1"/>
      <c r="H1570" s="1"/>
      <c r="I1570" s="1"/>
      <c r="J1570" s="1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</row>
    <row r="1571" spans="2:73" s="38" customFormat="1">
      <c r="B1571" s="1"/>
      <c r="C1571" s="1"/>
      <c r="D1571" s="1"/>
      <c r="E1571" s="1"/>
      <c r="F1571" s="1"/>
      <c r="G1571" s="1"/>
      <c r="H1571" s="1"/>
      <c r="I1571" s="1"/>
      <c r="J1571" s="1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</row>
    <row r="1572" spans="2:73" s="38" customFormat="1">
      <c r="B1572" s="1"/>
      <c r="C1572" s="1"/>
      <c r="D1572" s="1"/>
      <c r="E1572" s="1"/>
      <c r="F1572" s="1"/>
      <c r="G1572" s="1"/>
      <c r="H1572" s="1"/>
      <c r="I1572" s="1"/>
      <c r="J1572" s="1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</row>
    <row r="1573" spans="2:73" s="38" customFormat="1">
      <c r="B1573" s="1"/>
      <c r="C1573" s="1"/>
      <c r="D1573" s="1"/>
      <c r="E1573" s="1"/>
      <c r="F1573" s="1"/>
      <c r="G1573" s="1"/>
      <c r="H1573" s="1"/>
      <c r="I1573" s="1"/>
      <c r="J1573" s="1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</row>
    <row r="1574" spans="2:73" s="38" customFormat="1">
      <c r="B1574" s="1"/>
      <c r="C1574" s="1"/>
      <c r="D1574" s="1"/>
      <c r="E1574" s="1"/>
      <c r="F1574" s="1"/>
      <c r="G1574" s="1"/>
      <c r="H1574" s="1"/>
      <c r="I1574" s="1"/>
      <c r="J1574" s="1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</row>
    <row r="1575" spans="2:73" s="38" customFormat="1">
      <c r="B1575" s="1"/>
      <c r="C1575" s="1"/>
      <c r="D1575" s="1"/>
      <c r="E1575" s="1"/>
      <c r="F1575" s="1"/>
      <c r="G1575" s="1"/>
      <c r="H1575" s="1"/>
      <c r="I1575" s="1"/>
      <c r="J1575" s="1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</row>
    <row r="1576" spans="2:73" s="38" customFormat="1">
      <c r="B1576" s="1"/>
      <c r="C1576" s="1"/>
      <c r="D1576" s="1"/>
      <c r="E1576" s="1"/>
      <c r="F1576" s="1"/>
      <c r="G1576" s="1"/>
      <c r="H1576" s="1"/>
      <c r="I1576" s="1"/>
      <c r="J1576" s="1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</row>
    <row r="1577" spans="2:73" s="38" customFormat="1">
      <c r="B1577" s="1"/>
      <c r="C1577" s="1"/>
      <c r="D1577" s="1"/>
      <c r="E1577" s="1"/>
      <c r="F1577" s="1"/>
      <c r="G1577" s="1"/>
      <c r="H1577" s="1"/>
      <c r="I1577" s="1"/>
      <c r="J1577" s="1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</row>
    <row r="1578" spans="2:73" s="38" customFormat="1">
      <c r="B1578" s="1"/>
      <c r="C1578" s="1"/>
      <c r="D1578" s="1"/>
      <c r="E1578" s="1"/>
      <c r="F1578" s="1"/>
      <c r="G1578" s="1"/>
      <c r="H1578" s="1"/>
      <c r="I1578" s="1"/>
      <c r="J1578" s="1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</row>
    <row r="1579" spans="2:73" s="38" customFormat="1">
      <c r="B1579" s="1"/>
      <c r="C1579" s="1"/>
      <c r="D1579" s="1"/>
      <c r="E1579" s="1"/>
      <c r="F1579" s="1"/>
      <c r="G1579" s="1"/>
      <c r="H1579" s="1"/>
      <c r="I1579" s="1"/>
      <c r="J1579" s="1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</row>
    <row r="1580" spans="2:73" s="38" customFormat="1">
      <c r="B1580" s="1"/>
      <c r="C1580" s="1"/>
      <c r="D1580" s="1"/>
      <c r="E1580" s="1"/>
      <c r="F1580" s="1"/>
      <c r="G1580" s="1"/>
      <c r="H1580" s="1"/>
      <c r="I1580" s="1"/>
      <c r="J1580" s="1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</row>
    <row r="1581" spans="2:73" s="38" customFormat="1">
      <c r="B1581" s="1"/>
      <c r="C1581" s="1"/>
      <c r="D1581" s="1"/>
      <c r="E1581" s="1"/>
      <c r="F1581" s="1"/>
      <c r="G1581" s="1"/>
      <c r="H1581" s="1"/>
      <c r="I1581" s="1"/>
      <c r="J1581" s="1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</row>
    <row r="1582" spans="2:73" s="38" customFormat="1">
      <c r="B1582" s="1"/>
      <c r="C1582" s="1"/>
      <c r="D1582" s="1"/>
      <c r="E1582" s="1"/>
      <c r="F1582" s="1"/>
      <c r="G1582" s="1"/>
      <c r="H1582" s="1"/>
      <c r="I1582" s="1"/>
      <c r="J1582" s="1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</row>
    <row r="1583" spans="2:73" s="38" customFormat="1">
      <c r="B1583" s="1"/>
      <c r="C1583" s="1"/>
      <c r="D1583" s="1"/>
      <c r="E1583" s="1"/>
      <c r="F1583" s="1"/>
      <c r="G1583" s="1"/>
      <c r="H1583" s="1"/>
      <c r="I1583" s="1"/>
      <c r="J1583" s="1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</row>
    <row r="1584" spans="2:73" s="38" customFormat="1">
      <c r="B1584" s="1"/>
      <c r="C1584" s="1"/>
      <c r="D1584" s="1"/>
      <c r="E1584" s="1"/>
      <c r="F1584" s="1"/>
      <c r="G1584" s="1"/>
      <c r="H1584" s="1"/>
      <c r="I1584" s="1"/>
      <c r="J1584" s="1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</row>
    <row r="1585" spans="2:73" s="38" customFormat="1">
      <c r="B1585" s="1"/>
      <c r="C1585" s="1"/>
      <c r="D1585" s="1"/>
      <c r="E1585" s="1"/>
      <c r="F1585" s="1"/>
      <c r="G1585" s="1"/>
      <c r="H1585" s="1"/>
      <c r="I1585" s="1"/>
      <c r="J1585" s="1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</row>
    <row r="1586" spans="2:73" s="38" customFormat="1">
      <c r="B1586" s="1"/>
      <c r="C1586" s="1"/>
      <c r="D1586" s="1"/>
      <c r="E1586" s="1"/>
      <c r="F1586" s="1"/>
      <c r="G1586" s="1"/>
      <c r="H1586" s="1"/>
      <c r="I1586" s="1"/>
      <c r="J1586" s="1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</row>
    <row r="1587" spans="2:73" s="38" customFormat="1">
      <c r="B1587" s="1"/>
      <c r="C1587" s="1"/>
      <c r="D1587" s="1"/>
      <c r="E1587" s="1"/>
      <c r="F1587" s="1"/>
      <c r="G1587" s="1"/>
      <c r="H1587" s="1"/>
      <c r="I1587" s="1"/>
      <c r="J1587" s="1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</row>
    <row r="1588" spans="2:73" s="38" customFormat="1">
      <c r="B1588" s="1"/>
      <c r="C1588" s="1"/>
      <c r="D1588" s="1"/>
      <c r="E1588" s="1"/>
      <c r="F1588" s="1"/>
      <c r="G1588" s="1"/>
      <c r="H1588" s="1"/>
      <c r="I1588" s="1"/>
      <c r="J1588" s="1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</row>
    <row r="1589" spans="2:73" s="38" customFormat="1">
      <c r="B1589" s="1"/>
      <c r="C1589" s="1"/>
      <c r="D1589" s="1"/>
      <c r="E1589" s="1"/>
      <c r="F1589" s="1"/>
      <c r="G1589" s="1"/>
      <c r="H1589" s="1"/>
      <c r="I1589" s="1"/>
      <c r="J1589" s="1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</row>
    <row r="1590" spans="2:73" s="38" customFormat="1">
      <c r="B1590" s="1"/>
      <c r="C1590" s="1"/>
      <c r="D1590" s="1"/>
      <c r="E1590" s="1"/>
      <c r="F1590" s="1"/>
      <c r="G1590" s="1"/>
      <c r="H1590" s="1"/>
      <c r="I1590" s="1"/>
      <c r="J1590" s="1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</row>
    <row r="1591" spans="2:73" s="38" customFormat="1">
      <c r="B1591" s="1"/>
      <c r="C1591" s="1"/>
      <c r="D1591" s="1"/>
      <c r="E1591" s="1"/>
      <c r="F1591" s="1"/>
      <c r="G1591" s="1"/>
      <c r="H1591" s="1"/>
      <c r="I1591" s="1"/>
      <c r="J1591" s="1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</row>
    <row r="1592" spans="2:73" s="38" customFormat="1">
      <c r="B1592" s="1"/>
      <c r="C1592" s="1"/>
      <c r="D1592" s="1"/>
      <c r="E1592" s="1"/>
      <c r="F1592" s="1"/>
      <c r="G1592" s="1"/>
      <c r="H1592" s="1"/>
      <c r="I1592" s="1"/>
      <c r="J1592" s="1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</row>
    <row r="1593" spans="2:73" s="38" customFormat="1">
      <c r="B1593" s="1"/>
      <c r="C1593" s="1"/>
      <c r="D1593" s="1"/>
      <c r="E1593" s="1"/>
      <c r="F1593" s="1"/>
      <c r="G1593" s="1"/>
      <c r="H1593" s="1"/>
      <c r="I1593" s="1"/>
      <c r="J1593" s="1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</row>
    <row r="1594" spans="2:73" s="38" customFormat="1">
      <c r="B1594" s="1"/>
      <c r="C1594" s="1"/>
      <c r="D1594" s="1"/>
      <c r="E1594" s="1"/>
      <c r="F1594" s="1"/>
      <c r="G1594" s="1"/>
      <c r="H1594" s="1"/>
      <c r="I1594" s="1"/>
      <c r="J1594" s="1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</row>
    <row r="1595" spans="2:73" s="38" customFormat="1">
      <c r="B1595" s="1"/>
      <c r="C1595" s="1"/>
      <c r="D1595" s="1"/>
      <c r="E1595" s="1"/>
      <c r="F1595" s="1"/>
      <c r="G1595" s="1"/>
      <c r="H1595" s="1"/>
      <c r="I1595" s="1"/>
      <c r="J1595" s="1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</row>
    <row r="1596" spans="2:73" s="38" customFormat="1">
      <c r="B1596" s="1"/>
      <c r="C1596" s="1"/>
      <c r="D1596" s="1"/>
      <c r="E1596" s="1"/>
      <c r="F1596" s="1"/>
      <c r="G1596" s="1"/>
      <c r="H1596" s="1"/>
      <c r="I1596" s="1"/>
      <c r="J1596" s="1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</row>
    <row r="1597" spans="2:73" s="38" customFormat="1">
      <c r="B1597" s="1"/>
      <c r="C1597" s="1"/>
      <c r="D1597" s="1"/>
      <c r="E1597" s="1"/>
      <c r="F1597" s="1"/>
      <c r="G1597" s="1"/>
      <c r="H1597" s="1"/>
      <c r="I1597" s="1"/>
      <c r="J1597" s="1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</row>
    <row r="1598" spans="2:73" s="38" customFormat="1">
      <c r="B1598" s="1"/>
      <c r="C1598" s="1"/>
      <c r="D1598" s="1"/>
      <c r="E1598" s="1"/>
      <c r="F1598" s="1"/>
      <c r="G1598" s="1"/>
      <c r="H1598" s="1"/>
      <c r="I1598" s="1"/>
      <c r="J1598" s="1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</row>
    <row r="1599" spans="2:73" s="38" customFormat="1">
      <c r="B1599" s="1"/>
      <c r="C1599" s="1"/>
      <c r="D1599" s="1"/>
      <c r="E1599" s="1"/>
      <c r="F1599" s="1"/>
      <c r="G1599" s="1"/>
      <c r="H1599" s="1"/>
      <c r="I1599" s="1"/>
      <c r="J1599" s="1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</row>
    <row r="1600" spans="2:73" s="38" customFormat="1">
      <c r="B1600" s="1"/>
      <c r="C1600" s="1"/>
      <c r="D1600" s="1"/>
      <c r="E1600" s="1"/>
      <c r="F1600" s="1"/>
      <c r="G1600" s="1"/>
      <c r="H1600" s="1"/>
      <c r="I1600" s="1"/>
      <c r="J1600" s="1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</row>
    <row r="1601" spans="2:73" s="38" customFormat="1">
      <c r="B1601" s="1"/>
      <c r="C1601" s="1"/>
      <c r="D1601" s="1"/>
      <c r="E1601" s="1"/>
      <c r="F1601" s="1"/>
      <c r="G1601" s="1"/>
      <c r="H1601" s="1"/>
      <c r="I1601" s="1"/>
      <c r="J1601" s="1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</row>
    <row r="1602" spans="2:73" s="38" customFormat="1">
      <c r="B1602" s="1"/>
      <c r="C1602" s="1"/>
      <c r="D1602" s="1"/>
      <c r="E1602" s="1"/>
      <c r="F1602" s="1"/>
      <c r="G1602" s="1"/>
      <c r="H1602" s="1"/>
      <c r="I1602" s="1"/>
      <c r="J1602" s="1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</row>
    <row r="1603" spans="2:73" s="38" customFormat="1">
      <c r="B1603" s="1"/>
      <c r="C1603" s="1"/>
      <c r="D1603" s="1"/>
      <c r="E1603" s="1"/>
      <c r="F1603" s="1"/>
      <c r="G1603" s="1"/>
      <c r="H1603" s="1"/>
      <c r="I1603" s="1"/>
      <c r="J1603" s="1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</row>
    <row r="1604" spans="2:73" s="38" customFormat="1">
      <c r="B1604" s="1"/>
      <c r="C1604" s="1"/>
      <c r="D1604" s="1"/>
      <c r="E1604" s="1"/>
      <c r="F1604" s="1"/>
      <c r="G1604" s="1"/>
      <c r="H1604" s="1"/>
      <c r="I1604" s="1"/>
      <c r="J1604" s="1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</row>
    <row r="1605" spans="2:73" s="38" customFormat="1">
      <c r="B1605" s="1"/>
      <c r="C1605" s="1"/>
      <c r="D1605" s="1"/>
      <c r="E1605" s="1"/>
      <c r="F1605" s="1"/>
      <c r="G1605" s="1"/>
      <c r="H1605" s="1"/>
      <c r="I1605" s="1"/>
      <c r="J1605" s="1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</row>
    <row r="1606" spans="2:73" s="38" customFormat="1">
      <c r="B1606" s="1"/>
      <c r="C1606" s="1"/>
      <c r="D1606" s="1"/>
      <c r="E1606" s="1"/>
      <c r="F1606" s="1"/>
      <c r="G1606" s="1"/>
      <c r="H1606" s="1"/>
      <c r="I1606" s="1"/>
      <c r="J1606" s="1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</row>
    <row r="1607" spans="2:73" s="38" customFormat="1">
      <c r="B1607" s="1"/>
      <c r="C1607" s="1"/>
      <c r="D1607" s="1"/>
      <c r="E1607" s="1"/>
      <c r="F1607" s="1"/>
      <c r="G1607" s="1"/>
      <c r="H1607" s="1"/>
      <c r="I1607" s="1"/>
      <c r="J1607" s="1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</row>
    <row r="1608" spans="2:73" s="38" customFormat="1">
      <c r="B1608" s="1"/>
      <c r="C1608" s="1"/>
      <c r="D1608" s="1"/>
      <c r="E1608" s="1"/>
      <c r="F1608" s="1"/>
      <c r="G1608" s="1"/>
      <c r="H1608" s="1"/>
      <c r="I1608" s="1"/>
      <c r="J1608" s="1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</row>
    <row r="1609" spans="2:73" s="38" customFormat="1">
      <c r="B1609" s="1"/>
      <c r="C1609" s="1"/>
      <c r="D1609" s="1"/>
      <c r="E1609" s="1"/>
      <c r="F1609" s="1"/>
      <c r="G1609" s="1"/>
      <c r="H1609" s="1"/>
      <c r="I1609" s="1"/>
      <c r="J1609" s="1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</row>
    <row r="1610" spans="2:73" s="38" customFormat="1">
      <c r="B1610" s="1"/>
      <c r="C1610" s="1"/>
      <c r="D1610" s="1"/>
      <c r="E1610" s="1"/>
      <c r="F1610" s="1"/>
      <c r="G1610" s="1"/>
      <c r="H1610" s="1"/>
      <c r="I1610" s="1"/>
      <c r="J1610" s="1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</row>
    <row r="1611" spans="2:73" s="38" customFormat="1">
      <c r="B1611" s="1"/>
      <c r="C1611" s="1"/>
      <c r="D1611" s="1"/>
      <c r="E1611" s="1"/>
      <c r="F1611" s="1"/>
      <c r="G1611" s="1"/>
      <c r="H1611" s="1"/>
      <c r="I1611" s="1"/>
      <c r="J1611" s="1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</row>
    <row r="1612" spans="2:73" s="38" customFormat="1">
      <c r="B1612" s="1"/>
      <c r="C1612" s="1"/>
      <c r="D1612" s="1"/>
      <c r="E1612" s="1"/>
      <c r="F1612" s="1"/>
      <c r="G1612" s="1"/>
      <c r="H1612" s="1"/>
      <c r="I1612" s="1"/>
      <c r="J1612" s="1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</row>
    <row r="1613" spans="2:73" s="38" customFormat="1">
      <c r="B1613" s="1"/>
      <c r="C1613" s="1"/>
      <c r="D1613" s="1"/>
      <c r="E1613" s="1"/>
      <c r="F1613" s="1"/>
      <c r="G1613" s="1"/>
      <c r="H1613" s="1"/>
      <c r="I1613" s="1"/>
      <c r="J1613" s="1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</row>
    <row r="1614" spans="2:73" s="38" customFormat="1">
      <c r="B1614" s="1"/>
      <c r="C1614" s="1"/>
      <c r="D1614" s="1"/>
      <c r="E1614" s="1"/>
      <c r="F1614" s="1"/>
      <c r="G1614" s="1"/>
      <c r="H1614" s="1"/>
      <c r="I1614" s="1"/>
      <c r="J1614" s="1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</row>
    <row r="1615" spans="2:73" s="38" customFormat="1">
      <c r="B1615" s="1"/>
      <c r="C1615" s="1"/>
      <c r="D1615" s="1"/>
      <c r="E1615" s="1"/>
      <c r="F1615" s="1"/>
      <c r="G1615" s="1"/>
      <c r="H1615" s="1"/>
      <c r="I1615" s="1"/>
      <c r="J1615" s="1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</row>
    <row r="1616" spans="2:73" s="38" customFormat="1">
      <c r="B1616" s="1"/>
      <c r="C1616" s="1"/>
      <c r="D1616" s="1"/>
      <c r="E1616" s="1"/>
      <c r="F1616" s="1"/>
      <c r="G1616" s="1"/>
      <c r="H1616" s="1"/>
      <c r="I1616" s="1"/>
      <c r="J1616" s="1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</row>
    <row r="1617" spans="2:73" s="38" customFormat="1">
      <c r="B1617" s="1"/>
      <c r="C1617" s="1"/>
      <c r="D1617" s="1"/>
      <c r="E1617" s="1"/>
      <c r="F1617" s="1"/>
      <c r="G1617" s="1"/>
      <c r="H1617" s="1"/>
      <c r="I1617" s="1"/>
      <c r="J1617" s="1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</row>
    <row r="1618" spans="2:73" s="38" customFormat="1">
      <c r="B1618" s="1"/>
      <c r="C1618" s="1"/>
      <c r="D1618" s="1"/>
      <c r="E1618" s="1"/>
      <c r="F1618" s="1"/>
      <c r="G1618" s="1"/>
      <c r="H1618" s="1"/>
      <c r="I1618" s="1"/>
      <c r="J1618" s="1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</row>
    <row r="1619" spans="2:73" s="38" customFormat="1">
      <c r="B1619" s="1"/>
      <c r="C1619" s="1"/>
      <c r="D1619" s="1"/>
      <c r="E1619" s="1"/>
      <c r="F1619" s="1"/>
      <c r="G1619" s="1"/>
      <c r="H1619" s="1"/>
      <c r="I1619" s="1"/>
      <c r="J1619" s="1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</row>
    <row r="1620" spans="2:73" s="38" customFormat="1">
      <c r="B1620" s="1"/>
      <c r="C1620" s="1"/>
      <c r="D1620" s="1"/>
      <c r="E1620" s="1"/>
      <c r="F1620" s="1"/>
      <c r="G1620" s="1"/>
      <c r="H1620" s="1"/>
      <c r="I1620" s="1"/>
      <c r="J1620" s="1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</row>
    <row r="1621" spans="2:73" s="38" customFormat="1">
      <c r="B1621" s="1"/>
      <c r="C1621" s="1"/>
      <c r="D1621" s="1"/>
      <c r="E1621" s="1"/>
      <c r="F1621" s="1"/>
      <c r="G1621" s="1"/>
      <c r="H1621" s="1"/>
      <c r="I1621" s="1"/>
      <c r="J1621" s="1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</row>
    <row r="1622" spans="2:73" s="38" customFormat="1">
      <c r="B1622" s="1"/>
      <c r="C1622" s="1"/>
      <c r="D1622" s="1"/>
      <c r="E1622" s="1"/>
      <c r="F1622" s="1"/>
      <c r="G1622" s="1"/>
      <c r="H1622" s="1"/>
      <c r="I1622" s="1"/>
      <c r="J1622" s="1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</row>
    <row r="1623" spans="2:73" s="38" customFormat="1">
      <c r="B1623" s="1"/>
      <c r="C1623" s="1"/>
      <c r="D1623" s="1"/>
      <c r="E1623" s="1"/>
      <c r="F1623" s="1"/>
      <c r="G1623" s="1"/>
      <c r="H1623" s="1"/>
      <c r="I1623" s="1"/>
      <c r="J1623" s="1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</row>
    <row r="1624" spans="2:73" s="38" customFormat="1">
      <c r="B1624" s="1"/>
      <c r="C1624" s="1"/>
      <c r="D1624" s="1"/>
      <c r="E1624" s="1"/>
      <c r="F1624" s="1"/>
      <c r="G1624" s="1"/>
      <c r="H1624" s="1"/>
      <c r="I1624" s="1"/>
      <c r="J1624" s="1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</row>
    <row r="1625" spans="2:73" s="38" customFormat="1">
      <c r="B1625" s="1"/>
      <c r="C1625" s="1"/>
      <c r="D1625" s="1"/>
      <c r="E1625" s="1"/>
      <c r="F1625" s="1"/>
      <c r="G1625" s="1"/>
      <c r="H1625" s="1"/>
      <c r="I1625" s="1"/>
      <c r="J1625" s="1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</row>
    <row r="1626" spans="2:73" s="38" customFormat="1">
      <c r="B1626" s="1"/>
      <c r="C1626" s="1"/>
      <c r="D1626" s="1"/>
      <c r="E1626" s="1"/>
      <c r="F1626" s="1"/>
      <c r="G1626" s="1"/>
      <c r="H1626" s="1"/>
      <c r="I1626" s="1"/>
      <c r="J1626" s="1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</row>
    <row r="1627" spans="2:73" s="38" customFormat="1">
      <c r="B1627" s="1"/>
      <c r="C1627" s="1"/>
      <c r="D1627" s="1"/>
      <c r="E1627" s="1"/>
      <c r="F1627" s="1"/>
      <c r="G1627" s="1"/>
      <c r="H1627" s="1"/>
      <c r="I1627" s="1"/>
      <c r="J1627" s="1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</row>
    <row r="1628" spans="2:73" s="38" customFormat="1">
      <c r="B1628" s="1"/>
      <c r="C1628" s="1"/>
      <c r="D1628" s="1"/>
      <c r="E1628" s="1"/>
      <c r="F1628" s="1"/>
      <c r="G1628" s="1"/>
      <c r="H1628" s="1"/>
      <c r="I1628" s="1"/>
      <c r="J1628" s="1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</row>
    <row r="1629" spans="2:73" s="38" customFormat="1">
      <c r="B1629" s="1"/>
      <c r="C1629" s="1"/>
      <c r="D1629" s="1"/>
      <c r="E1629" s="1"/>
      <c r="F1629" s="1"/>
      <c r="G1629" s="1"/>
      <c r="H1629" s="1"/>
      <c r="I1629" s="1"/>
      <c r="J1629" s="1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</row>
    <row r="1630" spans="2:73" s="38" customFormat="1">
      <c r="B1630" s="1"/>
      <c r="C1630" s="1"/>
      <c r="D1630" s="1"/>
      <c r="E1630" s="1"/>
      <c r="F1630" s="1"/>
      <c r="G1630" s="1"/>
      <c r="H1630" s="1"/>
      <c r="I1630" s="1"/>
      <c r="J1630" s="1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</row>
    <row r="1631" spans="2:73" s="38" customFormat="1">
      <c r="B1631" s="1"/>
      <c r="C1631" s="1"/>
      <c r="D1631" s="1"/>
      <c r="E1631" s="1"/>
      <c r="F1631" s="1"/>
      <c r="G1631" s="1"/>
      <c r="H1631" s="1"/>
      <c r="I1631" s="1"/>
      <c r="J1631" s="1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</row>
    <row r="1632" spans="2:73" s="38" customFormat="1">
      <c r="B1632" s="1"/>
      <c r="C1632" s="1"/>
      <c r="D1632" s="1"/>
      <c r="E1632" s="1"/>
      <c r="F1632" s="1"/>
      <c r="G1632" s="1"/>
      <c r="H1632" s="1"/>
      <c r="I1632" s="1"/>
      <c r="J1632" s="1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</row>
    <row r="1633" spans="2:73" s="38" customFormat="1">
      <c r="B1633" s="1"/>
      <c r="C1633" s="1"/>
      <c r="D1633" s="1"/>
      <c r="E1633" s="1"/>
      <c r="F1633" s="1"/>
      <c r="G1633" s="1"/>
      <c r="H1633" s="1"/>
      <c r="I1633" s="1"/>
      <c r="J1633" s="1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</row>
    <row r="1634" spans="2:73" s="38" customFormat="1">
      <c r="B1634" s="1"/>
      <c r="C1634" s="1"/>
      <c r="D1634" s="1"/>
      <c r="E1634" s="1"/>
      <c r="F1634" s="1"/>
      <c r="G1634" s="1"/>
      <c r="H1634" s="1"/>
      <c r="I1634" s="1"/>
      <c r="J1634" s="1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</row>
    <row r="1635" spans="2:73" s="38" customFormat="1">
      <c r="B1635" s="1"/>
      <c r="C1635" s="1"/>
      <c r="D1635" s="1"/>
      <c r="E1635" s="1"/>
      <c r="F1635" s="1"/>
      <c r="G1635" s="1"/>
      <c r="H1635" s="1"/>
      <c r="I1635" s="1"/>
      <c r="J1635" s="1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</row>
    <row r="1636" spans="2:73" s="38" customFormat="1">
      <c r="B1636" s="1"/>
      <c r="C1636" s="1"/>
      <c r="D1636" s="1"/>
      <c r="E1636" s="1"/>
      <c r="F1636" s="1"/>
      <c r="G1636" s="1"/>
      <c r="H1636" s="1"/>
      <c r="I1636" s="1"/>
      <c r="J1636" s="1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</row>
    <row r="1637" spans="2:73" s="38" customFormat="1">
      <c r="B1637" s="1"/>
      <c r="C1637" s="1"/>
      <c r="D1637" s="1"/>
      <c r="E1637" s="1"/>
      <c r="F1637" s="1"/>
      <c r="G1637" s="1"/>
      <c r="H1637" s="1"/>
      <c r="I1637" s="1"/>
      <c r="J1637" s="1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</row>
    <row r="1638" spans="2:73" s="38" customFormat="1">
      <c r="B1638" s="1"/>
      <c r="C1638" s="1"/>
      <c r="D1638" s="1"/>
      <c r="E1638" s="1"/>
      <c r="F1638" s="1"/>
      <c r="G1638" s="1"/>
      <c r="H1638" s="1"/>
      <c r="I1638" s="1"/>
      <c r="J1638" s="1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</row>
    <row r="1639" spans="2:73" s="38" customFormat="1">
      <c r="B1639" s="1"/>
      <c r="C1639" s="1"/>
      <c r="D1639" s="1"/>
      <c r="E1639" s="1"/>
      <c r="F1639" s="1"/>
      <c r="G1639" s="1"/>
      <c r="H1639" s="1"/>
      <c r="I1639" s="1"/>
      <c r="J1639" s="1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</row>
    <row r="1640" spans="2:73" s="38" customFormat="1">
      <c r="B1640" s="1"/>
      <c r="C1640" s="1"/>
      <c r="D1640" s="1"/>
      <c r="E1640" s="1"/>
      <c r="F1640" s="1"/>
      <c r="G1640" s="1"/>
      <c r="H1640" s="1"/>
      <c r="I1640" s="1"/>
      <c r="J1640" s="1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</row>
    <row r="1641" spans="2:73" s="38" customFormat="1">
      <c r="B1641" s="1"/>
      <c r="C1641" s="1"/>
      <c r="D1641" s="1"/>
      <c r="E1641" s="1"/>
      <c r="F1641" s="1"/>
      <c r="G1641" s="1"/>
      <c r="H1641" s="1"/>
      <c r="I1641" s="1"/>
      <c r="J1641" s="1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</row>
    <row r="1642" spans="2:73" s="38" customFormat="1">
      <c r="B1642" s="1"/>
      <c r="C1642" s="1"/>
      <c r="D1642" s="1"/>
      <c r="E1642" s="1"/>
      <c r="F1642" s="1"/>
      <c r="G1642" s="1"/>
      <c r="H1642" s="1"/>
      <c r="I1642" s="1"/>
      <c r="J1642" s="1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</row>
    <row r="1643" spans="2:73" s="38" customFormat="1">
      <c r="B1643" s="1"/>
      <c r="C1643" s="1"/>
      <c r="D1643" s="1"/>
      <c r="E1643" s="1"/>
      <c r="F1643" s="1"/>
      <c r="G1643" s="1"/>
      <c r="H1643" s="1"/>
      <c r="I1643" s="1"/>
      <c r="J1643" s="1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</row>
    <row r="1644" spans="2:73" s="38" customFormat="1">
      <c r="B1644" s="1"/>
      <c r="C1644" s="1"/>
      <c r="D1644" s="1"/>
      <c r="E1644" s="1"/>
      <c r="F1644" s="1"/>
      <c r="G1644" s="1"/>
      <c r="H1644" s="1"/>
      <c r="I1644" s="1"/>
      <c r="J1644" s="1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</row>
    <row r="1645" spans="2:73" s="38" customFormat="1">
      <c r="B1645" s="1"/>
      <c r="C1645" s="1"/>
      <c r="D1645" s="1"/>
      <c r="E1645" s="1"/>
      <c r="F1645" s="1"/>
      <c r="G1645" s="1"/>
      <c r="H1645" s="1"/>
      <c r="I1645" s="1"/>
      <c r="J1645" s="1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</row>
    <row r="1646" spans="2:73" s="38" customFormat="1">
      <c r="B1646" s="1"/>
      <c r="C1646" s="1"/>
      <c r="D1646" s="1"/>
      <c r="E1646" s="1"/>
      <c r="F1646" s="1"/>
      <c r="G1646" s="1"/>
      <c r="H1646" s="1"/>
      <c r="I1646" s="1"/>
      <c r="J1646" s="1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</row>
    <row r="1647" spans="2:73" s="38" customFormat="1">
      <c r="B1647" s="1"/>
      <c r="C1647" s="1"/>
      <c r="D1647" s="1"/>
      <c r="E1647" s="1"/>
      <c r="F1647" s="1"/>
      <c r="G1647" s="1"/>
      <c r="H1647" s="1"/>
      <c r="I1647" s="1"/>
      <c r="J1647" s="1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</row>
    <row r="1648" spans="2:73" s="38" customFormat="1">
      <c r="B1648" s="1"/>
      <c r="C1648" s="1"/>
      <c r="D1648" s="1"/>
      <c r="E1648" s="1"/>
      <c r="F1648" s="1"/>
      <c r="G1648" s="1"/>
      <c r="H1648" s="1"/>
      <c r="I1648" s="1"/>
      <c r="J1648" s="1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</row>
    <row r="1649" spans="2:73" s="38" customFormat="1">
      <c r="B1649" s="1"/>
      <c r="C1649" s="1"/>
      <c r="D1649" s="1"/>
      <c r="E1649" s="1"/>
      <c r="F1649" s="1"/>
      <c r="G1649" s="1"/>
      <c r="H1649" s="1"/>
      <c r="I1649" s="1"/>
      <c r="J1649" s="1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</row>
    <row r="1650" spans="2:73" s="38" customFormat="1">
      <c r="B1650" s="1"/>
      <c r="C1650" s="1"/>
      <c r="D1650" s="1"/>
      <c r="E1650" s="1"/>
      <c r="F1650" s="1"/>
      <c r="G1650" s="1"/>
      <c r="H1650" s="1"/>
      <c r="I1650" s="1"/>
      <c r="J1650" s="1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</row>
    <row r="1651" spans="2:73" s="38" customFormat="1">
      <c r="B1651" s="1"/>
      <c r="C1651" s="1"/>
      <c r="D1651" s="1"/>
      <c r="E1651" s="1"/>
      <c r="F1651" s="1"/>
      <c r="G1651" s="1"/>
      <c r="H1651" s="1"/>
      <c r="I1651" s="1"/>
      <c r="J1651" s="1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</row>
    <row r="1652" spans="2:73" s="38" customFormat="1">
      <c r="B1652" s="1"/>
      <c r="C1652" s="1"/>
      <c r="D1652" s="1"/>
      <c r="E1652" s="1"/>
      <c r="F1652" s="1"/>
      <c r="G1652" s="1"/>
      <c r="H1652" s="1"/>
      <c r="I1652" s="1"/>
      <c r="J1652" s="1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</row>
    <row r="1653" spans="2:73" s="38" customFormat="1">
      <c r="B1653" s="1"/>
      <c r="C1653" s="1"/>
      <c r="D1653" s="1"/>
      <c r="E1653" s="1"/>
      <c r="F1653" s="1"/>
      <c r="G1653" s="1"/>
      <c r="H1653" s="1"/>
      <c r="I1653" s="1"/>
      <c r="J1653" s="1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</row>
    <row r="1654" spans="2:73" s="38" customFormat="1">
      <c r="B1654" s="1"/>
      <c r="C1654" s="1"/>
      <c r="D1654" s="1"/>
      <c r="E1654" s="1"/>
      <c r="F1654" s="1"/>
      <c r="G1654" s="1"/>
      <c r="H1654" s="1"/>
      <c r="I1654" s="1"/>
      <c r="J1654" s="1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</row>
    <row r="1655" spans="2:73" s="38" customFormat="1">
      <c r="B1655" s="1"/>
      <c r="C1655" s="1"/>
      <c r="D1655" s="1"/>
      <c r="E1655" s="1"/>
      <c r="F1655" s="1"/>
      <c r="G1655" s="1"/>
      <c r="H1655" s="1"/>
      <c r="I1655" s="1"/>
      <c r="J1655" s="1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</row>
    <row r="1656" spans="2:73" s="38" customFormat="1">
      <c r="B1656" s="1"/>
      <c r="C1656" s="1"/>
      <c r="D1656" s="1"/>
      <c r="E1656" s="1"/>
      <c r="F1656" s="1"/>
      <c r="G1656" s="1"/>
      <c r="H1656" s="1"/>
      <c r="I1656" s="1"/>
      <c r="J1656" s="1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</row>
    <row r="1657" spans="2:73" s="38" customFormat="1">
      <c r="B1657" s="1"/>
      <c r="C1657" s="1"/>
      <c r="D1657" s="1"/>
      <c r="E1657" s="1"/>
      <c r="F1657" s="1"/>
      <c r="G1657" s="1"/>
      <c r="H1657" s="1"/>
      <c r="I1657" s="1"/>
      <c r="J1657" s="1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</row>
    <row r="1658" spans="2:73" s="38" customFormat="1">
      <c r="B1658" s="1"/>
      <c r="C1658" s="1"/>
      <c r="D1658" s="1"/>
      <c r="E1658" s="1"/>
      <c r="F1658" s="1"/>
      <c r="G1658" s="1"/>
      <c r="H1658" s="1"/>
      <c r="I1658" s="1"/>
      <c r="J1658" s="1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</row>
    <row r="1659" spans="2:73" s="38" customFormat="1">
      <c r="B1659" s="1"/>
      <c r="C1659" s="1"/>
      <c r="D1659" s="1"/>
      <c r="E1659" s="1"/>
      <c r="F1659" s="1"/>
      <c r="G1659" s="1"/>
      <c r="H1659" s="1"/>
      <c r="I1659" s="1"/>
      <c r="J1659" s="1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</row>
    <row r="1660" spans="2:73" s="38" customFormat="1">
      <c r="B1660" s="1"/>
      <c r="C1660" s="1"/>
      <c r="D1660" s="1"/>
      <c r="E1660" s="1"/>
      <c r="F1660" s="1"/>
      <c r="G1660" s="1"/>
      <c r="H1660" s="1"/>
      <c r="I1660" s="1"/>
      <c r="J1660" s="1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</row>
    <row r="1661" spans="2:73" s="38" customFormat="1">
      <c r="B1661" s="1"/>
      <c r="C1661" s="1"/>
      <c r="D1661" s="1"/>
      <c r="E1661" s="1"/>
      <c r="F1661" s="1"/>
      <c r="G1661" s="1"/>
      <c r="H1661" s="1"/>
      <c r="I1661" s="1"/>
      <c r="J1661" s="1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</row>
    <row r="1662" spans="2:73" s="38" customFormat="1">
      <c r="B1662" s="1"/>
      <c r="C1662" s="1"/>
      <c r="D1662" s="1"/>
      <c r="E1662" s="1"/>
      <c r="F1662" s="1"/>
      <c r="G1662" s="1"/>
      <c r="H1662" s="1"/>
      <c r="I1662" s="1"/>
      <c r="J1662" s="1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</row>
    <row r="1663" spans="2:73" s="38" customFormat="1">
      <c r="B1663" s="1"/>
      <c r="C1663" s="1"/>
      <c r="D1663" s="1"/>
      <c r="E1663" s="1"/>
      <c r="F1663" s="1"/>
      <c r="G1663" s="1"/>
      <c r="H1663" s="1"/>
      <c r="I1663" s="1"/>
      <c r="J1663" s="1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</row>
    <row r="1664" spans="2:73" s="38" customFormat="1">
      <c r="B1664" s="1"/>
      <c r="C1664" s="1"/>
      <c r="D1664" s="1"/>
      <c r="E1664" s="1"/>
      <c r="F1664" s="1"/>
      <c r="G1664" s="1"/>
      <c r="H1664" s="1"/>
      <c r="I1664" s="1"/>
      <c r="J1664" s="1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</row>
    <row r="1665" spans="2:73" s="38" customFormat="1">
      <c r="B1665" s="1"/>
      <c r="C1665" s="1"/>
      <c r="D1665" s="1"/>
      <c r="E1665" s="1"/>
      <c r="F1665" s="1"/>
      <c r="G1665" s="1"/>
      <c r="H1665" s="1"/>
      <c r="I1665" s="1"/>
      <c r="J1665" s="1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</row>
    <row r="1666" spans="2:73" s="38" customFormat="1">
      <c r="B1666" s="1"/>
      <c r="C1666" s="1"/>
      <c r="D1666" s="1"/>
      <c r="E1666" s="1"/>
      <c r="F1666" s="1"/>
      <c r="G1666" s="1"/>
      <c r="H1666" s="1"/>
      <c r="I1666" s="1"/>
      <c r="J1666" s="1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</row>
    <row r="1667" spans="2:73" s="38" customFormat="1">
      <c r="B1667" s="1"/>
      <c r="C1667" s="1"/>
      <c r="D1667" s="1"/>
      <c r="E1667" s="1"/>
      <c r="F1667" s="1"/>
      <c r="G1667" s="1"/>
      <c r="H1667" s="1"/>
      <c r="I1667" s="1"/>
      <c r="J1667" s="1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</row>
    <row r="1668" spans="2:73" s="38" customFormat="1">
      <c r="B1668" s="1"/>
      <c r="C1668" s="1"/>
      <c r="D1668" s="1"/>
      <c r="E1668" s="1"/>
      <c r="F1668" s="1"/>
      <c r="G1668" s="1"/>
      <c r="H1668" s="1"/>
      <c r="I1668" s="1"/>
      <c r="J1668" s="1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</row>
    <row r="1669" spans="2:73" s="38" customFormat="1">
      <c r="B1669" s="1"/>
      <c r="C1669" s="1"/>
      <c r="D1669" s="1"/>
      <c r="E1669" s="1"/>
      <c r="F1669" s="1"/>
      <c r="G1669" s="1"/>
      <c r="H1669" s="1"/>
      <c r="I1669" s="1"/>
      <c r="J1669" s="1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</row>
    <row r="1670" spans="2:73" s="38" customFormat="1">
      <c r="B1670" s="1"/>
      <c r="C1670" s="1"/>
      <c r="D1670" s="1"/>
      <c r="E1670" s="1"/>
      <c r="F1670" s="1"/>
      <c r="G1670" s="1"/>
      <c r="H1670" s="1"/>
      <c r="I1670" s="1"/>
      <c r="J1670" s="1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</row>
    <row r="1671" spans="2:73" s="38" customFormat="1">
      <c r="B1671" s="1"/>
      <c r="C1671" s="1"/>
      <c r="D1671" s="1"/>
      <c r="E1671" s="1"/>
      <c r="F1671" s="1"/>
      <c r="G1671" s="1"/>
      <c r="H1671" s="1"/>
      <c r="I1671" s="1"/>
      <c r="J1671" s="1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</row>
    <row r="1672" spans="2:73" s="38" customFormat="1">
      <c r="B1672" s="1"/>
      <c r="C1672" s="1"/>
      <c r="D1672" s="1"/>
      <c r="E1672" s="1"/>
      <c r="F1672" s="1"/>
      <c r="G1672" s="1"/>
      <c r="H1672" s="1"/>
      <c r="I1672" s="1"/>
      <c r="J1672" s="1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</row>
    <row r="1673" spans="2:73" s="38" customFormat="1">
      <c r="B1673" s="1"/>
      <c r="C1673" s="1"/>
      <c r="D1673" s="1"/>
      <c r="E1673" s="1"/>
      <c r="F1673" s="1"/>
      <c r="G1673" s="1"/>
      <c r="H1673" s="1"/>
      <c r="I1673" s="1"/>
      <c r="J1673" s="1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</row>
    <row r="1674" spans="2:73" s="38" customFormat="1">
      <c r="B1674" s="1"/>
      <c r="C1674" s="1"/>
      <c r="D1674" s="1"/>
      <c r="E1674" s="1"/>
      <c r="F1674" s="1"/>
      <c r="G1674" s="1"/>
      <c r="H1674" s="1"/>
      <c r="I1674" s="1"/>
      <c r="J1674" s="1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</row>
    <row r="1675" spans="2:73" s="38" customFormat="1">
      <c r="B1675" s="1"/>
      <c r="C1675" s="1"/>
      <c r="D1675" s="1"/>
      <c r="E1675" s="1"/>
      <c r="F1675" s="1"/>
      <c r="G1675" s="1"/>
      <c r="H1675" s="1"/>
      <c r="I1675" s="1"/>
      <c r="J1675" s="1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</row>
    <row r="1676" spans="2:73" s="38" customFormat="1">
      <c r="B1676" s="1"/>
      <c r="C1676" s="1"/>
      <c r="D1676" s="1"/>
      <c r="E1676" s="1"/>
      <c r="F1676" s="1"/>
      <c r="G1676" s="1"/>
      <c r="H1676" s="1"/>
      <c r="I1676" s="1"/>
      <c r="J1676" s="1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</row>
    <row r="1677" spans="2:73" s="38" customFormat="1">
      <c r="B1677" s="1"/>
      <c r="C1677" s="1"/>
      <c r="D1677" s="1"/>
      <c r="E1677" s="1"/>
      <c r="F1677" s="1"/>
      <c r="G1677" s="1"/>
      <c r="H1677" s="1"/>
      <c r="I1677" s="1"/>
      <c r="J1677" s="1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</row>
    <row r="1678" spans="2:73" s="38" customFormat="1">
      <c r="B1678" s="1"/>
      <c r="C1678" s="1"/>
      <c r="D1678" s="1"/>
      <c r="E1678" s="1"/>
      <c r="F1678" s="1"/>
      <c r="G1678" s="1"/>
      <c r="H1678" s="1"/>
      <c r="I1678" s="1"/>
      <c r="J1678" s="1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</row>
    <row r="1679" spans="2:73" s="38" customFormat="1">
      <c r="B1679" s="1"/>
      <c r="C1679" s="1"/>
      <c r="D1679" s="1"/>
      <c r="E1679" s="1"/>
      <c r="F1679" s="1"/>
      <c r="G1679" s="1"/>
      <c r="H1679" s="1"/>
      <c r="I1679" s="1"/>
      <c r="J1679" s="1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</row>
    <row r="1680" spans="2:73" s="38" customFormat="1">
      <c r="B1680" s="1"/>
      <c r="C1680" s="1"/>
      <c r="D1680" s="1"/>
      <c r="E1680" s="1"/>
      <c r="F1680" s="1"/>
      <c r="G1680" s="1"/>
      <c r="H1680" s="1"/>
      <c r="I1680" s="1"/>
      <c r="J1680" s="1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</row>
    <row r="1681" spans="2:73" s="38" customFormat="1">
      <c r="B1681" s="1"/>
      <c r="C1681" s="1"/>
      <c r="D1681" s="1"/>
      <c r="E1681" s="1"/>
      <c r="F1681" s="1"/>
      <c r="G1681" s="1"/>
      <c r="H1681" s="1"/>
      <c r="I1681" s="1"/>
      <c r="J1681" s="1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</row>
    <row r="1682" spans="2:73" s="38" customFormat="1">
      <c r="B1682" s="1"/>
      <c r="C1682" s="1"/>
      <c r="D1682" s="1"/>
      <c r="E1682" s="1"/>
      <c r="F1682" s="1"/>
      <c r="G1682" s="1"/>
      <c r="H1682" s="1"/>
      <c r="I1682" s="1"/>
      <c r="J1682" s="1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</row>
    <row r="1683" spans="2:73" s="38" customFormat="1">
      <c r="B1683" s="1"/>
      <c r="C1683" s="1"/>
      <c r="D1683" s="1"/>
      <c r="E1683" s="1"/>
      <c r="F1683" s="1"/>
      <c r="G1683" s="1"/>
      <c r="H1683" s="1"/>
      <c r="I1683" s="1"/>
      <c r="J1683" s="1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</row>
    <row r="1684" spans="2:73" s="38" customFormat="1">
      <c r="B1684" s="1"/>
      <c r="C1684" s="1"/>
      <c r="D1684" s="1"/>
      <c r="E1684" s="1"/>
      <c r="F1684" s="1"/>
      <c r="G1684" s="1"/>
      <c r="H1684" s="1"/>
      <c r="I1684" s="1"/>
      <c r="J1684" s="1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</row>
    <row r="1685" spans="2:73" s="38" customFormat="1">
      <c r="B1685" s="1"/>
      <c r="C1685" s="1"/>
      <c r="D1685" s="1"/>
      <c r="E1685" s="1"/>
      <c r="F1685" s="1"/>
      <c r="G1685" s="1"/>
      <c r="H1685" s="1"/>
      <c r="I1685" s="1"/>
      <c r="J1685" s="1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</row>
    <row r="1686" spans="2:73" s="38" customFormat="1">
      <c r="B1686" s="1"/>
      <c r="C1686" s="1"/>
      <c r="D1686" s="1"/>
      <c r="E1686" s="1"/>
      <c r="F1686" s="1"/>
      <c r="G1686" s="1"/>
      <c r="H1686" s="1"/>
      <c r="I1686" s="1"/>
      <c r="J1686" s="1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</row>
    <row r="1687" spans="2:73" s="38" customFormat="1">
      <c r="B1687" s="1"/>
      <c r="C1687" s="1"/>
      <c r="D1687" s="1"/>
      <c r="E1687" s="1"/>
      <c r="F1687" s="1"/>
      <c r="G1687" s="1"/>
      <c r="H1687" s="1"/>
      <c r="I1687" s="1"/>
      <c r="J1687" s="1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</row>
    <row r="1688" spans="2:73" s="38" customFormat="1">
      <c r="B1688" s="1"/>
      <c r="C1688" s="1"/>
      <c r="D1688" s="1"/>
      <c r="E1688" s="1"/>
      <c r="F1688" s="1"/>
      <c r="G1688" s="1"/>
      <c r="H1688" s="1"/>
      <c r="I1688" s="1"/>
      <c r="J1688" s="1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</row>
    <row r="1689" spans="2:73" s="38" customFormat="1">
      <c r="B1689" s="1"/>
      <c r="C1689" s="1"/>
      <c r="D1689" s="1"/>
      <c r="E1689" s="1"/>
      <c r="F1689" s="1"/>
      <c r="G1689" s="1"/>
      <c r="H1689" s="1"/>
      <c r="I1689" s="1"/>
      <c r="J1689" s="1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</row>
    <row r="1690" spans="2:73" s="38" customFormat="1">
      <c r="B1690" s="1"/>
      <c r="C1690" s="1"/>
      <c r="D1690" s="1"/>
      <c r="E1690" s="1"/>
      <c r="F1690" s="1"/>
      <c r="G1690" s="1"/>
      <c r="H1690" s="1"/>
      <c r="I1690" s="1"/>
      <c r="J1690" s="1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</row>
    <row r="1691" spans="2:73" s="38" customFormat="1">
      <c r="B1691" s="1"/>
      <c r="C1691" s="1"/>
      <c r="D1691" s="1"/>
      <c r="E1691" s="1"/>
      <c r="F1691" s="1"/>
      <c r="G1691" s="1"/>
      <c r="H1691" s="1"/>
      <c r="I1691" s="1"/>
      <c r="J1691" s="1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</row>
    <row r="1692" spans="2:73" s="38" customFormat="1">
      <c r="B1692" s="1"/>
      <c r="C1692" s="1"/>
      <c r="D1692" s="1"/>
      <c r="E1692" s="1"/>
      <c r="F1692" s="1"/>
      <c r="G1692" s="1"/>
      <c r="H1692" s="1"/>
      <c r="I1692" s="1"/>
      <c r="J1692" s="1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</row>
    <row r="1693" spans="2:73" s="38" customFormat="1">
      <c r="B1693" s="1"/>
      <c r="C1693" s="1"/>
      <c r="D1693" s="1"/>
      <c r="E1693" s="1"/>
      <c r="F1693" s="1"/>
      <c r="G1693" s="1"/>
      <c r="H1693" s="1"/>
      <c r="I1693" s="1"/>
      <c r="J1693" s="1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</row>
    <row r="1694" spans="2:73" s="38" customFormat="1">
      <c r="B1694" s="1"/>
      <c r="C1694" s="1"/>
      <c r="D1694" s="1"/>
      <c r="E1694" s="1"/>
      <c r="F1694" s="1"/>
      <c r="G1694" s="1"/>
      <c r="H1694" s="1"/>
      <c r="I1694" s="1"/>
      <c r="J1694" s="1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</row>
    <row r="1695" spans="2:73" s="38" customFormat="1">
      <c r="B1695" s="1"/>
      <c r="C1695" s="1"/>
      <c r="D1695" s="1"/>
      <c r="E1695" s="1"/>
      <c r="F1695" s="1"/>
      <c r="G1695" s="1"/>
      <c r="H1695" s="1"/>
      <c r="I1695" s="1"/>
      <c r="J1695" s="1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</row>
    <row r="1696" spans="2:73" s="38" customFormat="1">
      <c r="B1696" s="1"/>
      <c r="C1696" s="1"/>
      <c r="D1696" s="1"/>
      <c r="E1696" s="1"/>
      <c r="F1696" s="1"/>
      <c r="G1696" s="1"/>
      <c r="H1696" s="1"/>
      <c r="I1696" s="1"/>
      <c r="J1696" s="1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</row>
    <row r="1697" spans="2:73" s="38" customFormat="1">
      <c r="B1697" s="1"/>
      <c r="C1697" s="1"/>
      <c r="D1697" s="1"/>
      <c r="E1697" s="1"/>
      <c r="F1697" s="1"/>
      <c r="G1697" s="1"/>
      <c r="H1697" s="1"/>
      <c r="I1697" s="1"/>
      <c r="J1697" s="1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</row>
    <row r="1698" spans="2:73" s="38" customFormat="1">
      <c r="B1698" s="1"/>
      <c r="C1698" s="1"/>
      <c r="D1698" s="1"/>
      <c r="E1698" s="1"/>
      <c r="F1698" s="1"/>
      <c r="G1698" s="1"/>
      <c r="H1698" s="1"/>
      <c r="I1698" s="1"/>
      <c r="J1698" s="1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</row>
    <row r="1699" spans="2:73" s="38" customFormat="1">
      <c r="B1699" s="1"/>
      <c r="C1699" s="1"/>
      <c r="D1699" s="1"/>
      <c r="E1699" s="1"/>
      <c r="F1699" s="1"/>
      <c r="G1699" s="1"/>
      <c r="H1699" s="1"/>
      <c r="I1699" s="1"/>
      <c r="J1699" s="1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</row>
    <row r="1700" spans="2:73" s="38" customFormat="1">
      <c r="B1700" s="1"/>
      <c r="C1700" s="1"/>
      <c r="D1700" s="1"/>
      <c r="E1700" s="1"/>
      <c r="F1700" s="1"/>
      <c r="G1700" s="1"/>
      <c r="H1700" s="1"/>
      <c r="I1700" s="1"/>
      <c r="J1700" s="1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</row>
    <row r="1701" spans="2:73" s="38" customFormat="1">
      <c r="B1701" s="1"/>
      <c r="C1701" s="1"/>
      <c r="D1701" s="1"/>
      <c r="E1701" s="1"/>
      <c r="F1701" s="1"/>
      <c r="G1701" s="1"/>
      <c r="H1701" s="1"/>
      <c r="I1701" s="1"/>
      <c r="J1701" s="1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</row>
    <row r="1702" spans="2:73" s="38" customFormat="1">
      <c r="B1702" s="1"/>
      <c r="C1702" s="1"/>
      <c r="D1702" s="1"/>
      <c r="E1702" s="1"/>
      <c r="F1702" s="1"/>
      <c r="G1702" s="1"/>
      <c r="H1702" s="1"/>
      <c r="I1702" s="1"/>
      <c r="J1702" s="1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</row>
    <row r="1703" spans="2:73" s="38" customFormat="1">
      <c r="B1703" s="1"/>
      <c r="C1703" s="1"/>
      <c r="D1703" s="1"/>
      <c r="E1703" s="1"/>
      <c r="F1703" s="1"/>
      <c r="G1703" s="1"/>
      <c r="H1703" s="1"/>
      <c r="I1703" s="1"/>
      <c r="J1703" s="1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</row>
    <row r="1704" spans="2:73" s="38" customFormat="1">
      <c r="B1704" s="1"/>
      <c r="C1704" s="1"/>
      <c r="D1704" s="1"/>
      <c r="E1704" s="1"/>
      <c r="F1704" s="1"/>
      <c r="G1704" s="1"/>
      <c r="H1704" s="1"/>
      <c r="I1704" s="1"/>
      <c r="J1704" s="1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</row>
    <row r="1705" spans="2:73" s="38" customFormat="1">
      <c r="B1705" s="1"/>
      <c r="C1705" s="1"/>
      <c r="D1705" s="1"/>
      <c r="E1705" s="1"/>
      <c r="F1705" s="1"/>
      <c r="G1705" s="1"/>
      <c r="H1705" s="1"/>
      <c r="I1705" s="1"/>
      <c r="J1705" s="1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</row>
    <row r="1706" spans="2:73" s="38" customFormat="1">
      <c r="B1706" s="1"/>
      <c r="C1706" s="1"/>
      <c r="D1706" s="1"/>
      <c r="E1706" s="1"/>
      <c r="F1706" s="1"/>
      <c r="G1706" s="1"/>
      <c r="H1706" s="1"/>
      <c r="I1706" s="1"/>
      <c r="J1706" s="1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</row>
    <row r="1707" spans="2:73" s="38" customFormat="1">
      <c r="B1707" s="1"/>
      <c r="C1707" s="1"/>
      <c r="D1707" s="1"/>
      <c r="E1707" s="1"/>
      <c r="F1707" s="1"/>
      <c r="G1707" s="1"/>
      <c r="H1707" s="1"/>
      <c r="I1707" s="1"/>
      <c r="J1707" s="1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</row>
    <row r="1708" spans="2:73" s="38" customFormat="1">
      <c r="B1708" s="1"/>
      <c r="C1708" s="1"/>
      <c r="D1708" s="1"/>
      <c r="E1708" s="1"/>
      <c r="F1708" s="1"/>
      <c r="G1708" s="1"/>
      <c r="H1708" s="1"/>
      <c r="I1708" s="1"/>
      <c r="J1708" s="1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</row>
    <row r="1709" spans="2:73" s="38" customFormat="1">
      <c r="B1709" s="1"/>
      <c r="C1709" s="1"/>
      <c r="D1709" s="1"/>
      <c r="E1709" s="1"/>
      <c r="F1709" s="1"/>
      <c r="G1709" s="1"/>
      <c r="H1709" s="1"/>
      <c r="I1709" s="1"/>
      <c r="J1709" s="1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</row>
    <row r="1710" spans="2:73" s="38" customFormat="1">
      <c r="B1710" s="1"/>
      <c r="C1710" s="1"/>
      <c r="D1710" s="1"/>
      <c r="E1710" s="1"/>
      <c r="F1710" s="1"/>
      <c r="G1710" s="1"/>
      <c r="H1710" s="1"/>
      <c r="I1710" s="1"/>
      <c r="J1710" s="1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</row>
    <row r="1711" spans="2:73" s="38" customFormat="1">
      <c r="B1711" s="1"/>
      <c r="C1711" s="1"/>
      <c r="D1711" s="1"/>
      <c r="E1711" s="1"/>
      <c r="F1711" s="1"/>
      <c r="G1711" s="1"/>
      <c r="H1711" s="1"/>
      <c r="I1711" s="1"/>
      <c r="J1711" s="1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</row>
    <row r="1712" spans="2:73" s="38" customFormat="1">
      <c r="B1712" s="1"/>
      <c r="C1712" s="1"/>
      <c r="D1712" s="1"/>
      <c r="E1712" s="1"/>
      <c r="F1712" s="1"/>
      <c r="G1712" s="1"/>
      <c r="H1712" s="1"/>
      <c r="I1712" s="1"/>
      <c r="J1712" s="1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</row>
    <row r="1713" spans="2:73" s="38" customFormat="1">
      <c r="B1713" s="1"/>
      <c r="C1713" s="1"/>
      <c r="D1713" s="1"/>
      <c r="E1713" s="1"/>
      <c r="F1713" s="1"/>
      <c r="G1713" s="1"/>
      <c r="H1713" s="1"/>
      <c r="I1713" s="1"/>
      <c r="J1713" s="1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</row>
    <row r="1714" spans="2:73" s="38" customFormat="1">
      <c r="B1714" s="1"/>
      <c r="C1714" s="1"/>
      <c r="D1714" s="1"/>
      <c r="E1714" s="1"/>
      <c r="F1714" s="1"/>
      <c r="G1714" s="1"/>
      <c r="H1714" s="1"/>
      <c r="I1714" s="1"/>
      <c r="J1714" s="1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</row>
    <row r="1715" spans="2:73" s="38" customFormat="1">
      <c r="B1715" s="1"/>
      <c r="C1715" s="1"/>
      <c r="D1715" s="1"/>
      <c r="E1715" s="1"/>
      <c r="F1715" s="1"/>
      <c r="G1715" s="1"/>
      <c r="H1715" s="1"/>
      <c r="I1715" s="1"/>
      <c r="J1715" s="1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</row>
    <row r="1716" spans="2:73" s="38" customFormat="1">
      <c r="B1716" s="1"/>
      <c r="C1716" s="1"/>
      <c r="D1716" s="1"/>
      <c r="E1716" s="1"/>
      <c r="F1716" s="1"/>
      <c r="G1716" s="1"/>
      <c r="H1716" s="1"/>
      <c r="I1716" s="1"/>
      <c r="J1716" s="1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</row>
    <row r="1717" spans="2:73" s="38" customFormat="1">
      <c r="B1717" s="1"/>
      <c r="C1717" s="1"/>
      <c r="D1717" s="1"/>
      <c r="E1717" s="1"/>
      <c r="F1717" s="1"/>
      <c r="G1717" s="1"/>
      <c r="H1717" s="1"/>
      <c r="I1717" s="1"/>
      <c r="J1717" s="1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</row>
    <row r="1718" spans="2:73" s="38" customFormat="1">
      <c r="B1718" s="1"/>
      <c r="C1718" s="1"/>
      <c r="D1718" s="1"/>
      <c r="E1718" s="1"/>
      <c r="F1718" s="1"/>
      <c r="G1718" s="1"/>
      <c r="H1718" s="1"/>
      <c r="I1718" s="1"/>
      <c r="J1718" s="1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</row>
    <row r="1719" spans="2:73" s="38" customFormat="1">
      <c r="B1719" s="1"/>
      <c r="C1719" s="1"/>
      <c r="D1719" s="1"/>
      <c r="E1719" s="1"/>
      <c r="F1719" s="1"/>
      <c r="G1719" s="1"/>
      <c r="H1719" s="1"/>
      <c r="I1719" s="1"/>
      <c r="J1719" s="1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</row>
    <row r="1720" spans="2:73" s="38" customFormat="1">
      <c r="B1720" s="1"/>
      <c r="C1720" s="1"/>
      <c r="D1720" s="1"/>
      <c r="E1720" s="1"/>
      <c r="F1720" s="1"/>
      <c r="G1720" s="1"/>
      <c r="H1720" s="1"/>
      <c r="I1720" s="1"/>
      <c r="J1720" s="1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</row>
    <row r="1721" spans="2:73" s="38" customFormat="1">
      <c r="B1721" s="1"/>
      <c r="C1721" s="1"/>
      <c r="D1721" s="1"/>
      <c r="E1721" s="1"/>
      <c r="F1721" s="1"/>
      <c r="G1721" s="1"/>
      <c r="H1721" s="1"/>
      <c r="I1721" s="1"/>
      <c r="J1721" s="1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</row>
    <row r="1722" spans="2:73" s="38" customFormat="1">
      <c r="B1722" s="1"/>
      <c r="C1722" s="1"/>
      <c r="D1722" s="1"/>
      <c r="E1722" s="1"/>
      <c r="F1722" s="1"/>
      <c r="G1722" s="1"/>
      <c r="H1722" s="1"/>
      <c r="I1722" s="1"/>
      <c r="J1722" s="1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</row>
    <row r="1723" spans="2:73" s="38" customFormat="1">
      <c r="B1723" s="1"/>
      <c r="C1723" s="1"/>
      <c r="D1723" s="1"/>
      <c r="E1723" s="1"/>
      <c r="F1723" s="1"/>
      <c r="G1723" s="1"/>
      <c r="H1723" s="1"/>
      <c r="I1723" s="1"/>
      <c r="J1723" s="1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</row>
    <row r="1724" spans="2:73" s="38" customFormat="1">
      <c r="B1724" s="1"/>
      <c r="C1724" s="1"/>
      <c r="D1724" s="1"/>
      <c r="E1724" s="1"/>
      <c r="F1724" s="1"/>
      <c r="G1724" s="1"/>
      <c r="H1724" s="1"/>
      <c r="I1724" s="1"/>
      <c r="J1724" s="1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</row>
    <row r="1725" spans="2:73" s="38" customFormat="1">
      <c r="B1725" s="1"/>
      <c r="C1725" s="1"/>
      <c r="D1725" s="1"/>
      <c r="E1725" s="1"/>
      <c r="F1725" s="1"/>
      <c r="G1725" s="1"/>
      <c r="H1725" s="1"/>
      <c r="I1725" s="1"/>
      <c r="J1725" s="1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</row>
    <row r="1726" spans="2:73" s="38" customFormat="1">
      <c r="B1726" s="1"/>
      <c r="C1726" s="1"/>
      <c r="D1726" s="1"/>
      <c r="E1726" s="1"/>
      <c r="F1726" s="1"/>
      <c r="G1726" s="1"/>
      <c r="H1726" s="1"/>
      <c r="I1726" s="1"/>
      <c r="J1726" s="1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</row>
    <row r="1727" spans="2:73" s="38" customFormat="1">
      <c r="B1727" s="1"/>
      <c r="C1727" s="1"/>
      <c r="D1727" s="1"/>
      <c r="E1727" s="1"/>
      <c r="F1727" s="1"/>
      <c r="G1727" s="1"/>
      <c r="H1727" s="1"/>
      <c r="I1727" s="1"/>
      <c r="J1727" s="1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</row>
    <row r="1728" spans="2:73" s="38" customFormat="1">
      <c r="B1728" s="1"/>
      <c r="C1728" s="1"/>
      <c r="D1728" s="1"/>
      <c r="E1728" s="1"/>
      <c r="F1728" s="1"/>
      <c r="G1728" s="1"/>
      <c r="H1728" s="1"/>
      <c r="I1728" s="1"/>
      <c r="J1728" s="1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</row>
    <row r="1729" spans="2:73" s="38" customFormat="1">
      <c r="B1729" s="1"/>
      <c r="C1729" s="1"/>
      <c r="D1729" s="1"/>
      <c r="E1729" s="1"/>
      <c r="F1729" s="1"/>
      <c r="G1729" s="1"/>
      <c r="H1729" s="1"/>
      <c r="I1729" s="1"/>
      <c r="J1729" s="1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</row>
    <row r="1730" spans="2:73" s="38" customFormat="1">
      <c r="B1730" s="1"/>
      <c r="C1730" s="1"/>
      <c r="D1730" s="1"/>
      <c r="E1730" s="1"/>
      <c r="F1730" s="1"/>
      <c r="G1730" s="1"/>
      <c r="H1730" s="1"/>
      <c r="I1730" s="1"/>
      <c r="J1730" s="1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</row>
    <row r="1731" spans="2:73" s="38" customFormat="1">
      <c r="B1731" s="1"/>
      <c r="C1731" s="1"/>
      <c r="D1731" s="1"/>
      <c r="E1731" s="1"/>
      <c r="F1731" s="1"/>
      <c r="G1731" s="1"/>
      <c r="H1731" s="1"/>
      <c r="I1731" s="1"/>
      <c r="J1731" s="1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</row>
    <row r="1732" spans="2:73" s="38" customFormat="1">
      <c r="B1732" s="1"/>
      <c r="C1732" s="1"/>
      <c r="D1732" s="1"/>
      <c r="E1732" s="1"/>
      <c r="F1732" s="1"/>
      <c r="G1732" s="1"/>
      <c r="H1732" s="1"/>
      <c r="I1732" s="1"/>
      <c r="J1732" s="1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</row>
    <row r="1733" spans="2:73" s="38" customFormat="1">
      <c r="B1733" s="1"/>
      <c r="C1733" s="1"/>
      <c r="D1733" s="1"/>
      <c r="E1733" s="1"/>
      <c r="F1733" s="1"/>
      <c r="G1733" s="1"/>
      <c r="H1733" s="1"/>
      <c r="I1733" s="1"/>
      <c r="J1733" s="1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</row>
    <row r="1734" spans="2:73" s="38" customFormat="1">
      <c r="B1734" s="1"/>
      <c r="C1734" s="1"/>
      <c r="D1734" s="1"/>
      <c r="E1734" s="1"/>
      <c r="F1734" s="1"/>
      <c r="G1734" s="1"/>
      <c r="H1734" s="1"/>
      <c r="I1734" s="1"/>
      <c r="J1734" s="1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</row>
    <row r="1735" spans="2:73" s="38" customFormat="1">
      <c r="B1735" s="1"/>
      <c r="C1735" s="1"/>
      <c r="D1735" s="1"/>
      <c r="E1735" s="1"/>
      <c r="F1735" s="1"/>
      <c r="G1735" s="1"/>
      <c r="H1735" s="1"/>
      <c r="I1735" s="1"/>
      <c r="J1735" s="1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</row>
    <row r="1736" spans="2:73" s="38" customFormat="1">
      <c r="B1736" s="1"/>
      <c r="C1736" s="1"/>
      <c r="D1736" s="1"/>
      <c r="E1736" s="1"/>
      <c r="F1736" s="1"/>
      <c r="G1736" s="1"/>
      <c r="H1736" s="1"/>
      <c r="I1736" s="1"/>
      <c r="J1736" s="1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</row>
    <row r="1737" spans="2:73" s="38" customFormat="1">
      <c r="B1737" s="1"/>
      <c r="C1737" s="1"/>
      <c r="D1737" s="1"/>
      <c r="E1737" s="1"/>
      <c r="F1737" s="1"/>
      <c r="G1737" s="1"/>
      <c r="H1737" s="1"/>
      <c r="I1737" s="1"/>
      <c r="J1737" s="1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</row>
    <row r="1738" spans="2:73" s="38" customFormat="1">
      <c r="B1738" s="1"/>
      <c r="C1738" s="1"/>
      <c r="D1738" s="1"/>
      <c r="E1738" s="1"/>
      <c r="F1738" s="1"/>
      <c r="G1738" s="1"/>
      <c r="H1738" s="1"/>
      <c r="I1738" s="1"/>
      <c r="J1738" s="1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</row>
    <row r="1739" spans="2:73" s="38" customFormat="1">
      <c r="B1739" s="1"/>
      <c r="C1739" s="1"/>
      <c r="D1739" s="1"/>
      <c r="E1739" s="1"/>
      <c r="F1739" s="1"/>
      <c r="G1739" s="1"/>
      <c r="H1739" s="1"/>
      <c r="I1739" s="1"/>
      <c r="J1739" s="1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</row>
    <row r="1740" spans="2:73" s="38" customFormat="1">
      <c r="B1740" s="1"/>
      <c r="C1740" s="1"/>
      <c r="D1740" s="1"/>
      <c r="E1740" s="1"/>
      <c r="F1740" s="1"/>
      <c r="G1740" s="1"/>
      <c r="H1740" s="1"/>
      <c r="I1740" s="1"/>
      <c r="J1740" s="1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</row>
    <row r="1741" spans="2:73" s="38" customFormat="1">
      <c r="B1741" s="1"/>
      <c r="C1741" s="1"/>
      <c r="D1741" s="1"/>
      <c r="E1741" s="1"/>
      <c r="F1741" s="1"/>
      <c r="G1741" s="1"/>
      <c r="H1741" s="1"/>
      <c r="I1741" s="1"/>
      <c r="J1741" s="1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</row>
    <row r="1742" spans="2:73" s="38" customFormat="1">
      <c r="B1742" s="1"/>
      <c r="C1742" s="1"/>
      <c r="D1742" s="1"/>
      <c r="E1742" s="1"/>
      <c r="F1742" s="1"/>
      <c r="G1742" s="1"/>
      <c r="H1742" s="1"/>
      <c r="I1742" s="1"/>
      <c r="J1742" s="1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</row>
    <row r="1743" spans="2:73" s="38" customFormat="1">
      <c r="B1743" s="1"/>
      <c r="C1743" s="1"/>
      <c r="D1743" s="1"/>
      <c r="E1743" s="1"/>
      <c r="F1743" s="1"/>
      <c r="G1743" s="1"/>
      <c r="H1743" s="1"/>
      <c r="I1743" s="1"/>
      <c r="J1743" s="1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</row>
    <row r="1744" spans="2:73" s="38" customFormat="1">
      <c r="B1744" s="1"/>
      <c r="C1744" s="1"/>
      <c r="D1744" s="1"/>
      <c r="E1744" s="1"/>
      <c r="F1744" s="1"/>
      <c r="G1744" s="1"/>
      <c r="H1744" s="1"/>
      <c r="I1744" s="1"/>
      <c r="J1744" s="1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</row>
    <row r="1745" spans="2:73" s="38" customFormat="1">
      <c r="B1745" s="1"/>
      <c r="C1745" s="1"/>
      <c r="D1745" s="1"/>
      <c r="E1745" s="1"/>
      <c r="F1745" s="1"/>
      <c r="G1745" s="1"/>
      <c r="H1745" s="1"/>
      <c r="I1745" s="1"/>
      <c r="J1745" s="1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</row>
    <row r="1746" spans="2:73" s="38" customFormat="1">
      <c r="B1746" s="1"/>
      <c r="C1746" s="1"/>
      <c r="D1746" s="1"/>
      <c r="E1746" s="1"/>
      <c r="F1746" s="1"/>
      <c r="G1746" s="1"/>
      <c r="H1746" s="1"/>
      <c r="I1746" s="1"/>
      <c r="J1746" s="1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</row>
    <row r="1747" spans="2:73" s="38" customFormat="1">
      <c r="B1747" s="1"/>
      <c r="C1747" s="1"/>
      <c r="D1747" s="1"/>
      <c r="E1747" s="1"/>
      <c r="F1747" s="1"/>
      <c r="G1747" s="1"/>
      <c r="H1747" s="1"/>
      <c r="I1747" s="1"/>
      <c r="J1747" s="1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</row>
    <row r="1748" spans="2:73" s="38" customFormat="1">
      <c r="B1748" s="1"/>
      <c r="C1748" s="1"/>
      <c r="D1748" s="1"/>
      <c r="E1748" s="1"/>
      <c r="F1748" s="1"/>
      <c r="G1748" s="1"/>
      <c r="H1748" s="1"/>
      <c r="I1748" s="1"/>
      <c r="J1748" s="1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</row>
    <row r="1749" spans="2:73" s="38" customFormat="1">
      <c r="B1749" s="1"/>
      <c r="C1749" s="1"/>
      <c r="D1749" s="1"/>
      <c r="E1749" s="1"/>
      <c r="F1749" s="1"/>
      <c r="G1749" s="1"/>
      <c r="H1749" s="1"/>
      <c r="I1749" s="1"/>
      <c r="J1749" s="1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</row>
    <row r="1750" spans="2:73" s="38" customFormat="1">
      <c r="B1750" s="1"/>
      <c r="C1750" s="1"/>
      <c r="D1750" s="1"/>
      <c r="E1750" s="1"/>
      <c r="F1750" s="1"/>
      <c r="G1750" s="1"/>
      <c r="H1750" s="1"/>
      <c r="I1750" s="1"/>
      <c r="J1750" s="1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</row>
    <row r="1751" spans="2:73" s="38" customFormat="1">
      <c r="B1751" s="1"/>
      <c r="C1751" s="1"/>
      <c r="D1751" s="1"/>
      <c r="E1751" s="1"/>
      <c r="F1751" s="1"/>
      <c r="G1751" s="1"/>
      <c r="H1751" s="1"/>
      <c r="I1751" s="1"/>
      <c r="J1751" s="1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</row>
    <row r="1752" spans="2:73" s="38" customFormat="1">
      <c r="B1752" s="1"/>
      <c r="C1752" s="1"/>
      <c r="D1752" s="1"/>
      <c r="E1752" s="1"/>
      <c r="F1752" s="1"/>
      <c r="G1752" s="1"/>
      <c r="H1752" s="1"/>
      <c r="I1752" s="1"/>
      <c r="J1752" s="1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</row>
    <row r="1753" spans="2:73" s="38" customFormat="1">
      <c r="B1753" s="1"/>
      <c r="C1753" s="1"/>
      <c r="D1753" s="1"/>
      <c r="E1753" s="1"/>
      <c r="F1753" s="1"/>
      <c r="G1753" s="1"/>
      <c r="H1753" s="1"/>
      <c r="I1753" s="1"/>
      <c r="J1753" s="1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</row>
    <row r="1754" spans="2:73" s="38" customFormat="1">
      <c r="B1754" s="1"/>
      <c r="C1754" s="1"/>
      <c r="D1754" s="1"/>
      <c r="E1754" s="1"/>
      <c r="F1754" s="1"/>
      <c r="G1754" s="1"/>
      <c r="H1754" s="1"/>
      <c r="I1754" s="1"/>
      <c r="J1754" s="1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</row>
    <row r="1755" spans="2:73" s="38" customFormat="1">
      <c r="B1755" s="1"/>
      <c r="C1755" s="1"/>
      <c r="D1755" s="1"/>
      <c r="E1755" s="1"/>
      <c r="F1755" s="1"/>
      <c r="G1755" s="1"/>
      <c r="H1755" s="1"/>
      <c r="I1755" s="1"/>
      <c r="J1755" s="1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</row>
    <row r="1756" spans="2:73" s="38" customFormat="1">
      <c r="B1756" s="1"/>
      <c r="C1756" s="1"/>
      <c r="D1756" s="1"/>
      <c r="E1756" s="1"/>
      <c r="F1756" s="1"/>
      <c r="G1756" s="1"/>
      <c r="H1756" s="1"/>
      <c r="I1756" s="1"/>
      <c r="J1756" s="1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</row>
    <row r="1757" spans="2:73" s="38" customFormat="1">
      <c r="B1757" s="1"/>
      <c r="C1757" s="1"/>
      <c r="D1757" s="1"/>
      <c r="E1757" s="1"/>
      <c r="F1757" s="1"/>
      <c r="G1757" s="1"/>
      <c r="H1757" s="1"/>
      <c r="I1757" s="1"/>
      <c r="J1757" s="1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</row>
    <row r="1758" spans="2:73" s="38" customFormat="1">
      <c r="B1758" s="1"/>
      <c r="C1758" s="1"/>
      <c r="D1758" s="1"/>
      <c r="E1758" s="1"/>
      <c r="F1758" s="1"/>
      <c r="G1758" s="1"/>
      <c r="H1758" s="1"/>
      <c r="I1758" s="1"/>
      <c r="J1758" s="1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</row>
    <row r="1759" spans="2:73" s="38" customFormat="1">
      <c r="B1759" s="1"/>
      <c r="C1759" s="1"/>
      <c r="D1759" s="1"/>
      <c r="E1759" s="1"/>
      <c r="F1759" s="1"/>
      <c r="G1759" s="1"/>
      <c r="H1759" s="1"/>
      <c r="I1759" s="1"/>
      <c r="J1759" s="1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</row>
    <row r="1760" spans="2:73" s="38" customFormat="1">
      <c r="B1760" s="1"/>
      <c r="C1760" s="1"/>
      <c r="D1760" s="1"/>
      <c r="E1760" s="1"/>
      <c r="F1760" s="1"/>
      <c r="G1760" s="1"/>
      <c r="H1760" s="1"/>
      <c r="I1760" s="1"/>
      <c r="J1760" s="1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</row>
    <row r="1761" spans="2:73" s="38" customFormat="1">
      <c r="B1761" s="1"/>
      <c r="C1761" s="1"/>
      <c r="D1761" s="1"/>
      <c r="E1761" s="1"/>
      <c r="F1761" s="1"/>
      <c r="G1761" s="1"/>
      <c r="H1761" s="1"/>
      <c r="I1761" s="1"/>
      <c r="J1761" s="1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</row>
    <row r="1762" spans="2:73" s="38" customFormat="1">
      <c r="B1762" s="1"/>
      <c r="C1762" s="1"/>
      <c r="D1762" s="1"/>
      <c r="E1762" s="1"/>
      <c r="F1762" s="1"/>
      <c r="G1762" s="1"/>
      <c r="H1762" s="1"/>
      <c r="I1762" s="1"/>
      <c r="J1762" s="1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</row>
    <row r="1763" spans="2:73" s="38" customFormat="1">
      <c r="B1763" s="1"/>
      <c r="C1763" s="1"/>
      <c r="D1763" s="1"/>
      <c r="E1763" s="1"/>
      <c r="F1763" s="1"/>
      <c r="G1763" s="1"/>
      <c r="H1763" s="1"/>
      <c r="I1763" s="1"/>
      <c r="J1763" s="1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</row>
    <row r="1764" spans="2:73" s="38" customFormat="1">
      <c r="B1764" s="1"/>
      <c r="C1764" s="1"/>
      <c r="D1764" s="1"/>
      <c r="E1764" s="1"/>
      <c r="F1764" s="1"/>
      <c r="G1764" s="1"/>
      <c r="H1764" s="1"/>
      <c r="I1764" s="1"/>
      <c r="J1764" s="1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</row>
    <row r="1765" spans="2:73" s="38" customFormat="1">
      <c r="B1765" s="1"/>
      <c r="C1765" s="1"/>
      <c r="D1765" s="1"/>
      <c r="E1765" s="1"/>
      <c r="F1765" s="1"/>
      <c r="G1765" s="1"/>
      <c r="H1765" s="1"/>
      <c r="I1765" s="1"/>
      <c r="J1765" s="1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</row>
    <row r="1766" spans="2:73" s="38" customFormat="1">
      <c r="B1766" s="1"/>
      <c r="C1766" s="1"/>
      <c r="D1766" s="1"/>
      <c r="E1766" s="1"/>
      <c r="F1766" s="1"/>
      <c r="G1766" s="1"/>
      <c r="H1766" s="1"/>
      <c r="I1766" s="1"/>
      <c r="J1766" s="1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</row>
    <row r="1767" spans="2:73" s="38" customFormat="1">
      <c r="B1767" s="1"/>
      <c r="C1767" s="1"/>
      <c r="D1767" s="1"/>
      <c r="E1767" s="1"/>
      <c r="F1767" s="1"/>
      <c r="G1767" s="1"/>
      <c r="H1767" s="1"/>
      <c r="I1767" s="1"/>
      <c r="J1767" s="1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</row>
    <row r="1768" spans="2:73" s="38" customFormat="1">
      <c r="B1768" s="1"/>
      <c r="C1768" s="1"/>
      <c r="D1768" s="1"/>
      <c r="E1768" s="1"/>
      <c r="F1768" s="1"/>
      <c r="G1768" s="1"/>
      <c r="H1768" s="1"/>
      <c r="I1768" s="1"/>
      <c r="J1768" s="1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</row>
    <row r="1769" spans="2:73" s="38" customFormat="1">
      <c r="B1769" s="1"/>
      <c r="C1769" s="1"/>
      <c r="D1769" s="1"/>
      <c r="E1769" s="1"/>
      <c r="F1769" s="1"/>
      <c r="G1769" s="1"/>
      <c r="H1769" s="1"/>
      <c r="I1769" s="1"/>
      <c r="J1769" s="1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</row>
    <row r="1770" spans="2:73" s="38" customFormat="1">
      <c r="B1770" s="1"/>
      <c r="C1770" s="1"/>
      <c r="D1770" s="1"/>
      <c r="E1770" s="1"/>
      <c r="F1770" s="1"/>
      <c r="G1770" s="1"/>
      <c r="H1770" s="1"/>
      <c r="I1770" s="1"/>
      <c r="J1770" s="1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</row>
    <row r="1771" spans="2:73" s="38" customFormat="1">
      <c r="B1771" s="1"/>
      <c r="C1771" s="1"/>
      <c r="D1771" s="1"/>
      <c r="E1771" s="1"/>
      <c r="F1771" s="1"/>
      <c r="G1771" s="1"/>
      <c r="H1771" s="1"/>
      <c r="I1771" s="1"/>
      <c r="J1771" s="1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</row>
    <row r="1772" spans="2:73" s="38" customFormat="1">
      <c r="B1772" s="1"/>
      <c r="C1772" s="1"/>
      <c r="D1772" s="1"/>
      <c r="E1772" s="1"/>
      <c r="F1772" s="1"/>
      <c r="G1772" s="1"/>
      <c r="H1772" s="1"/>
      <c r="I1772" s="1"/>
      <c r="J1772" s="1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</row>
    <row r="1773" spans="2:73" s="38" customFormat="1">
      <c r="B1773" s="1"/>
      <c r="C1773" s="1"/>
      <c r="D1773" s="1"/>
      <c r="E1773" s="1"/>
      <c r="F1773" s="1"/>
      <c r="G1773" s="1"/>
      <c r="H1773" s="1"/>
      <c r="I1773" s="1"/>
      <c r="J1773" s="1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</row>
    <row r="1774" spans="2:73" s="38" customFormat="1">
      <c r="B1774" s="1"/>
      <c r="C1774" s="1"/>
      <c r="D1774" s="1"/>
      <c r="E1774" s="1"/>
      <c r="F1774" s="1"/>
      <c r="G1774" s="1"/>
      <c r="H1774" s="1"/>
      <c r="I1774" s="1"/>
      <c r="J1774" s="1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</row>
    <row r="1775" spans="2:73" s="38" customFormat="1">
      <c r="B1775" s="1"/>
      <c r="C1775" s="1"/>
      <c r="D1775" s="1"/>
      <c r="E1775" s="1"/>
      <c r="F1775" s="1"/>
      <c r="G1775" s="1"/>
      <c r="H1775" s="1"/>
      <c r="I1775" s="1"/>
      <c r="J1775" s="1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</row>
    <row r="1776" spans="2:73" s="38" customFormat="1">
      <c r="B1776" s="1"/>
      <c r="C1776" s="1"/>
      <c r="D1776" s="1"/>
      <c r="E1776" s="1"/>
      <c r="F1776" s="1"/>
      <c r="G1776" s="1"/>
      <c r="H1776" s="1"/>
      <c r="I1776" s="1"/>
      <c r="J1776" s="1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</row>
    <row r="1777" spans="2:73" s="38" customFormat="1">
      <c r="B1777" s="1"/>
      <c r="C1777" s="1"/>
      <c r="D1777" s="1"/>
      <c r="E1777" s="1"/>
      <c r="F1777" s="1"/>
      <c r="G1777" s="1"/>
      <c r="H1777" s="1"/>
      <c r="I1777" s="1"/>
      <c r="J1777" s="1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</row>
    <row r="1778" spans="2:73" s="38" customFormat="1">
      <c r="B1778" s="1"/>
      <c r="C1778" s="1"/>
      <c r="D1778" s="1"/>
      <c r="E1778" s="1"/>
      <c r="F1778" s="1"/>
      <c r="G1778" s="1"/>
      <c r="H1778" s="1"/>
      <c r="I1778" s="1"/>
      <c r="J1778" s="1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</row>
    <row r="1779" spans="2:73" s="38" customFormat="1">
      <c r="B1779" s="1"/>
      <c r="C1779" s="1"/>
      <c r="D1779" s="1"/>
      <c r="E1779" s="1"/>
      <c r="F1779" s="1"/>
      <c r="G1779" s="1"/>
      <c r="H1779" s="1"/>
      <c r="I1779" s="1"/>
      <c r="J1779" s="1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</row>
    <row r="1780" spans="2:73" s="38" customFormat="1">
      <c r="B1780" s="1"/>
      <c r="C1780" s="1"/>
      <c r="D1780" s="1"/>
      <c r="E1780" s="1"/>
      <c r="F1780" s="1"/>
      <c r="G1780" s="1"/>
      <c r="H1780" s="1"/>
      <c r="I1780" s="1"/>
      <c r="J1780" s="1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</row>
    <row r="1781" spans="2:73" s="38" customFormat="1">
      <c r="B1781" s="1"/>
      <c r="C1781" s="1"/>
      <c r="D1781" s="1"/>
      <c r="E1781" s="1"/>
      <c r="F1781" s="1"/>
      <c r="G1781" s="1"/>
      <c r="H1781" s="1"/>
      <c r="I1781" s="1"/>
      <c r="J1781" s="1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</row>
    <row r="1782" spans="2:73" s="38" customFormat="1">
      <c r="B1782" s="1"/>
      <c r="C1782" s="1"/>
      <c r="D1782" s="1"/>
      <c r="E1782" s="1"/>
      <c r="F1782" s="1"/>
      <c r="G1782" s="1"/>
      <c r="H1782" s="1"/>
      <c r="I1782" s="1"/>
      <c r="J1782" s="1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</row>
    <row r="1783" spans="2:73" s="38" customFormat="1">
      <c r="B1783" s="1"/>
      <c r="C1783" s="1"/>
      <c r="D1783" s="1"/>
      <c r="E1783" s="1"/>
      <c r="F1783" s="1"/>
      <c r="G1783" s="1"/>
      <c r="H1783" s="1"/>
      <c r="I1783" s="1"/>
      <c r="J1783" s="1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</row>
    <row r="1784" spans="2:73" s="38" customFormat="1">
      <c r="B1784" s="1"/>
      <c r="C1784" s="1"/>
      <c r="D1784" s="1"/>
      <c r="E1784" s="1"/>
      <c r="F1784" s="1"/>
      <c r="G1784" s="1"/>
      <c r="H1784" s="1"/>
      <c r="I1784" s="1"/>
      <c r="J1784" s="1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</row>
    <row r="1785" spans="2:73" s="38" customFormat="1">
      <c r="B1785" s="1"/>
      <c r="C1785" s="1"/>
      <c r="D1785" s="1"/>
      <c r="E1785" s="1"/>
      <c r="F1785" s="1"/>
      <c r="G1785" s="1"/>
      <c r="H1785" s="1"/>
      <c r="I1785" s="1"/>
      <c r="J1785" s="1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</row>
    <row r="1786" spans="2:73" s="38" customFormat="1">
      <c r="B1786" s="1"/>
      <c r="C1786" s="1"/>
      <c r="D1786" s="1"/>
      <c r="E1786" s="1"/>
      <c r="F1786" s="1"/>
      <c r="G1786" s="1"/>
      <c r="H1786" s="1"/>
      <c r="I1786" s="1"/>
      <c r="J1786" s="1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</row>
    <row r="1787" spans="2:73" s="38" customFormat="1">
      <c r="B1787" s="1"/>
      <c r="C1787" s="1"/>
      <c r="D1787" s="1"/>
      <c r="E1787" s="1"/>
      <c r="F1787" s="1"/>
      <c r="G1787" s="1"/>
      <c r="H1787" s="1"/>
      <c r="I1787" s="1"/>
      <c r="J1787" s="1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</row>
    <row r="1788" spans="2:73" s="38" customFormat="1">
      <c r="B1788" s="1"/>
      <c r="C1788" s="1"/>
      <c r="D1788" s="1"/>
      <c r="E1788" s="1"/>
      <c r="F1788" s="1"/>
      <c r="G1788" s="1"/>
      <c r="H1788" s="1"/>
      <c r="I1788" s="1"/>
      <c r="J1788" s="1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</row>
    <row r="1789" spans="2:73" s="38" customFormat="1">
      <c r="B1789" s="1"/>
      <c r="C1789" s="1"/>
      <c r="D1789" s="1"/>
      <c r="E1789" s="1"/>
      <c r="F1789" s="1"/>
      <c r="G1789" s="1"/>
      <c r="H1789" s="1"/>
      <c r="I1789" s="1"/>
      <c r="J1789" s="1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</row>
    <row r="1790" spans="2:73" s="38" customFormat="1">
      <c r="B1790" s="1"/>
      <c r="C1790" s="1"/>
      <c r="D1790" s="1"/>
      <c r="E1790" s="1"/>
      <c r="F1790" s="1"/>
      <c r="G1790" s="1"/>
      <c r="H1790" s="1"/>
      <c r="I1790" s="1"/>
      <c r="J1790" s="1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</row>
    <row r="1791" spans="2:73" s="38" customFormat="1">
      <c r="B1791" s="1"/>
      <c r="C1791" s="1"/>
      <c r="D1791" s="1"/>
      <c r="E1791" s="1"/>
      <c r="F1791" s="1"/>
      <c r="G1791" s="1"/>
      <c r="H1791" s="1"/>
      <c r="I1791" s="1"/>
      <c r="J1791" s="1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</row>
    <row r="1792" spans="2:73" s="38" customFormat="1">
      <c r="B1792" s="1"/>
      <c r="C1792" s="1"/>
      <c r="D1792" s="1"/>
      <c r="E1792" s="1"/>
      <c r="F1792" s="1"/>
      <c r="G1792" s="1"/>
      <c r="H1792" s="1"/>
      <c r="I1792" s="1"/>
      <c r="J1792" s="1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</row>
    <row r="1793" spans="2:73" s="38" customFormat="1">
      <c r="B1793" s="1"/>
      <c r="C1793" s="1"/>
      <c r="D1793" s="1"/>
      <c r="E1793" s="1"/>
      <c r="F1793" s="1"/>
      <c r="G1793" s="1"/>
      <c r="H1793" s="1"/>
      <c r="I1793" s="1"/>
      <c r="J1793" s="1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</row>
    <row r="1794" spans="2:73" s="38" customFormat="1">
      <c r="B1794" s="1"/>
      <c r="C1794" s="1"/>
      <c r="D1794" s="1"/>
      <c r="E1794" s="1"/>
      <c r="F1794" s="1"/>
      <c r="G1794" s="1"/>
      <c r="H1794" s="1"/>
      <c r="I1794" s="1"/>
      <c r="J1794" s="1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</row>
    <row r="1795" spans="2:73" s="38" customFormat="1">
      <c r="B1795" s="1"/>
      <c r="C1795" s="1"/>
      <c r="D1795" s="1"/>
      <c r="E1795" s="1"/>
      <c r="F1795" s="1"/>
      <c r="G1795" s="1"/>
      <c r="H1795" s="1"/>
      <c r="I1795" s="1"/>
      <c r="J1795" s="1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</row>
    <row r="1796" spans="2:73" s="38" customFormat="1">
      <c r="B1796" s="1"/>
      <c r="C1796" s="1"/>
      <c r="D1796" s="1"/>
      <c r="E1796" s="1"/>
      <c r="F1796" s="1"/>
      <c r="G1796" s="1"/>
      <c r="H1796" s="1"/>
      <c r="I1796" s="1"/>
      <c r="J1796" s="1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</row>
    <row r="1797" spans="2:73" s="38" customFormat="1">
      <c r="B1797" s="1"/>
      <c r="C1797" s="1"/>
      <c r="D1797" s="1"/>
      <c r="E1797" s="1"/>
      <c r="F1797" s="1"/>
      <c r="G1797" s="1"/>
      <c r="H1797" s="1"/>
      <c r="I1797" s="1"/>
      <c r="J1797" s="1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</row>
    <row r="1798" spans="2:73" s="38" customFormat="1">
      <c r="B1798" s="1"/>
      <c r="C1798" s="1"/>
      <c r="D1798" s="1"/>
      <c r="E1798" s="1"/>
      <c r="F1798" s="1"/>
      <c r="G1798" s="1"/>
      <c r="H1798" s="1"/>
      <c r="I1798" s="1"/>
      <c r="J1798" s="1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</row>
    <row r="1799" spans="2:73" s="38" customFormat="1">
      <c r="B1799" s="1"/>
      <c r="C1799" s="1"/>
      <c r="D1799" s="1"/>
      <c r="E1799" s="1"/>
      <c r="F1799" s="1"/>
      <c r="G1799" s="1"/>
      <c r="H1799" s="1"/>
      <c r="I1799" s="1"/>
      <c r="J1799" s="1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</row>
    <row r="1800" spans="2:73" s="38" customFormat="1">
      <c r="B1800" s="1"/>
      <c r="C1800" s="1"/>
      <c r="D1800" s="1"/>
      <c r="E1800" s="1"/>
      <c r="F1800" s="1"/>
      <c r="G1800" s="1"/>
      <c r="H1800" s="1"/>
      <c r="I1800" s="1"/>
      <c r="J1800" s="1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</row>
    <row r="1801" spans="2:73" s="38" customFormat="1">
      <c r="B1801" s="1"/>
      <c r="C1801" s="1"/>
      <c r="D1801" s="1"/>
      <c r="E1801" s="1"/>
      <c r="F1801" s="1"/>
      <c r="G1801" s="1"/>
      <c r="H1801" s="1"/>
      <c r="I1801" s="1"/>
      <c r="J1801" s="1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</row>
    <row r="1802" spans="2:73" s="38" customFormat="1">
      <c r="B1802" s="1"/>
      <c r="C1802" s="1"/>
      <c r="D1802" s="1"/>
      <c r="E1802" s="1"/>
      <c r="F1802" s="1"/>
      <c r="G1802" s="1"/>
      <c r="H1802" s="1"/>
      <c r="I1802" s="1"/>
      <c r="J1802" s="1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</row>
    <row r="1803" spans="2:73" s="38" customFormat="1">
      <c r="B1803" s="1"/>
      <c r="C1803" s="1"/>
      <c r="D1803" s="1"/>
      <c r="E1803" s="1"/>
      <c r="F1803" s="1"/>
      <c r="G1803" s="1"/>
      <c r="H1803" s="1"/>
      <c r="I1803" s="1"/>
      <c r="J1803" s="1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</row>
    <row r="1804" spans="2:73" s="38" customFormat="1">
      <c r="B1804" s="1"/>
      <c r="C1804" s="1"/>
      <c r="D1804" s="1"/>
      <c r="E1804" s="1"/>
      <c r="F1804" s="1"/>
      <c r="G1804" s="1"/>
      <c r="H1804" s="1"/>
      <c r="I1804" s="1"/>
      <c r="J1804" s="1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</row>
    <row r="1805" spans="2:73" s="38" customFormat="1">
      <c r="B1805" s="1"/>
      <c r="C1805" s="1"/>
      <c r="D1805" s="1"/>
      <c r="E1805" s="1"/>
      <c r="F1805" s="1"/>
      <c r="G1805" s="1"/>
      <c r="H1805" s="1"/>
      <c r="I1805" s="1"/>
      <c r="J1805" s="1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</row>
    <row r="1806" spans="2:73" s="38" customFormat="1">
      <c r="B1806" s="1"/>
      <c r="C1806" s="1"/>
      <c r="D1806" s="1"/>
      <c r="E1806" s="1"/>
      <c r="F1806" s="1"/>
      <c r="G1806" s="1"/>
      <c r="H1806" s="1"/>
      <c r="I1806" s="1"/>
      <c r="J1806" s="1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</row>
    <row r="1807" spans="2:73" s="38" customFormat="1">
      <c r="B1807" s="1"/>
      <c r="C1807" s="1"/>
      <c r="D1807" s="1"/>
      <c r="E1807" s="1"/>
      <c r="F1807" s="1"/>
      <c r="G1807" s="1"/>
      <c r="H1807" s="1"/>
      <c r="I1807" s="1"/>
      <c r="J1807" s="1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</row>
    <row r="1808" spans="2:73" s="38" customFormat="1">
      <c r="B1808" s="1"/>
      <c r="C1808" s="1"/>
      <c r="D1808" s="1"/>
      <c r="E1808" s="1"/>
      <c r="F1808" s="1"/>
      <c r="G1808" s="1"/>
      <c r="H1808" s="1"/>
      <c r="I1808" s="1"/>
      <c r="J1808" s="1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</row>
    <row r="1809" spans="2:73" s="38" customFormat="1">
      <c r="B1809" s="1"/>
      <c r="C1809" s="1"/>
      <c r="D1809" s="1"/>
      <c r="E1809" s="1"/>
      <c r="F1809" s="1"/>
      <c r="G1809" s="1"/>
      <c r="H1809" s="1"/>
      <c r="I1809" s="1"/>
      <c r="J1809" s="1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</row>
    <row r="1810" spans="2:73" s="38" customFormat="1">
      <c r="B1810" s="1"/>
      <c r="C1810" s="1"/>
      <c r="D1810" s="1"/>
      <c r="E1810" s="1"/>
      <c r="F1810" s="1"/>
      <c r="G1810" s="1"/>
      <c r="H1810" s="1"/>
      <c r="I1810" s="1"/>
      <c r="J1810" s="1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</row>
    <row r="1811" spans="2:73" s="38" customFormat="1">
      <c r="B1811" s="1"/>
      <c r="C1811" s="1"/>
      <c r="D1811" s="1"/>
      <c r="E1811" s="1"/>
      <c r="F1811" s="1"/>
      <c r="G1811" s="1"/>
      <c r="H1811" s="1"/>
      <c r="I1811" s="1"/>
      <c r="J1811" s="1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</row>
    <row r="1812" spans="2:73" s="38" customFormat="1">
      <c r="B1812" s="1"/>
      <c r="C1812" s="1"/>
      <c r="D1812" s="1"/>
      <c r="E1812" s="1"/>
      <c r="F1812" s="1"/>
      <c r="G1812" s="1"/>
      <c r="H1812" s="1"/>
      <c r="I1812" s="1"/>
      <c r="J1812" s="1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</row>
    <row r="1813" spans="2:73" s="38" customFormat="1">
      <c r="B1813" s="1"/>
      <c r="C1813" s="1"/>
      <c r="D1813" s="1"/>
      <c r="E1813" s="1"/>
      <c r="F1813" s="1"/>
      <c r="G1813" s="1"/>
      <c r="H1813" s="1"/>
      <c r="I1813" s="1"/>
      <c r="J1813" s="1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</row>
    <row r="1814" spans="2:73" s="38" customFormat="1">
      <c r="B1814" s="1"/>
      <c r="C1814" s="1"/>
      <c r="D1814" s="1"/>
      <c r="E1814" s="1"/>
      <c r="F1814" s="1"/>
      <c r="G1814" s="1"/>
      <c r="H1814" s="1"/>
      <c r="I1814" s="1"/>
      <c r="J1814" s="1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</row>
    <row r="1815" spans="2:73" s="38" customFormat="1">
      <c r="B1815" s="1"/>
      <c r="C1815" s="1"/>
      <c r="D1815" s="1"/>
      <c r="E1815" s="1"/>
      <c r="F1815" s="1"/>
      <c r="G1815" s="1"/>
      <c r="H1815" s="1"/>
      <c r="I1815" s="1"/>
      <c r="J1815" s="1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</row>
    <row r="1816" spans="2:73" s="38" customFormat="1">
      <c r="B1816" s="1"/>
      <c r="C1816" s="1"/>
      <c r="D1816" s="1"/>
      <c r="E1816" s="1"/>
      <c r="F1816" s="1"/>
      <c r="G1816" s="1"/>
      <c r="H1816" s="1"/>
      <c r="I1816" s="1"/>
      <c r="J1816" s="1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</row>
    <row r="1817" spans="2:73" s="38" customFormat="1">
      <c r="B1817" s="1"/>
      <c r="C1817" s="1"/>
      <c r="D1817" s="1"/>
      <c r="E1817" s="1"/>
      <c r="F1817" s="1"/>
      <c r="G1817" s="1"/>
      <c r="H1817" s="1"/>
      <c r="I1817" s="1"/>
      <c r="J1817" s="1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</row>
    <row r="1818" spans="2:73" s="38" customFormat="1">
      <c r="B1818" s="1"/>
      <c r="C1818" s="1"/>
      <c r="D1818" s="1"/>
      <c r="E1818" s="1"/>
      <c r="F1818" s="1"/>
      <c r="G1818" s="1"/>
      <c r="H1818" s="1"/>
      <c r="I1818" s="1"/>
      <c r="J1818" s="1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</row>
    <row r="1819" spans="2:73" s="38" customFormat="1">
      <c r="B1819" s="1"/>
      <c r="C1819" s="1"/>
      <c r="D1819" s="1"/>
      <c r="E1819" s="1"/>
      <c r="F1819" s="1"/>
      <c r="G1819" s="1"/>
      <c r="H1819" s="1"/>
      <c r="I1819" s="1"/>
      <c r="J1819" s="1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</row>
    <row r="1820" spans="2:73" s="38" customFormat="1">
      <c r="B1820" s="1"/>
      <c r="C1820" s="1"/>
      <c r="D1820" s="1"/>
      <c r="E1820" s="1"/>
      <c r="F1820" s="1"/>
      <c r="G1820" s="1"/>
      <c r="H1820" s="1"/>
      <c r="I1820" s="1"/>
      <c r="J1820" s="1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</row>
    <row r="1821" spans="2:73" s="38" customFormat="1">
      <c r="B1821" s="1"/>
      <c r="C1821" s="1"/>
      <c r="D1821" s="1"/>
      <c r="E1821" s="1"/>
      <c r="F1821" s="1"/>
      <c r="G1821" s="1"/>
      <c r="H1821" s="1"/>
      <c r="I1821" s="1"/>
      <c r="J1821" s="1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</row>
    <row r="1822" spans="2:73" s="38" customFormat="1">
      <c r="B1822" s="1"/>
      <c r="C1822" s="1"/>
      <c r="D1822" s="1"/>
      <c r="E1822" s="1"/>
      <c r="F1822" s="1"/>
      <c r="G1822" s="1"/>
      <c r="H1822" s="1"/>
      <c r="I1822" s="1"/>
      <c r="J1822" s="1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</row>
    <row r="1823" spans="2:73" s="38" customFormat="1">
      <c r="B1823" s="1"/>
      <c r="C1823" s="1"/>
      <c r="D1823" s="1"/>
      <c r="E1823" s="1"/>
      <c r="F1823" s="1"/>
      <c r="G1823" s="1"/>
      <c r="H1823" s="1"/>
      <c r="I1823" s="1"/>
      <c r="J1823" s="1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</row>
    <row r="1824" spans="2:73" s="38" customFormat="1">
      <c r="B1824" s="1"/>
      <c r="C1824" s="1"/>
      <c r="D1824" s="1"/>
      <c r="E1824" s="1"/>
      <c r="F1824" s="1"/>
      <c r="G1824" s="1"/>
      <c r="H1824" s="1"/>
      <c r="I1824" s="1"/>
      <c r="J1824" s="1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</row>
    <row r="1825" spans="2:73" s="38" customFormat="1">
      <c r="B1825" s="1"/>
      <c r="C1825" s="1"/>
      <c r="D1825" s="1"/>
      <c r="E1825" s="1"/>
      <c r="F1825" s="1"/>
      <c r="G1825" s="1"/>
      <c r="H1825" s="1"/>
      <c r="I1825" s="1"/>
      <c r="J1825" s="1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</row>
    <row r="1826" spans="2:73" s="38" customFormat="1">
      <c r="B1826" s="1"/>
      <c r="C1826" s="1"/>
      <c r="D1826" s="1"/>
      <c r="E1826" s="1"/>
      <c r="F1826" s="1"/>
      <c r="G1826" s="1"/>
      <c r="H1826" s="1"/>
      <c r="I1826" s="1"/>
      <c r="J1826" s="1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</row>
    <row r="1827" spans="2:73" s="38" customFormat="1">
      <c r="B1827" s="1"/>
      <c r="C1827" s="1"/>
      <c r="D1827" s="1"/>
      <c r="E1827" s="1"/>
      <c r="F1827" s="1"/>
      <c r="G1827" s="1"/>
      <c r="H1827" s="1"/>
      <c r="I1827" s="1"/>
      <c r="J1827" s="1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</row>
    <row r="1828" spans="2:73" s="38" customFormat="1">
      <c r="B1828" s="1"/>
      <c r="C1828" s="1"/>
      <c r="D1828" s="1"/>
      <c r="E1828" s="1"/>
      <c r="F1828" s="1"/>
      <c r="G1828" s="1"/>
      <c r="H1828" s="1"/>
      <c r="I1828" s="1"/>
      <c r="J1828" s="1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</row>
    <row r="1829" spans="2:73" s="38" customFormat="1">
      <c r="B1829" s="1"/>
      <c r="C1829" s="1"/>
      <c r="D1829" s="1"/>
      <c r="E1829" s="1"/>
      <c r="F1829" s="1"/>
      <c r="G1829" s="1"/>
      <c r="H1829" s="1"/>
      <c r="I1829" s="1"/>
      <c r="J1829" s="1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</row>
    <row r="1830" spans="2:73" s="38" customFormat="1">
      <c r="B1830" s="1"/>
      <c r="C1830" s="1"/>
      <c r="D1830" s="1"/>
      <c r="E1830" s="1"/>
      <c r="F1830" s="1"/>
      <c r="G1830" s="1"/>
      <c r="H1830" s="1"/>
      <c r="I1830" s="1"/>
      <c r="J1830" s="1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</row>
    <row r="1831" spans="2:73" s="38" customFormat="1">
      <c r="B1831" s="1"/>
      <c r="C1831" s="1"/>
      <c r="D1831" s="1"/>
      <c r="E1831" s="1"/>
      <c r="F1831" s="1"/>
      <c r="G1831" s="1"/>
      <c r="H1831" s="1"/>
      <c r="I1831" s="1"/>
      <c r="J1831" s="1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</row>
    <row r="1832" spans="2:73" s="38" customFormat="1">
      <c r="B1832" s="1"/>
      <c r="C1832" s="1"/>
      <c r="D1832" s="1"/>
      <c r="E1832" s="1"/>
      <c r="F1832" s="1"/>
      <c r="G1832" s="1"/>
      <c r="H1832" s="1"/>
      <c r="I1832" s="1"/>
      <c r="J1832" s="1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</row>
    <row r="1833" spans="2:73" s="38" customFormat="1">
      <c r="B1833" s="1"/>
      <c r="C1833" s="1"/>
      <c r="D1833" s="1"/>
      <c r="E1833" s="1"/>
      <c r="F1833" s="1"/>
      <c r="G1833" s="1"/>
      <c r="H1833" s="1"/>
      <c r="I1833" s="1"/>
      <c r="J1833" s="1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</row>
    <row r="1834" spans="2:73" s="38" customFormat="1">
      <c r="B1834" s="1"/>
      <c r="C1834" s="1"/>
      <c r="D1834" s="1"/>
      <c r="E1834" s="1"/>
      <c r="F1834" s="1"/>
      <c r="G1834" s="1"/>
      <c r="H1834" s="1"/>
      <c r="I1834" s="1"/>
      <c r="J1834" s="1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</row>
    <row r="1835" spans="2:73" s="38" customFormat="1">
      <c r="B1835" s="1"/>
      <c r="C1835" s="1"/>
      <c r="D1835" s="1"/>
      <c r="E1835" s="1"/>
      <c r="F1835" s="1"/>
      <c r="G1835" s="1"/>
      <c r="H1835" s="1"/>
      <c r="I1835" s="1"/>
      <c r="J1835" s="1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</row>
    <row r="1836" spans="2:73" s="38" customFormat="1">
      <c r="B1836" s="1"/>
      <c r="C1836" s="1"/>
      <c r="D1836" s="1"/>
      <c r="E1836" s="1"/>
      <c r="F1836" s="1"/>
      <c r="G1836" s="1"/>
      <c r="H1836" s="1"/>
      <c r="I1836" s="1"/>
      <c r="J1836" s="1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</row>
    <row r="1837" spans="2:73" s="38" customFormat="1">
      <c r="B1837" s="1"/>
      <c r="C1837" s="1"/>
      <c r="D1837" s="1"/>
      <c r="E1837" s="1"/>
      <c r="F1837" s="1"/>
      <c r="G1837" s="1"/>
      <c r="H1837" s="1"/>
      <c r="I1837" s="1"/>
      <c r="J1837" s="1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</row>
    <row r="1838" spans="2:73" s="38" customFormat="1">
      <c r="B1838" s="1"/>
      <c r="C1838" s="1"/>
      <c r="D1838" s="1"/>
      <c r="E1838" s="1"/>
      <c r="F1838" s="1"/>
      <c r="G1838" s="1"/>
      <c r="H1838" s="1"/>
      <c r="I1838" s="1"/>
      <c r="J1838" s="1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</row>
    <row r="1839" spans="2:73" s="38" customFormat="1">
      <c r="B1839" s="1"/>
      <c r="C1839" s="1"/>
      <c r="D1839" s="1"/>
      <c r="E1839" s="1"/>
      <c r="F1839" s="1"/>
      <c r="G1839" s="1"/>
      <c r="H1839" s="1"/>
      <c r="I1839" s="1"/>
      <c r="J1839" s="1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</row>
    <row r="1840" spans="2:73" s="38" customFormat="1">
      <c r="B1840" s="1"/>
      <c r="C1840" s="1"/>
      <c r="D1840" s="1"/>
      <c r="E1840" s="1"/>
      <c r="F1840" s="1"/>
      <c r="G1840" s="1"/>
      <c r="H1840" s="1"/>
      <c r="I1840" s="1"/>
      <c r="J1840" s="1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</row>
    <row r="1841" spans="2:73" s="38" customFormat="1">
      <c r="B1841" s="1"/>
      <c r="C1841" s="1"/>
      <c r="D1841" s="1"/>
      <c r="E1841" s="1"/>
      <c r="F1841" s="1"/>
      <c r="G1841" s="1"/>
      <c r="H1841" s="1"/>
      <c r="I1841" s="1"/>
      <c r="J1841" s="1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</row>
    <row r="1842" spans="2:73" s="38" customFormat="1">
      <c r="B1842" s="1"/>
      <c r="C1842" s="1"/>
      <c r="D1842" s="1"/>
      <c r="E1842" s="1"/>
      <c r="F1842" s="1"/>
      <c r="G1842" s="1"/>
      <c r="H1842" s="1"/>
      <c r="I1842" s="1"/>
      <c r="J1842" s="1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</row>
    <row r="1843" spans="2:73" s="38" customFormat="1">
      <c r="B1843" s="1"/>
      <c r="C1843" s="1"/>
      <c r="D1843" s="1"/>
      <c r="E1843" s="1"/>
      <c r="F1843" s="1"/>
      <c r="G1843" s="1"/>
      <c r="H1843" s="1"/>
      <c r="I1843" s="1"/>
      <c r="J1843" s="1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</row>
    <row r="1844" spans="2:73" s="38" customFormat="1">
      <c r="B1844" s="1"/>
      <c r="C1844" s="1"/>
      <c r="D1844" s="1"/>
      <c r="E1844" s="1"/>
      <c r="F1844" s="1"/>
      <c r="G1844" s="1"/>
      <c r="H1844" s="1"/>
      <c r="I1844" s="1"/>
      <c r="J1844" s="1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</row>
    <row r="1845" spans="2:73" s="38" customFormat="1">
      <c r="B1845" s="1"/>
      <c r="C1845" s="1"/>
      <c r="D1845" s="1"/>
      <c r="E1845" s="1"/>
      <c r="F1845" s="1"/>
      <c r="G1845" s="1"/>
      <c r="H1845" s="1"/>
      <c r="I1845" s="1"/>
      <c r="J1845" s="1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</row>
    <row r="1846" spans="2:73" s="38" customFormat="1">
      <c r="B1846" s="1"/>
      <c r="C1846" s="1"/>
      <c r="D1846" s="1"/>
      <c r="E1846" s="1"/>
      <c r="F1846" s="1"/>
      <c r="G1846" s="1"/>
      <c r="H1846" s="1"/>
      <c r="I1846" s="1"/>
      <c r="J1846" s="1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</row>
    <row r="1847" spans="2:73" s="38" customFormat="1">
      <c r="B1847" s="1"/>
      <c r="C1847" s="1"/>
      <c r="D1847" s="1"/>
      <c r="E1847" s="1"/>
      <c r="F1847" s="1"/>
      <c r="G1847" s="1"/>
      <c r="H1847" s="1"/>
      <c r="I1847" s="1"/>
      <c r="J1847" s="1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</row>
    <row r="1848" spans="2:73" s="38" customFormat="1">
      <c r="B1848" s="1"/>
      <c r="C1848" s="1"/>
      <c r="D1848" s="1"/>
      <c r="E1848" s="1"/>
      <c r="F1848" s="1"/>
      <c r="G1848" s="1"/>
      <c r="H1848" s="1"/>
      <c r="I1848" s="1"/>
      <c r="J1848" s="1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</row>
    <row r="1849" spans="2:73" s="38" customFormat="1">
      <c r="B1849" s="1"/>
      <c r="C1849" s="1"/>
      <c r="D1849" s="1"/>
      <c r="E1849" s="1"/>
      <c r="F1849" s="1"/>
      <c r="G1849" s="1"/>
      <c r="H1849" s="1"/>
      <c r="I1849" s="1"/>
      <c r="J1849" s="1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</row>
    <row r="1850" spans="2:73" s="38" customFormat="1">
      <c r="B1850" s="1"/>
      <c r="C1850" s="1"/>
      <c r="D1850" s="1"/>
      <c r="E1850" s="1"/>
      <c r="F1850" s="1"/>
      <c r="G1850" s="1"/>
      <c r="H1850" s="1"/>
      <c r="I1850" s="1"/>
      <c r="J1850" s="1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</row>
    <row r="1851" spans="2:73" s="38" customFormat="1">
      <c r="B1851" s="1"/>
      <c r="C1851" s="1"/>
      <c r="D1851" s="1"/>
      <c r="E1851" s="1"/>
      <c r="F1851" s="1"/>
      <c r="G1851" s="1"/>
      <c r="H1851" s="1"/>
      <c r="I1851" s="1"/>
      <c r="J1851" s="1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</row>
    <row r="1852" spans="2:73" s="38" customFormat="1">
      <c r="B1852" s="1"/>
      <c r="C1852" s="1"/>
      <c r="D1852" s="1"/>
      <c r="E1852" s="1"/>
      <c r="F1852" s="1"/>
      <c r="G1852" s="1"/>
      <c r="H1852" s="1"/>
      <c r="I1852" s="1"/>
      <c r="J1852" s="1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</row>
    <row r="1853" spans="2:73" s="38" customFormat="1">
      <c r="B1853" s="1"/>
      <c r="C1853" s="1"/>
      <c r="D1853" s="1"/>
      <c r="E1853" s="1"/>
      <c r="F1853" s="1"/>
      <c r="G1853" s="1"/>
      <c r="H1853" s="1"/>
      <c r="I1853" s="1"/>
      <c r="J1853" s="1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</row>
    <row r="1854" spans="2:73" s="38" customFormat="1">
      <c r="B1854" s="1"/>
      <c r="C1854" s="1"/>
      <c r="D1854" s="1"/>
      <c r="E1854" s="1"/>
      <c r="F1854" s="1"/>
      <c r="G1854" s="1"/>
      <c r="H1854" s="1"/>
      <c r="I1854" s="1"/>
      <c r="J1854" s="1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</row>
    <row r="1855" spans="2:73" s="38" customFormat="1">
      <c r="B1855" s="1"/>
      <c r="C1855" s="1"/>
      <c r="D1855" s="1"/>
      <c r="E1855" s="1"/>
      <c r="F1855" s="1"/>
      <c r="G1855" s="1"/>
      <c r="H1855" s="1"/>
      <c r="I1855" s="1"/>
      <c r="J1855" s="1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</row>
    <row r="1856" spans="2:73" s="38" customFormat="1">
      <c r="B1856" s="1"/>
      <c r="C1856" s="1"/>
      <c r="D1856" s="1"/>
      <c r="E1856" s="1"/>
      <c r="F1856" s="1"/>
      <c r="G1856" s="1"/>
      <c r="H1856" s="1"/>
      <c r="I1856" s="1"/>
      <c r="J1856" s="1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</row>
    <row r="1857" spans="2:73" s="38" customFormat="1">
      <c r="B1857" s="1"/>
      <c r="C1857" s="1"/>
      <c r="D1857" s="1"/>
      <c r="E1857" s="1"/>
      <c r="F1857" s="1"/>
      <c r="G1857" s="1"/>
      <c r="H1857" s="1"/>
      <c r="I1857" s="1"/>
      <c r="J1857" s="1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</row>
    <row r="1858" spans="2:73" s="38" customFormat="1">
      <c r="B1858" s="1"/>
      <c r="C1858" s="1"/>
      <c r="D1858" s="1"/>
      <c r="E1858" s="1"/>
      <c r="F1858" s="1"/>
      <c r="G1858" s="1"/>
      <c r="H1858" s="1"/>
      <c r="I1858" s="1"/>
      <c r="J1858" s="1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</row>
    <row r="1859" spans="2:73" s="38" customFormat="1">
      <c r="B1859" s="1"/>
      <c r="C1859" s="1"/>
      <c r="D1859" s="1"/>
      <c r="E1859" s="1"/>
      <c r="F1859" s="1"/>
      <c r="G1859" s="1"/>
      <c r="H1859" s="1"/>
      <c r="I1859" s="1"/>
      <c r="J1859" s="1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</row>
    <row r="1860" spans="2:73" s="38" customFormat="1">
      <c r="B1860" s="1"/>
      <c r="C1860" s="1"/>
      <c r="D1860" s="1"/>
      <c r="E1860" s="1"/>
      <c r="F1860" s="1"/>
      <c r="G1860" s="1"/>
      <c r="H1860" s="1"/>
      <c r="I1860" s="1"/>
      <c r="J1860" s="1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</row>
    <row r="1861" spans="2:73" s="38" customFormat="1">
      <c r="B1861" s="1"/>
      <c r="C1861" s="1"/>
      <c r="D1861" s="1"/>
      <c r="E1861" s="1"/>
      <c r="F1861" s="1"/>
      <c r="G1861" s="1"/>
      <c r="H1861" s="1"/>
      <c r="I1861" s="1"/>
      <c r="J1861" s="1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</row>
    <row r="1862" spans="2:73" s="38" customFormat="1">
      <c r="B1862" s="1"/>
      <c r="C1862" s="1"/>
      <c r="D1862" s="1"/>
      <c r="E1862" s="1"/>
      <c r="F1862" s="1"/>
      <c r="G1862" s="1"/>
      <c r="H1862" s="1"/>
      <c r="I1862" s="1"/>
      <c r="J1862" s="1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</row>
    <row r="1863" spans="2:73" s="38" customFormat="1">
      <c r="B1863" s="1"/>
      <c r="C1863" s="1"/>
      <c r="D1863" s="1"/>
      <c r="E1863" s="1"/>
      <c r="F1863" s="1"/>
      <c r="G1863" s="1"/>
      <c r="H1863" s="1"/>
      <c r="I1863" s="1"/>
      <c r="J1863" s="1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</row>
    <row r="1864" spans="2:73" s="38" customFormat="1">
      <c r="B1864" s="1"/>
      <c r="C1864" s="1"/>
      <c r="D1864" s="1"/>
      <c r="E1864" s="1"/>
      <c r="F1864" s="1"/>
      <c r="G1864" s="1"/>
      <c r="H1864" s="1"/>
      <c r="I1864" s="1"/>
      <c r="J1864" s="1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</row>
    <row r="1865" spans="2:73" s="38" customFormat="1">
      <c r="B1865" s="1"/>
      <c r="C1865" s="1"/>
      <c r="D1865" s="1"/>
      <c r="E1865" s="1"/>
      <c r="F1865" s="1"/>
      <c r="G1865" s="1"/>
      <c r="H1865" s="1"/>
      <c r="I1865" s="1"/>
      <c r="J1865" s="1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</row>
    <row r="1866" spans="2:73" s="38" customFormat="1">
      <c r="B1866" s="1"/>
      <c r="C1866" s="1"/>
      <c r="D1866" s="1"/>
      <c r="E1866" s="1"/>
      <c r="F1866" s="1"/>
      <c r="G1866" s="1"/>
      <c r="H1866" s="1"/>
      <c r="I1866" s="1"/>
      <c r="J1866" s="1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</row>
    <row r="1867" spans="2:73" s="38" customFormat="1">
      <c r="B1867" s="1"/>
      <c r="C1867" s="1"/>
      <c r="D1867" s="1"/>
      <c r="E1867" s="1"/>
      <c r="F1867" s="1"/>
      <c r="G1867" s="1"/>
      <c r="H1867" s="1"/>
      <c r="I1867" s="1"/>
      <c r="J1867" s="1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</row>
    <row r="1868" spans="2:73" s="38" customFormat="1">
      <c r="B1868" s="1"/>
      <c r="C1868" s="1"/>
      <c r="D1868" s="1"/>
      <c r="E1868" s="1"/>
      <c r="F1868" s="1"/>
      <c r="G1868" s="1"/>
      <c r="H1868" s="1"/>
      <c r="I1868" s="1"/>
      <c r="J1868" s="1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</row>
    <row r="1869" spans="2:73" s="38" customFormat="1">
      <c r="B1869" s="1"/>
      <c r="C1869" s="1"/>
      <c r="D1869" s="1"/>
      <c r="E1869" s="1"/>
      <c r="F1869" s="1"/>
      <c r="G1869" s="1"/>
      <c r="H1869" s="1"/>
      <c r="I1869" s="1"/>
      <c r="J1869" s="1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</row>
    <row r="1870" spans="2:73" s="38" customFormat="1">
      <c r="B1870" s="1"/>
      <c r="C1870" s="1"/>
      <c r="D1870" s="1"/>
      <c r="E1870" s="1"/>
      <c r="F1870" s="1"/>
      <c r="G1870" s="1"/>
      <c r="H1870" s="1"/>
      <c r="I1870" s="1"/>
      <c r="J1870" s="1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</row>
    <row r="1871" spans="2:73" s="38" customFormat="1">
      <c r="B1871" s="1"/>
      <c r="C1871" s="1"/>
      <c r="D1871" s="1"/>
      <c r="E1871" s="1"/>
      <c r="F1871" s="1"/>
      <c r="G1871" s="1"/>
      <c r="H1871" s="1"/>
      <c r="I1871" s="1"/>
      <c r="J1871" s="1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</row>
    <row r="1872" spans="2:73" s="38" customFormat="1">
      <c r="B1872" s="1"/>
      <c r="C1872" s="1"/>
      <c r="D1872" s="1"/>
      <c r="E1872" s="1"/>
      <c r="F1872" s="1"/>
      <c r="G1872" s="1"/>
      <c r="H1872" s="1"/>
      <c r="I1872" s="1"/>
      <c r="J1872" s="1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</row>
    <row r="1873" spans="2:73" s="38" customFormat="1">
      <c r="B1873" s="1"/>
      <c r="C1873" s="1"/>
      <c r="D1873" s="1"/>
      <c r="E1873" s="1"/>
      <c r="F1873" s="1"/>
      <c r="G1873" s="1"/>
      <c r="H1873" s="1"/>
      <c r="I1873" s="1"/>
      <c r="J1873" s="1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</row>
    <row r="1874" spans="2:73" s="38" customFormat="1">
      <c r="B1874" s="1"/>
      <c r="C1874" s="1"/>
      <c r="D1874" s="1"/>
      <c r="E1874" s="1"/>
      <c r="F1874" s="1"/>
      <c r="G1874" s="1"/>
      <c r="H1874" s="1"/>
      <c r="I1874" s="1"/>
      <c r="J1874" s="1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</row>
    <row r="1875" spans="2:73" s="38" customFormat="1">
      <c r="B1875" s="1"/>
      <c r="C1875" s="1"/>
      <c r="D1875" s="1"/>
      <c r="E1875" s="1"/>
      <c r="F1875" s="1"/>
      <c r="G1875" s="1"/>
      <c r="H1875" s="1"/>
      <c r="I1875" s="1"/>
      <c r="J1875" s="1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</row>
    <row r="1876" spans="2:73" s="38" customFormat="1">
      <c r="B1876" s="1"/>
      <c r="C1876" s="1"/>
      <c r="D1876" s="1"/>
      <c r="E1876" s="1"/>
      <c r="F1876" s="1"/>
      <c r="G1876" s="1"/>
      <c r="H1876" s="1"/>
      <c r="I1876" s="1"/>
      <c r="J1876" s="1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</row>
    <row r="1877" spans="2:73" s="38" customFormat="1">
      <c r="B1877" s="1"/>
      <c r="C1877" s="1"/>
      <c r="D1877" s="1"/>
      <c r="E1877" s="1"/>
      <c r="F1877" s="1"/>
      <c r="G1877" s="1"/>
      <c r="H1877" s="1"/>
      <c r="I1877" s="1"/>
      <c r="J1877" s="1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</row>
    <row r="1878" spans="2:73" s="38" customFormat="1">
      <c r="B1878" s="1"/>
      <c r="C1878" s="1"/>
      <c r="D1878" s="1"/>
      <c r="E1878" s="1"/>
      <c r="F1878" s="1"/>
      <c r="G1878" s="1"/>
      <c r="H1878" s="1"/>
      <c r="I1878" s="1"/>
      <c r="J1878" s="1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</row>
    <row r="1879" spans="2:73" s="38" customFormat="1">
      <c r="B1879" s="1"/>
      <c r="C1879" s="1"/>
      <c r="D1879" s="1"/>
      <c r="E1879" s="1"/>
      <c r="F1879" s="1"/>
      <c r="G1879" s="1"/>
      <c r="H1879" s="1"/>
      <c r="I1879" s="1"/>
      <c r="J1879" s="1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</row>
    <row r="1880" spans="2:73" s="38" customFormat="1">
      <c r="B1880" s="1"/>
      <c r="C1880" s="1"/>
      <c r="D1880" s="1"/>
      <c r="E1880" s="1"/>
      <c r="F1880" s="1"/>
      <c r="G1880" s="1"/>
      <c r="H1880" s="1"/>
      <c r="I1880" s="1"/>
      <c r="J1880" s="1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</row>
    <row r="1881" spans="2:73" s="38" customFormat="1">
      <c r="B1881" s="1"/>
      <c r="C1881" s="1"/>
      <c r="D1881" s="1"/>
      <c r="E1881" s="1"/>
      <c r="F1881" s="1"/>
      <c r="G1881" s="1"/>
      <c r="H1881" s="1"/>
      <c r="I1881" s="1"/>
      <c r="J1881" s="1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</row>
    <row r="1882" spans="2:73" s="38" customFormat="1">
      <c r="B1882" s="1"/>
      <c r="C1882" s="1"/>
      <c r="D1882" s="1"/>
      <c r="E1882" s="1"/>
      <c r="F1882" s="1"/>
      <c r="G1882" s="1"/>
      <c r="H1882" s="1"/>
      <c r="I1882" s="1"/>
      <c r="J1882" s="1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</row>
    <row r="1883" spans="2:73" s="38" customFormat="1">
      <c r="B1883" s="1"/>
      <c r="C1883" s="1"/>
      <c r="D1883" s="1"/>
      <c r="E1883" s="1"/>
      <c r="F1883" s="1"/>
      <c r="G1883" s="1"/>
      <c r="H1883" s="1"/>
      <c r="I1883" s="1"/>
      <c r="J1883" s="1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</row>
    <row r="1884" spans="2:73" s="38" customFormat="1">
      <c r="B1884" s="1"/>
      <c r="C1884" s="1"/>
      <c r="D1884" s="1"/>
      <c r="E1884" s="1"/>
      <c r="F1884" s="1"/>
      <c r="G1884" s="1"/>
      <c r="H1884" s="1"/>
      <c r="I1884" s="1"/>
      <c r="J1884" s="1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</row>
    <row r="1885" spans="2:73" s="38" customFormat="1">
      <c r="B1885" s="1"/>
      <c r="C1885" s="1"/>
      <c r="D1885" s="1"/>
      <c r="E1885" s="1"/>
      <c r="F1885" s="1"/>
      <c r="G1885" s="1"/>
      <c r="H1885" s="1"/>
      <c r="I1885" s="1"/>
      <c r="J1885" s="1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</row>
    <row r="1886" spans="2:73" s="38" customFormat="1">
      <c r="B1886" s="1"/>
      <c r="C1886" s="1"/>
      <c r="D1886" s="1"/>
      <c r="E1886" s="1"/>
      <c r="F1886" s="1"/>
      <c r="G1886" s="1"/>
      <c r="H1886" s="1"/>
      <c r="I1886" s="1"/>
      <c r="J1886" s="1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</row>
    <row r="1887" spans="2:73" s="38" customFormat="1">
      <c r="B1887" s="1"/>
      <c r="C1887" s="1"/>
      <c r="D1887" s="1"/>
      <c r="E1887" s="1"/>
      <c r="F1887" s="1"/>
      <c r="G1887" s="1"/>
      <c r="H1887" s="1"/>
      <c r="I1887" s="1"/>
      <c r="J1887" s="1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</row>
    <row r="1888" spans="2:73" s="38" customFormat="1">
      <c r="B1888" s="1"/>
      <c r="C1888" s="1"/>
      <c r="D1888" s="1"/>
      <c r="E1888" s="1"/>
      <c r="F1888" s="1"/>
      <c r="G1888" s="1"/>
      <c r="H1888" s="1"/>
      <c r="I1888" s="1"/>
      <c r="J1888" s="1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</row>
    <row r="1889" spans="2:73" s="38" customFormat="1">
      <c r="B1889" s="1"/>
      <c r="C1889" s="1"/>
      <c r="D1889" s="1"/>
      <c r="E1889" s="1"/>
      <c r="F1889" s="1"/>
      <c r="G1889" s="1"/>
      <c r="H1889" s="1"/>
      <c r="I1889" s="1"/>
      <c r="J1889" s="1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</row>
    <row r="1890" spans="2:73" s="38" customFormat="1">
      <c r="B1890" s="1"/>
      <c r="C1890" s="1"/>
      <c r="D1890" s="1"/>
      <c r="E1890" s="1"/>
      <c r="F1890" s="1"/>
      <c r="G1890" s="1"/>
      <c r="H1890" s="1"/>
      <c r="I1890" s="1"/>
      <c r="J1890" s="1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</row>
    <row r="1891" spans="2:73" s="38" customFormat="1">
      <c r="B1891" s="1"/>
      <c r="C1891" s="1"/>
      <c r="D1891" s="1"/>
      <c r="E1891" s="1"/>
      <c r="F1891" s="1"/>
      <c r="G1891" s="1"/>
      <c r="H1891" s="1"/>
      <c r="I1891" s="1"/>
      <c r="J1891" s="1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</row>
    <row r="1892" spans="2:73" s="38" customFormat="1">
      <c r="B1892" s="1"/>
      <c r="C1892" s="1"/>
      <c r="D1892" s="1"/>
      <c r="E1892" s="1"/>
      <c r="F1892" s="1"/>
      <c r="G1892" s="1"/>
      <c r="H1892" s="1"/>
      <c r="I1892" s="1"/>
      <c r="J1892" s="1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</row>
    <row r="1893" spans="2:73" s="38" customFormat="1">
      <c r="B1893" s="1"/>
      <c r="C1893" s="1"/>
      <c r="D1893" s="1"/>
      <c r="E1893" s="1"/>
      <c r="F1893" s="1"/>
      <c r="G1893" s="1"/>
      <c r="H1893" s="1"/>
      <c r="I1893" s="1"/>
      <c r="J1893" s="1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</row>
    <row r="1894" spans="2:73" s="38" customFormat="1">
      <c r="B1894" s="1"/>
      <c r="C1894" s="1"/>
      <c r="D1894" s="1"/>
      <c r="E1894" s="1"/>
      <c r="F1894" s="1"/>
      <c r="G1894" s="1"/>
      <c r="H1894" s="1"/>
      <c r="I1894" s="1"/>
      <c r="J1894" s="1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</row>
    <row r="1895" spans="2:73" s="38" customFormat="1">
      <c r="B1895" s="1"/>
      <c r="C1895" s="1"/>
      <c r="D1895" s="1"/>
      <c r="E1895" s="1"/>
      <c r="F1895" s="1"/>
      <c r="G1895" s="1"/>
      <c r="H1895" s="1"/>
      <c r="I1895" s="1"/>
      <c r="J1895" s="1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</row>
    <row r="1896" spans="2:73" s="38" customFormat="1">
      <c r="B1896" s="1"/>
      <c r="C1896" s="1"/>
      <c r="D1896" s="1"/>
      <c r="E1896" s="1"/>
      <c r="F1896" s="1"/>
      <c r="G1896" s="1"/>
      <c r="H1896" s="1"/>
      <c r="I1896" s="1"/>
      <c r="J1896" s="1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</row>
    <row r="1897" spans="2:73" s="38" customFormat="1">
      <c r="B1897" s="1"/>
      <c r="C1897" s="1"/>
      <c r="D1897" s="1"/>
      <c r="E1897" s="1"/>
      <c r="F1897" s="1"/>
      <c r="G1897" s="1"/>
      <c r="H1897" s="1"/>
      <c r="I1897" s="1"/>
      <c r="J1897" s="1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</row>
    <row r="1898" spans="2:73" s="38" customFormat="1">
      <c r="B1898" s="1"/>
      <c r="C1898" s="1"/>
      <c r="D1898" s="1"/>
      <c r="E1898" s="1"/>
      <c r="F1898" s="1"/>
      <c r="G1898" s="1"/>
      <c r="H1898" s="1"/>
      <c r="I1898" s="1"/>
      <c r="J1898" s="1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</row>
    <row r="1899" spans="2:73" s="38" customFormat="1">
      <c r="B1899" s="1"/>
      <c r="C1899" s="1"/>
      <c r="D1899" s="1"/>
      <c r="E1899" s="1"/>
      <c r="F1899" s="1"/>
      <c r="G1899" s="1"/>
      <c r="H1899" s="1"/>
      <c r="I1899" s="1"/>
      <c r="J1899" s="1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</row>
    <row r="1900" spans="2:73" s="38" customFormat="1">
      <c r="B1900" s="1"/>
      <c r="C1900" s="1"/>
      <c r="D1900" s="1"/>
      <c r="E1900" s="1"/>
      <c r="F1900" s="1"/>
      <c r="G1900" s="1"/>
      <c r="H1900" s="1"/>
      <c r="I1900" s="1"/>
      <c r="J1900" s="1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</row>
    <row r="1901" spans="2:73" s="38" customFormat="1">
      <c r="B1901" s="1"/>
      <c r="C1901" s="1"/>
      <c r="D1901" s="1"/>
      <c r="E1901" s="1"/>
      <c r="F1901" s="1"/>
      <c r="G1901" s="1"/>
      <c r="H1901" s="1"/>
      <c r="I1901" s="1"/>
      <c r="J1901" s="1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</row>
    <row r="1902" spans="2:73" s="38" customFormat="1">
      <c r="B1902" s="1"/>
      <c r="C1902" s="1"/>
      <c r="D1902" s="1"/>
      <c r="E1902" s="1"/>
      <c r="F1902" s="1"/>
      <c r="G1902" s="1"/>
      <c r="H1902" s="1"/>
      <c r="I1902" s="1"/>
      <c r="J1902" s="1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</row>
    <row r="1903" spans="2:73" s="38" customFormat="1">
      <c r="B1903" s="1"/>
      <c r="C1903" s="1"/>
      <c r="D1903" s="1"/>
      <c r="E1903" s="1"/>
      <c r="F1903" s="1"/>
      <c r="G1903" s="1"/>
      <c r="H1903" s="1"/>
      <c r="I1903" s="1"/>
      <c r="J1903" s="1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</row>
    <row r="1904" spans="2:73" s="38" customFormat="1">
      <c r="B1904" s="1"/>
      <c r="C1904" s="1"/>
      <c r="D1904" s="1"/>
      <c r="E1904" s="1"/>
      <c r="F1904" s="1"/>
      <c r="G1904" s="1"/>
      <c r="H1904" s="1"/>
      <c r="I1904" s="1"/>
      <c r="J1904" s="1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</row>
    <row r="1905" spans="2:73" s="38" customFormat="1">
      <c r="B1905" s="1"/>
      <c r="C1905" s="1"/>
      <c r="D1905" s="1"/>
      <c r="E1905" s="1"/>
      <c r="F1905" s="1"/>
      <c r="G1905" s="1"/>
      <c r="H1905" s="1"/>
      <c r="I1905" s="1"/>
      <c r="J1905" s="1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</row>
    <row r="1906" spans="2:73" s="38" customFormat="1">
      <c r="B1906" s="1"/>
      <c r="C1906" s="1"/>
      <c r="D1906" s="1"/>
      <c r="E1906" s="1"/>
      <c r="F1906" s="1"/>
      <c r="G1906" s="1"/>
      <c r="H1906" s="1"/>
      <c r="I1906" s="1"/>
      <c r="J1906" s="1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</row>
    <row r="1907" spans="2:73" s="38" customFormat="1">
      <c r="B1907" s="1"/>
      <c r="C1907" s="1"/>
      <c r="D1907" s="1"/>
      <c r="E1907" s="1"/>
      <c r="F1907" s="1"/>
      <c r="G1907" s="1"/>
      <c r="H1907" s="1"/>
      <c r="I1907" s="1"/>
      <c r="J1907" s="1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</row>
    <row r="1908" spans="2:73" s="38" customFormat="1">
      <c r="B1908" s="1"/>
      <c r="C1908" s="1"/>
      <c r="D1908" s="1"/>
      <c r="E1908" s="1"/>
      <c r="F1908" s="1"/>
      <c r="G1908" s="1"/>
      <c r="H1908" s="1"/>
      <c r="I1908" s="1"/>
      <c r="J1908" s="1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</row>
    <row r="1909" spans="2:73" s="38" customFormat="1">
      <c r="B1909" s="1"/>
      <c r="C1909" s="1"/>
      <c r="D1909" s="1"/>
      <c r="E1909" s="1"/>
      <c r="F1909" s="1"/>
      <c r="G1909" s="1"/>
      <c r="H1909" s="1"/>
      <c r="I1909" s="1"/>
      <c r="J1909" s="1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</row>
    <row r="1910" spans="2:73" s="38" customFormat="1">
      <c r="B1910" s="1"/>
      <c r="C1910" s="1"/>
      <c r="D1910" s="1"/>
      <c r="E1910" s="1"/>
      <c r="F1910" s="1"/>
      <c r="G1910" s="1"/>
      <c r="H1910" s="1"/>
      <c r="I1910" s="1"/>
      <c r="J1910" s="1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</row>
    <row r="1911" spans="2:73" s="38" customFormat="1">
      <c r="B1911" s="1"/>
      <c r="C1911" s="1"/>
      <c r="D1911" s="1"/>
      <c r="E1911" s="1"/>
      <c r="F1911" s="1"/>
      <c r="G1911" s="1"/>
      <c r="H1911" s="1"/>
      <c r="I1911" s="1"/>
      <c r="J1911" s="1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</row>
    <row r="1912" spans="2:73" s="38" customFormat="1">
      <c r="B1912" s="1"/>
      <c r="C1912" s="1"/>
      <c r="D1912" s="1"/>
      <c r="E1912" s="1"/>
      <c r="F1912" s="1"/>
      <c r="G1912" s="1"/>
      <c r="H1912" s="1"/>
      <c r="I1912" s="1"/>
      <c r="J1912" s="1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</row>
    <row r="1913" spans="2:73" s="38" customFormat="1">
      <c r="B1913" s="1"/>
      <c r="C1913" s="1"/>
      <c r="D1913" s="1"/>
      <c r="E1913" s="1"/>
      <c r="F1913" s="1"/>
      <c r="G1913" s="1"/>
      <c r="H1913" s="1"/>
      <c r="I1913" s="1"/>
      <c r="J1913" s="1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</row>
    <row r="1914" spans="2:73" s="38" customFormat="1">
      <c r="B1914" s="1"/>
      <c r="C1914" s="1"/>
      <c r="D1914" s="1"/>
      <c r="E1914" s="1"/>
      <c r="F1914" s="1"/>
      <c r="G1914" s="1"/>
      <c r="H1914" s="1"/>
      <c r="I1914" s="1"/>
      <c r="J1914" s="1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</row>
    <row r="1915" spans="2:73" s="38" customFormat="1">
      <c r="B1915" s="1"/>
      <c r="C1915" s="1"/>
      <c r="D1915" s="1"/>
      <c r="E1915" s="1"/>
      <c r="F1915" s="1"/>
      <c r="G1915" s="1"/>
      <c r="H1915" s="1"/>
      <c r="I1915" s="1"/>
      <c r="J1915" s="1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</row>
    <row r="1916" spans="2:73" s="38" customFormat="1">
      <c r="B1916" s="1"/>
      <c r="C1916" s="1"/>
      <c r="D1916" s="1"/>
      <c r="E1916" s="1"/>
      <c r="F1916" s="1"/>
      <c r="G1916" s="1"/>
      <c r="H1916" s="1"/>
      <c r="I1916" s="1"/>
      <c r="J1916" s="1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</row>
    <row r="1917" spans="2:73" s="38" customFormat="1">
      <c r="B1917" s="1"/>
      <c r="C1917" s="1"/>
      <c r="D1917" s="1"/>
      <c r="E1917" s="1"/>
      <c r="F1917" s="1"/>
      <c r="G1917" s="1"/>
      <c r="H1917" s="1"/>
      <c r="I1917" s="1"/>
      <c r="J1917" s="1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</row>
    <row r="1918" spans="2:73" s="38" customFormat="1">
      <c r="B1918" s="1"/>
      <c r="C1918" s="1"/>
      <c r="D1918" s="1"/>
      <c r="E1918" s="1"/>
      <c r="F1918" s="1"/>
      <c r="G1918" s="1"/>
      <c r="H1918" s="1"/>
      <c r="I1918" s="1"/>
      <c r="J1918" s="1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</row>
    <row r="1919" spans="2:73" s="38" customFormat="1">
      <c r="B1919" s="1"/>
      <c r="C1919" s="1"/>
      <c r="D1919" s="1"/>
      <c r="E1919" s="1"/>
      <c r="F1919" s="1"/>
      <c r="G1919" s="1"/>
      <c r="H1919" s="1"/>
      <c r="I1919" s="1"/>
      <c r="J1919" s="1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</row>
    <row r="1920" spans="2:73" s="38" customFormat="1">
      <c r="B1920" s="1"/>
      <c r="C1920" s="1"/>
      <c r="D1920" s="1"/>
      <c r="E1920" s="1"/>
      <c r="F1920" s="1"/>
      <c r="G1920" s="1"/>
      <c r="H1920" s="1"/>
      <c r="I1920" s="1"/>
      <c r="J1920" s="1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</row>
    <row r="1921" spans="2:73" s="38" customFormat="1">
      <c r="B1921" s="1"/>
      <c r="C1921" s="1"/>
      <c r="D1921" s="1"/>
      <c r="E1921" s="1"/>
      <c r="F1921" s="1"/>
      <c r="G1921" s="1"/>
      <c r="H1921" s="1"/>
      <c r="I1921" s="1"/>
      <c r="J1921" s="1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</row>
    <row r="1922" spans="2:73" s="38" customFormat="1">
      <c r="B1922" s="1"/>
      <c r="C1922" s="1"/>
      <c r="D1922" s="1"/>
      <c r="E1922" s="1"/>
      <c r="F1922" s="1"/>
      <c r="G1922" s="1"/>
      <c r="H1922" s="1"/>
      <c r="I1922" s="1"/>
      <c r="J1922" s="1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</row>
    <row r="1923" spans="2:73" s="38" customFormat="1">
      <c r="B1923" s="1"/>
      <c r="C1923" s="1"/>
      <c r="D1923" s="1"/>
      <c r="E1923" s="1"/>
      <c r="F1923" s="1"/>
      <c r="G1923" s="1"/>
      <c r="H1923" s="1"/>
      <c r="I1923" s="1"/>
      <c r="J1923" s="1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</row>
    <row r="1924" spans="2:73" s="38" customFormat="1">
      <c r="B1924" s="1"/>
      <c r="C1924" s="1"/>
      <c r="D1924" s="1"/>
      <c r="E1924" s="1"/>
      <c r="F1924" s="1"/>
      <c r="G1924" s="1"/>
      <c r="H1924" s="1"/>
      <c r="I1924" s="1"/>
      <c r="J1924" s="1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</row>
    <row r="1925" spans="2:73" s="38" customFormat="1">
      <c r="B1925" s="1"/>
      <c r="C1925" s="1"/>
      <c r="D1925" s="1"/>
      <c r="E1925" s="1"/>
      <c r="F1925" s="1"/>
      <c r="G1925" s="1"/>
      <c r="H1925" s="1"/>
      <c r="I1925" s="1"/>
      <c r="J1925" s="1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</row>
    <row r="1926" spans="2:73" s="38" customFormat="1">
      <c r="B1926" s="1"/>
      <c r="C1926" s="1"/>
      <c r="D1926" s="1"/>
      <c r="E1926" s="1"/>
      <c r="F1926" s="1"/>
      <c r="G1926" s="1"/>
      <c r="H1926" s="1"/>
      <c r="I1926" s="1"/>
      <c r="J1926" s="1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</row>
    <row r="1927" spans="2:73" s="38" customFormat="1">
      <c r="B1927" s="1"/>
      <c r="C1927" s="1"/>
      <c r="D1927" s="1"/>
      <c r="E1927" s="1"/>
      <c r="F1927" s="1"/>
      <c r="G1927" s="1"/>
      <c r="H1927" s="1"/>
      <c r="I1927" s="1"/>
      <c r="J1927" s="1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</row>
    <row r="1928" spans="2:73" s="38" customFormat="1">
      <c r="B1928" s="1"/>
      <c r="C1928" s="1"/>
      <c r="D1928" s="1"/>
      <c r="E1928" s="1"/>
      <c r="F1928" s="1"/>
      <c r="G1928" s="1"/>
      <c r="H1928" s="1"/>
      <c r="I1928" s="1"/>
      <c r="J1928" s="1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</row>
    <row r="1929" spans="2:73" s="38" customFormat="1">
      <c r="B1929" s="1"/>
      <c r="C1929" s="1"/>
      <c r="D1929" s="1"/>
      <c r="E1929" s="1"/>
      <c r="F1929" s="1"/>
      <c r="G1929" s="1"/>
      <c r="H1929" s="1"/>
      <c r="I1929" s="1"/>
      <c r="J1929" s="1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</row>
    <row r="1930" spans="2:73" s="38" customFormat="1">
      <c r="B1930" s="1"/>
      <c r="C1930" s="1"/>
      <c r="D1930" s="1"/>
      <c r="E1930" s="1"/>
      <c r="F1930" s="1"/>
      <c r="G1930" s="1"/>
      <c r="H1930" s="1"/>
      <c r="I1930" s="1"/>
      <c r="J1930" s="1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</row>
    <row r="1931" spans="2:73" s="38" customFormat="1">
      <c r="B1931" s="1"/>
      <c r="C1931" s="1"/>
      <c r="D1931" s="1"/>
      <c r="E1931" s="1"/>
      <c r="F1931" s="1"/>
      <c r="G1931" s="1"/>
      <c r="H1931" s="1"/>
      <c r="I1931" s="1"/>
      <c r="J1931" s="1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</row>
    <row r="1932" spans="2:73" s="38" customFormat="1">
      <c r="B1932" s="1"/>
      <c r="C1932" s="1"/>
      <c r="D1932" s="1"/>
      <c r="E1932" s="1"/>
      <c r="F1932" s="1"/>
      <c r="G1932" s="1"/>
      <c r="H1932" s="1"/>
      <c r="I1932" s="1"/>
      <c r="J1932" s="1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</row>
    <row r="1933" spans="2:73" s="38" customFormat="1">
      <c r="B1933" s="1"/>
      <c r="C1933" s="1"/>
      <c r="D1933" s="1"/>
      <c r="E1933" s="1"/>
      <c r="F1933" s="1"/>
      <c r="G1933" s="1"/>
      <c r="H1933" s="1"/>
      <c r="I1933" s="1"/>
      <c r="J1933" s="1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</row>
    <row r="1934" spans="2:73" s="38" customFormat="1">
      <c r="B1934" s="1"/>
      <c r="C1934" s="1"/>
      <c r="D1934" s="1"/>
      <c r="E1934" s="1"/>
      <c r="F1934" s="1"/>
      <c r="G1934" s="1"/>
      <c r="H1934" s="1"/>
      <c r="I1934" s="1"/>
      <c r="J1934" s="1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</row>
    <row r="1935" spans="2:73" s="38" customFormat="1">
      <c r="B1935" s="1"/>
      <c r="C1935" s="1"/>
      <c r="D1935" s="1"/>
      <c r="E1935" s="1"/>
      <c r="F1935" s="1"/>
      <c r="G1935" s="1"/>
      <c r="H1935" s="1"/>
      <c r="I1935" s="1"/>
      <c r="J1935" s="1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</row>
    <row r="1936" spans="2:73" s="38" customFormat="1">
      <c r="B1936" s="1"/>
      <c r="C1936" s="1"/>
      <c r="D1936" s="1"/>
      <c r="E1936" s="1"/>
      <c r="F1936" s="1"/>
      <c r="G1936" s="1"/>
      <c r="H1936" s="1"/>
      <c r="I1936" s="1"/>
      <c r="J1936" s="1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</row>
    <row r="1937" spans="2:73" s="38" customFormat="1">
      <c r="B1937" s="1"/>
      <c r="C1937" s="1"/>
      <c r="D1937" s="1"/>
      <c r="E1937" s="1"/>
      <c r="F1937" s="1"/>
      <c r="G1937" s="1"/>
      <c r="H1937" s="1"/>
      <c r="I1937" s="1"/>
      <c r="J1937" s="1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</row>
    <row r="1938" spans="2:73" s="38" customFormat="1">
      <c r="B1938" s="1"/>
      <c r="C1938" s="1"/>
      <c r="D1938" s="1"/>
      <c r="E1938" s="1"/>
      <c r="F1938" s="1"/>
      <c r="G1938" s="1"/>
      <c r="H1938" s="1"/>
      <c r="I1938" s="1"/>
      <c r="J1938" s="1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</row>
    <row r="1939" spans="2:73" s="38" customFormat="1">
      <c r="B1939" s="1"/>
      <c r="C1939" s="1"/>
      <c r="D1939" s="1"/>
      <c r="E1939" s="1"/>
      <c r="F1939" s="1"/>
      <c r="G1939" s="1"/>
      <c r="H1939" s="1"/>
      <c r="I1939" s="1"/>
      <c r="J1939" s="1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</row>
    <row r="1940" spans="2:73" s="38" customFormat="1">
      <c r="B1940" s="1"/>
      <c r="C1940" s="1"/>
      <c r="D1940" s="1"/>
      <c r="E1940" s="1"/>
      <c r="F1940" s="1"/>
      <c r="G1940" s="1"/>
      <c r="H1940" s="1"/>
      <c r="I1940" s="1"/>
      <c r="J1940" s="1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</row>
    <row r="1941" spans="2:73" s="38" customFormat="1">
      <c r="B1941" s="1"/>
      <c r="C1941" s="1"/>
      <c r="D1941" s="1"/>
      <c r="E1941" s="1"/>
      <c r="F1941" s="1"/>
      <c r="G1941" s="1"/>
      <c r="H1941" s="1"/>
      <c r="I1941" s="1"/>
      <c r="J1941" s="1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</row>
    <row r="1942" spans="2:73" s="38" customFormat="1">
      <c r="B1942" s="1"/>
      <c r="C1942" s="1"/>
      <c r="D1942" s="1"/>
      <c r="E1942" s="1"/>
      <c r="F1942" s="1"/>
      <c r="G1942" s="1"/>
      <c r="H1942" s="1"/>
      <c r="I1942" s="1"/>
      <c r="J1942" s="1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</row>
    <row r="1943" spans="2:73" s="38" customFormat="1">
      <c r="B1943" s="1"/>
      <c r="C1943" s="1"/>
      <c r="D1943" s="1"/>
      <c r="E1943" s="1"/>
      <c r="F1943" s="1"/>
      <c r="G1943" s="1"/>
      <c r="H1943" s="1"/>
      <c r="I1943" s="1"/>
      <c r="J1943" s="1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</row>
    <row r="1944" spans="2:73" s="38" customFormat="1">
      <c r="B1944" s="1"/>
      <c r="C1944" s="1"/>
      <c r="D1944" s="1"/>
      <c r="E1944" s="1"/>
      <c r="F1944" s="1"/>
      <c r="G1944" s="1"/>
      <c r="H1944" s="1"/>
      <c r="I1944" s="1"/>
      <c r="J1944" s="1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</row>
    <row r="1945" spans="2:73" s="38" customFormat="1">
      <c r="B1945" s="1"/>
      <c r="C1945" s="1"/>
      <c r="D1945" s="1"/>
      <c r="E1945" s="1"/>
      <c r="F1945" s="1"/>
      <c r="G1945" s="1"/>
      <c r="H1945" s="1"/>
      <c r="I1945" s="1"/>
      <c r="J1945" s="1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</row>
    <row r="1946" spans="2:73" s="38" customFormat="1">
      <c r="B1946" s="1"/>
      <c r="C1946" s="1"/>
      <c r="D1946" s="1"/>
      <c r="E1946" s="1"/>
      <c r="F1946" s="1"/>
      <c r="G1946" s="1"/>
      <c r="H1946" s="1"/>
      <c r="I1946" s="1"/>
      <c r="J1946" s="1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</row>
    <row r="1947" spans="2:73" s="38" customFormat="1">
      <c r="B1947" s="1"/>
      <c r="C1947" s="1"/>
      <c r="D1947" s="1"/>
      <c r="E1947" s="1"/>
      <c r="F1947" s="1"/>
      <c r="G1947" s="1"/>
      <c r="H1947" s="1"/>
      <c r="I1947" s="1"/>
      <c r="J1947" s="1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</row>
    <row r="1948" spans="2:73" s="38" customFormat="1">
      <c r="B1948" s="1"/>
      <c r="C1948" s="1"/>
      <c r="D1948" s="1"/>
      <c r="E1948" s="1"/>
      <c r="F1948" s="1"/>
      <c r="G1948" s="1"/>
      <c r="H1948" s="1"/>
      <c r="I1948" s="1"/>
      <c r="J1948" s="1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</row>
    <row r="1949" spans="2:73" s="38" customFormat="1">
      <c r="B1949" s="1"/>
      <c r="C1949" s="1"/>
      <c r="D1949" s="1"/>
      <c r="E1949" s="1"/>
      <c r="F1949" s="1"/>
      <c r="G1949" s="1"/>
      <c r="H1949" s="1"/>
      <c r="I1949" s="1"/>
      <c r="J1949" s="1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</row>
    <row r="1950" spans="2:73" s="38" customFormat="1">
      <c r="B1950" s="1"/>
      <c r="C1950" s="1"/>
      <c r="D1950" s="1"/>
      <c r="E1950" s="1"/>
      <c r="F1950" s="1"/>
      <c r="G1950" s="1"/>
      <c r="H1950" s="1"/>
      <c r="I1950" s="1"/>
      <c r="J1950" s="1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</row>
    <row r="1951" spans="2:73" s="38" customFormat="1">
      <c r="B1951" s="1"/>
      <c r="C1951" s="1"/>
      <c r="D1951" s="1"/>
      <c r="E1951" s="1"/>
      <c r="F1951" s="1"/>
      <c r="G1951" s="1"/>
      <c r="H1951" s="1"/>
      <c r="I1951" s="1"/>
      <c r="J1951" s="1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</row>
    <row r="1952" spans="2:73" s="38" customFormat="1">
      <c r="B1952" s="1"/>
      <c r="C1952" s="1"/>
      <c r="D1952" s="1"/>
      <c r="E1952" s="1"/>
      <c r="F1952" s="1"/>
      <c r="G1952" s="1"/>
      <c r="H1952" s="1"/>
      <c r="I1952" s="1"/>
      <c r="J1952" s="1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</row>
    <row r="1953" spans="2:73" s="38" customFormat="1">
      <c r="B1953" s="1"/>
      <c r="C1953" s="1"/>
      <c r="D1953" s="1"/>
      <c r="E1953" s="1"/>
      <c r="F1953" s="1"/>
      <c r="G1953" s="1"/>
      <c r="H1953" s="1"/>
      <c r="I1953" s="1"/>
      <c r="J1953" s="1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</row>
    <row r="1954" spans="2:73" s="38" customFormat="1">
      <c r="B1954" s="1"/>
      <c r="C1954" s="1"/>
      <c r="D1954" s="1"/>
      <c r="E1954" s="1"/>
      <c r="F1954" s="1"/>
      <c r="G1954" s="1"/>
      <c r="H1954" s="1"/>
      <c r="I1954" s="1"/>
      <c r="J1954" s="1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</row>
    <row r="1955" spans="2:73" s="38" customFormat="1">
      <c r="B1955" s="1"/>
      <c r="C1955" s="1"/>
      <c r="D1955" s="1"/>
      <c r="E1955" s="1"/>
      <c r="F1955" s="1"/>
      <c r="G1955" s="1"/>
      <c r="H1955" s="1"/>
      <c r="I1955" s="1"/>
      <c r="J1955" s="1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</row>
    <row r="1956" spans="2:73" s="38" customFormat="1">
      <c r="B1956" s="1"/>
      <c r="C1956" s="1"/>
      <c r="D1956" s="1"/>
      <c r="E1956" s="1"/>
      <c r="F1956" s="1"/>
      <c r="G1956" s="1"/>
      <c r="H1956" s="1"/>
      <c r="I1956" s="1"/>
      <c r="J1956" s="1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</row>
    <row r="1957" spans="2:73" s="38" customFormat="1">
      <c r="B1957" s="1"/>
      <c r="C1957" s="1"/>
      <c r="D1957" s="1"/>
      <c r="E1957" s="1"/>
      <c r="F1957" s="1"/>
      <c r="G1957" s="1"/>
      <c r="H1957" s="1"/>
      <c r="I1957" s="1"/>
      <c r="J1957" s="1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</row>
    <row r="1958" spans="2:73" s="38" customFormat="1">
      <c r="B1958" s="1"/>
      <c r="C1958" s="1"/>
      <c r="D1958" s="1"/>
      <c r="E1958" s="1"/>
      <c r="F1958" s="1"/>
      <c r="G1958" s="1"/>
      <c r="H1958" s="1"/>
      <c r="I1958" s="1"/>
      <c r="J1958" s="1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</row>
    <row r="1959" spans="2:73" s="38" customFormat="1">
      <c r="B1959" s="1"/>
      <c r="C1959" s="1"/>
      <c r="D1959" s="1"/>
      <c r="E1959" s="1"/>
      <c r="F1959" s="1"/>
      <c r="G1959" s="1"/>
      <c r="H1959" s="1"/>
      <c r="I1959" s="1"/>
      <c r="J1959" s="1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</row>
    <row r="1960" spans="2:73" s="38" customFormat="1">
      <c r="B1960" s="1"/>
      <c r="C1960" s="1"/>
      <c r="D1960" s="1"/>
      <c r="E1960" s="1"/>
      <c r="F1960" s="1"/>
      <c r="G1960" s="1"/>
      <c r="H1960" s="1"/>
      <c r="I1960" s="1"/>
      <c r="J1960" s="1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</row>
    <row r="1961" spans="2:73" s="38" customFormat="1">
      <c r="B1961" s="1"/>
      <c r="C1961" s="1"/>
      <c r="D1961" s="1"/>
      <c r="E1961" s="1"/>
      <c r="F1961" s="1"/>
      <c r="G1961" s="1"/>
      <c r="H1961" s="1"/>
      <c r="I1961" s="1"/>
      <c r="J1961" s="1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</row>
    <row r="1962" spans="2:73" s="38" customFormat="1">
      <c r="B1962" s="1"/>
      <c r="C1962" s="1"/>
      <c r="D1962" s="1"/>
      <c r="E1962" s="1"/>
      <c r="F1962" s="1"/>
      <c r="G1962" s="1"/>
      <c r="H1962" s="1"/>
      <c r="I1962" s="1"/>
      <c r="J1962" s="1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</row>
    <row r="1963" spans="2:73" s="38" customFormat="1">
      <c r="B1963" s="1"/>
      <c r="C1963" s="1"/>
      <c r="D1963" s="1"/>
      <c r="E1963" s="1"/>
      <c r="F1963" s="1"/>
      <c r="G1963" s="1"/>
      <c r="H1963" s="1"/>
      <c r="I1963" s="1"/>
      <c r="J1963" s="1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</row>
    <row r="1964" spans="2:73" s="38" customFormat="1">
      <c r="B1964" s="1"/>
      <c r="C1964" s="1"/>
      <c r="D1964" s="1"/>
      <c r="E1964" s="1"/>
      <c r="F1964" s="1"/>
      <c r="G1964" s="1"/>
      <c r="H1964" s="1"/>
      <c r="I1964" s="1"/>
      <c r="J1964" s="1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</row>
    <row r="1965" spans="2:73" s="38" customFormat="1">
      <c r="B1965" s="1"/>
      <c r="C1965" s="1"/>
      <c r="D1965" s="1"/>
      <c r="E1965" s="1"/>
      <c r="F1965" s="1"/>
      <c r="G1965" s="1"/>
      <c r="H1965" s="1"/>
      <c r="I1965" s="1"/>
      <c r="J1965" s="1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</row>
    <row r="1966" spans="2:73" s="38" customFormat="1">
      <c r="B1966" s="1"/>
      <c r="C1966" s="1"/>
      <c r="D1966" s="1"/>
      <c r="E1966" s="1"/>
      <c r="F1966" s="1"/>
      <c r="G1966" s="1"/>
      <c r="H1966" s="1"/>
      <c r="I1966" s="1"/>
      <c r="J1966" s="1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</row>
    <row r="1967" spans="2:73" s="38" customFormat="1">
      <c r="B1967" s="1"/>
      <c r="C1967" s="1"/>
      <c r="D1967" s="1"/>
      <c r="E1967" s="1"/>
      <c r="F1967" s="1"/>
      <c r="G1967" s="1"/>
      <c r="H1967" s="1"/>
      <c r="I1967" s="1"/>
      <c r="J1967" s="1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</row>
    <row r="1968" spans="2:73" s="38" customFormat="1">
      <c r="B1968" s="1"/>
      <c r="C1968" s="1"/>
      <c r="D1968" s="1"/>
      <c r="E1968" s="1"/>
      <c r="F1968" s="1"/>
      <c r="G1968" s="1"/>
      <c r="H1968" s="1"/>
      <c r="I1968" s="1"/>
      <c r="J1968" s="1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</row>
    <row r="1969" spans="2:73" s="38" customFormat="1">
      <c r="B1969" s="1"/>
      <c r="C1969" s="1"/>
      <c r="D1969" s="1"/>
      <c r="E1969" s="1"/>
      <c r="F1969" s="1"/>
      <c r="G1969" s="1"/>
      <c r="H1969" s="1"/>
      <c r="I1969" s="1"/>
      <c r="J1969" s="1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</row>
    <row r="1970" spans="2:73" s="38" customFormat="1">
      <c r="B1970" s="1"/>
      <c r="C1970" s="1"/>
      <c r="D1970" s="1"/>
      <c r="E1970" s="1"/>
      <c r="F1970" s="1"/>
      <c r="G1970" s="1"/>
      <c r="H1970" s="1"/>
      <c r="I1970" s="1"/>
      <c r="J1970" s="1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</row>
    <row r="1971" spans="2:73" s="38" customFormat="1">
      <c r="B1971" s="1"/>
      <c r="C1971" s="1"/>
      <c r="D1971" s="1"/>
      <c r="E1971" s="1"/>
      <c r="F1971" s="1"/>
      <c r="G1971" s="1"/>
      <c r="H1971" s="1"/>
      <c r="I1971" s="1"/>
      <c r="J1971" s="1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</row>
    <row r="1972" spans="2:73" s="38" customFormat="1">
      <c r="B1972" s="1"/>
      <c r="C1972" s="1"/>
      <c r="D1972" s="1"/>
      <c r="E1972" s="1"/>
      <c r="F1972" s="1"/>
      <c r="G1972" s="1"/>
      <c r="H1972" s="1"/>
      <c r="I1972" s="1"/>
      <c r="J1972" s="1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</row>
    <row r="1973" spans="2:73" s="38" customFormat="1">
      <c r="B1973" s="1"/>
      <c r="C1973" s="1"/>
      <c r="D1973" s="1"/>
      <c r="E1973" s="1"/>
      <c r="F1973" s="1"/>
      <c r="G1973" s="1"/>
      <c r="H1973" s="1"/>
      <c r="I1973" s="1"/>
      <c r="J1973" s="1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</row>
    <row r="1974" spans="2:73" s="38" customFormat="1">
      <c r="B1974" s="1"/>
      <c r="C1974" s="1"/>
      <c r="D1974" s="1"/>
      <c r="E1974" s="1"/>
      <c r="F1974" s="1"/>
      <c r="G1974" s="1"/>
      <c r="H1974" s="1"/>
      <c r="I1974" s="1"/>
      <c r="J1974" s="1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</row>
    <row r="1975" spans="2:73" s="38" customFormat="1">
      <c r="B1975" s="1"/>
      <c r="C1975" s="1"/>
      <c r="D1975" s="1"/>
      <c r="E1975" s="1"/>
      <c r="F1975" s="1"/>
      <c r="G1975" s="1"/>
      <c r="H1975" s="1"/>
      <c r="I1975" s="1"/>
      <c r="J1975" s="1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</row>
    <row r="1976" spans="2:73" s="38" customFormat="1">
      <c r="B1976" s="1"/>
      <c r="C1976" s="1"/>
      <c r="D1976" s="1"/>
      <c r="E1976" s="1"/>
      <c r="F1976" s="1"/>
      <c r="G1976" s="1"/>
      <c r="H1976" s="1"/>
      <c r="I1976" s="1"/>
      <c r="J1976" s="1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</row>
    <row r="1977" spans="2:73" s="38" customFormat="1">
      <c r="B1977" s="1"/>
      <c r="C1977" s="1"/>
      <c r="D1977" s="1"/>
      <c r="E1977" s="1"/>
      <c r="F1977" s="1"/>
      <c r="G1977" s="1"/>
      <c r="H1977" s="1"/>
      <c r="I1977" s="1"/>
      <c r="J1977" s="1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</row>
    <row r="1978" spans="2:73" s="38" customFormat="1">
      <c r="B1978" s="1"/>
      <c r="C1978" s="1"/>
      <c r="D1978" s="1"/>
      <c r="E1978" s="1"/>
      <c r="F1978" s="1"/>
      <c r="G1978" s="1"/>
      <c r="H1978" s="1"/>
      <c r="I1978" s="1"/>
      <c r="J1978" s="1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</row>
    <row r="1979" spans="2:73" s="38" customFormat="1">
      <c r="B1979" s="1"/>
      <c r="C1979" s="1"/>
      <c r="D1979" s="1"/>
      <c r="E1979" s="1"/>
      <c r="F1979" s="1"/>
      <c r="G1979" s="1"/>
      <c r="H1979" s="1"/>
      <c r="I1979" s="1"/>
      <c r="J1979" s="1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</row>
    <row r="1980" spans="2:73" s="38" customFormat="1">
      <c r="B1980" s="1"/>
      <c r="C1980" s="1"/>
      <c r="D1980" s="1"/>
      <c r="E1980" s="1"/>
      <c r="F1980" s="1"/>
      <c r="G1980" s="1"/>
      <c r="H1980" s="1"/>
      <c r="I1980" s="1"/>
      <c r="J1980" s="1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</row>
    <row r="1981" spans="2:73" s="38" customFormat="1">
      <c r="B1981" s="1"/>
      <c r="C1981" s="1"/>
      <c r="D1981" s="1"/>
      <c r="E1981" s="1"/>
      <c r="F1981" s="1"/>
      <c r="G1981" s="1"/>
      <c r="H1981" s="1"/>
      <c r="I1981" s="1"/>
      <c r="J1981" s="1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</row>
    <row r="1982" spans="2:73" s="38" customFormat="1">
      <c r="B1982" s="1"/>
      <c r="C1982" s="1"/>
      <c r="D1982" s="1"/>
      <c r="E1982" s="1"/>
      <c r="F1982" s="1"/>
      <c r="G1982" s="1"/>
      <c r="H1982" s="1"/>
      <c r="I1982" s="1"/>
      <c r="J1982" s="1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</row>
    <row r="1983" spans="2:73" s="38" customFormat="1">
      <c r="B1983" s="1"/>
      <c r="C1983" s="1"/>
      <c r="D1983" s="1"/>
      <c r="E1983" s="1"/>
      <c r="F1983" s="1"/>
      <c r="G1983" s="1"/>
      <c r="H1983" s="1"/>
      <c r="I1983" s="1"/>
      <c r="J1983" s="1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</row>
    <row r="1984" spans="2:73" s="38" customFormat="1">
      <c r="B1984" s="1"/>
      <c r="C1984" s="1"/>
      <c r="D1984" s="1"/>
      <c r="E1984" s="1"/>
      <c r="F1984" s="1"/>
      <c r="G1984" s="1"/>
      <c r="H1984" s="1"/>
      <c r="I1984" s="1"/>
      <c r="J1984" s="1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</row>
    <row r="1985" spans="2:73" s="38" customFormat="1">
      <c r="B1985" s="1"/>
      <c r="C1985" s="1"/>
      <c r="D1985" s="1"/>
      <c r="E1985" s="1"/>
      <c r="F1985" s="1"/>
      <c r="G1985" s="1"/>
      <c r="H1985" s="1"/>
      <c r="I1985" s="1"/>
      <c r="J1985" s="1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</row>
    <row r="1986" spans="2:73" s="38" customFormat="1">
      <c r="B1986" s="1"/>
      <c r="C1986" s="1"/>
      <c r="D1986" s="1"/>
      <c r="E1986" s="1"/>
      <c r="F1986" s="1"/>
      <c r="G1986" s="1"/>
      <c r="H1986" s="1"/>
      <c r="I1986" s="1"/>
      <c r="J1986" s="1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</row>
    <row r="1987" spans="2:73" s="38" customFormat="1">
      <c r="B1987" s="1"/>
      <c r="C1987" s="1"/>
      <c r="D1987" s="1"/>
      <c r="E1987" s="1"/>
      <c r="F1987" s="1"/>
      <c r="G1987" s="1"/>
      <c r="H1987" s="1"/>
      <c r="I1987" s="1"/>
      <c r="J1987" s="1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</row>
    <row r="1988" spans="2:73" s="38" customFormat="1">
      <c r="B1988" s="1"/>
      <c r="C1988" s="1"/>
      <c r="D1988" s="1"/>
      <c r="E1988" s="1"/>
      <c r="F1988" s="1"/>
      <c r="G1988" s="1"/>
      <c r="H1988" s="1"/>
      <c r="I1988" s="1"/>
      <c r="J1988" s="1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</row>
    <row r="1989" spans="2:73" s="38" customFormat="1">
      <c r="B1989" s="1"/>
      <c r="C1989" s="1"/>
      <c r="D1989" s="1"/>
      <c r="E1989" s="1"/>
      <c r="F1989" s="1"/>
      <c r="G1989" s="1"/>
      <c r="H1989" s="1"/>
      <c r="I1989" s="1"/>
      <c r="J1989" s="1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</row>
    <row r="1990" spans="2:73" s="38" customFormat="1">
      <c r="B1990" s="1"/>
      <c r="C1990" s="1"/>
      <c r="D1990" s="1"/>
      <c r="E1990" s="1"/>
      <c r="F1990" s="1"/>
      <c r="G1990" s="1"/>
      <c r="H1990" s="1"/>
      <c r="I1990" s="1"/>
      <c r="J1990" s="1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</row>
    <row r="1991" spans="2:73" s="38" customFormat="1">
      <c r="B1991" s="1"/>
      <c r="C1991" s="1"/>
      <c r="D1991" s="1"/>
      <c r="E1991" s="1"/>
      <c r="F1991" s="1"/>
      <c r="G1991" s="1"/>
      <c r="H1991" s="1"/>
      <c r="I1991" s="1"/>
      <c r="J1991" s="1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</row>
    <row r="1992" spans="2:73" s="38" customFormat="1">
      <c r="B1992" s="1"/>
      <c r="C1992" s="1"/>
      <c r="D1992" s="1"/>
      <c r="E1992" s="1"/>
      <c r="F1992" s="1"/>
      <c r="G1992" s="1"/>
      <c r="H1992" s="1"/>
      <c r="I1992" s="1"/>
      <c r="J1992" s="1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</row>
    <row r="1993" spans="2:73" s="38" customFormat="1">
      <c r="B1993" s="1"/>
      <c r="C1993" s="1"/>
      <c r="D1993" s="1"/>
      <c r="E1993" s="1"/>
      <c r="F1993" s="1"/>
      <c r="G1993" s="1"/>
      <c r="H1993" s="1"/>
      <c r="I1993" s="1"/>
      <c r="J1993" s="1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</row>
    <row r="1994" spans="2:73" s="38" customFormat="1">
      <c r="B1994" s="1"/>
      <c r="C1994" s="1"/>
      <c r="D1994" s="1"/>
      <c r="E1994" s="1"/>
      <c r="F1994" s="1"/>
      <c r="G1994" s="1"/>
      <c r="H1994" s="1"/>
      <c r="I1994" s="1"/>
      <c r="J1994" s="1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</row>
    <row r="1995" spans="2:73" s="38" customFormat="1">
      <c r="B1995" s="1"/>
      <c r="C1995" s="1"/>
      <c r="D1995" s="1"/>
      <c r="E1995" s="1"/>
      <c r="F1995" s="1"/>
      <c r="G1995" s="1"/>
      <c r="H1995" s="1"/>
      <c r="I1995" s="1"/>
      <c r="J1995" s="1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</row>
    <row r="1996" spans="2:73" s="38" customFormat="1">
      <c r="B1996" s="1"/>
      <c r="C1996" s="1"/>
      <c r="D1996" s="1"/>
      <c r="E1996" s="1"/>
      <c r="F1996" s="1"/>
      <c r="G1996" s="1"/>
      <c r="H1996" s="1"/>
      <c r="I1996" s="1"/>
      <c r="J1996" s="1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</row>
    <row r="1997" spans="2:73" s="38" customFormat="1">
      <c r="B1997" s="1"/>
      <c r="C1997" s="1"/>
      <c r="D1997" s="1"/>
      <c r="E1997" s="1"/>
      <c r="F1997" s="1"/>
      <c r="G1997" s="1"/>
      <c r="H1997" s="1"/>
      <c r="I1997" s="1"/>
      <c r="J1997" s="1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</row>
    <row r="1998" spans="2:73" s="38" customFormat="1">
      <c r="B1998" s="1"/>
      <c r="C1998" s="1"/>
      <c r="D1998" s="1"/>
      <c r="E1998" s="1"/>
      <c r="F1998" s="1"/>
      <c r="G1998" s="1"/>
      <c r="H1998" s="1"/>
      <c r="I1998" s="1"/>
      <c r="J1998" s="1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</row>
    <row r="1999" spans="2:73" s="38" customFormat="1">
      <c r="B1999" s="1"/>
      <c r="C1999" s="1"/>
      <c r="D1999" s="1"/>
      <c r="E1999" s="1"/>
      <c r="F1999" s="1"/>
      <c r="G1999" s="1"/>
      <c r="H1999" s="1"/>
      <c r="I1999" s="1"/>
      <c r="J1999" s="1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</row>
    <row r="2000" spans="2:73" s="38" customFormat="1">
      <c r="B2000" s="1"/>
      <c r="C2000" s="1"/>
      <c r="D2000" s="1"/>
      <c r="E2000" s="1"/>
      <c r="F2000" s="1"/>
      <c r="G2000" s="1"/>
      <c r="H2000" s="1"/>
      <c r="I2000" s="1"/>
      <c r="J2000" s="1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</row>
    <row r="2001" spans="2:73" s="38" customFormat="1">
      <c r="B2001" s="1"/>
      <c r="C2001" s="1"/>
      <c r="D2001" s="1"/>
      <c r="E2001" s="1"/>
      <c r="F2001" s="1"/>
      <c r="G2001" s="1"/>
      <c r="H2001" s="1"/>
      <c r="I2001" s="1"/>
      <c r="J2001" s="1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</row>
    <row r="2002" spans="2:73" s="38" customFormat="1">
      <c r="B2002" s="1"/>
      <c r="C2002" s="1"/>
      <c r="D2002" s="1"/>
      <c r="E2002" s="1"/>
      <c r="F2002" s="1"/>
      <c r="G2002" s="1"/>
      <c r="H2002" s="1"/>
      <c r="I2002" s="1"/>
      <c r="J2002" s="1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</row>
    <row r="2003" spans="2:73" s="38" customFormat="1">
      <c r="B2003" s="1"/>
      <c r="C2003" s="1"/>
      <c r="D2003" s="1"/>
      <c r="E2003" s="1"/>
      <c r="F2003" s="1"/>
      <c r="G2003" s="1"/>
      <c r="H2003" s="1"/>
      <c r="I2003" s="1"/>
      <c r="J2003" s="1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</row>
    <row r="2004" spans="2:73" s="38" customFormat="1">
      <c r="B2004" s="1"/>
      <c r="C2004" s="1"/>
      <c r="D2004" s="1"/>
      <c r="E2004" s="1"/>
      <c r="F2004" s="1"/>
      <c r="G2004" s="1"/>
      <c r="H2004" s="1"/>
      <c r="I2004" s="1"/>
      <c r="J2004" s="1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</row>
    <row r="2005" spans="2:73" s="38" customFormat="1">
      <c r="B2005" s="1"/>
      <c r="C2005" s="1"/>
      <c r="D2005" s="1"/>
      <c r="E2005" s="1"/>
      <c r="F2005" s="1"/>
      <c r="G2005" s="1"/>
      <c r="H2005" s="1"/>
      <c r="I2005" s="1"/>
      <c r="J2005" s="1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</row>
    <row r="2006" spans="2:73" s="38" customFormat="1">
      <c r="B2006" s="1"/>
      <c r="C2006" s="1"/>
      <c r="D2006" s="1"/>
      <c r="E2006" s="1"/>
      <c r="F2006" s="1"/>
      <c r="G2006" s="1"/>
      <c r="H2006" s="1"/>
      <c r="I2006" s="1"/>
      <c r="J2006" s="1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</row>
    <row r="2007" spans="2:73" s="38" customFormat="1">
      <c r="B2007" s="1"/>
      <c r="C2007" s="1"/>
      <c r="D2007" s="1"/>
      <c r="E2007" s="1"/>
      <c r="F2007" s="1"/>
      <c r="G2007" s="1"/>
      <c r="H2007" s="1"/>
      <c r="I2007" s="1"/>
      <c r="J2007" s="1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</row>
    <row r="2008" spans="2:73" s="38" customFormat="1">
      <c r="B2008" s="1"/>
      <c r="C2008" s="1"/>
      <c r="D2008" s="1"/>
      <c r="E2008" s="1"/>
      <c r="F2008" s="1"/>
      <c r="G2008" s="1"/>
      <c r="H2008" s="1"/>
      <c r="I2008" s="1"/>
      <c r="J2008" s="1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</row>
    <row r="2009" spans="2:73" s="38" customFormat="1">
      <c r="B2009" s="1"/>
      <c r="C2009" s="1"/>
      <c r="D2009" s="1"/>
      <c r="E2009" s="1"/>
      <c r="F2009" s="1"/>
      <c r="G2009" s="1"/>
      <c r="H2009" s="1"/>
      <c r="I2009" s="1"/>
      <c r="J2009" s="1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</row>
    <row r="2010" spans="2:73" s="38" customFormat="1">
      <c r="B2010" s="1"/>
      <c r="C2010" s="1"/>
      <c r="D2010" s="1"/>
      <c r="E2010" s="1"/>
      <c r="F2010" s="1"/>
      <c r="G2010" s="1"/>
      <c r="H2010" s="1"/>
      <c r="I2010" s="1"/>
      <c r="J2010" s="1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</row>
    <row r="2011" spans="2:73" s="38" customFormat="1">
      <c r="B2011" s="1"/>
      <c r="C2011" s="1"/>
      <c r="D2011" s="1"/>
      <c r="E2011" s="1"/>
      <c r="F2011" s="1"/>
      <c r="G2011" s="1"/>
      <c r="H2011" s="1"/>
      <c r="I2011" s="1"/>
      <c r="J2011" s="1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</row>
    <row r="2012" spans="2:73" s="38" customFormat="1">
      <c r="B2012" s="1"/>
      <c r="C2012" s="1"/>
      <c r="D2012" s="1"/>
      <c r="E2012" s="1"/>
      <c r="F2012" s="1"/>
      <c r="G2012" s="1"/>
      <c r="H2012" s="1"/>
      <c r="I2012" s="1"/>
      <c r="J2012" s="1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</row>
    <row r="2013" spans="2:73" s="38" customFormat="1">
      <c r="B2013" s="1"/>
      <c r="C2013" s="1"/>
      <c r="D2013" s="1"/>
      <c r="E2013" s="1"/>
      <c r="F2013" s="1"/>
      <c r="G2013" s="1"/>
      <c r="H2013" s="1"/>
      <c r="I2013" s="1"/>
      <c r="J2013" s="1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</row>
    <row r="2014" spans="2:73" s="38" customFormat="1">
      <c r="B2014" s="1"/>
      <c r="C2014" s="1"/>
      <c r="D2014" s="1"/>
      <c r="E2014" s="1"/>
      <c r="F2014" s="1"/>
      <c r="G2014" s="1"/>
      <c r="H2014" s="1"/>
      <c r="I2014" s="1"/>
      <c r="J2014" s="1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</row>
    <row r="2015" spans="2:73" s="38" customFormat="1">
      <c r="B2015" s="1"/>
      <c r="C2015" s="1"/>
      <c r="D2015" s="1"/>
      <c r="E2015" s="1"/>
      <c r="F2015" s="1"/>
      <c r="G2015" s="1"/>
      <c r="H2015" s="1"/>
      <c r="I2015" s="1"/>
      <c r="J2015" s="1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</row>
    <row r="2016" spans="2:73" s="38" customFormat="1">
      <c r="B2016" s="1"/>
      <c r="C2016" s="1"/>
      <c r="D2016" s="1"/>
      <c r="E2016" s="1"/>
      <c r="F2016" s="1"/>
      <c r="G2016" s="1"/>
      <c r="H2016" s="1"/>
      <c r="I2016" s="1"/>
      <c r="J2016" s="1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</row>
    <row r="2017" spans="2:73" s="38" customFormat="1">
      <c r="B2017" s="1"/>
      <c r="C2017" s="1"/>
      <c r="D2017" s="1"/>
      <c r="E2017" s="1"/>
      <c r="F2017" s="1"/>
      <c r="G2017" s="1"/>
      <c r="H2017" s="1"/>
      <c r="I2017" s="1"/>
      <c r="J2017" s="1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</row>
    <row r="2018" spans="2:73" s="38" customFormat="1">
      <c r="B2018" s="1"/>
      <c r="C2018" s="1"/>
      <c r="D2018" s="1"/>
      <c r="E2018" s="1"/>
      <c r="F2018" s="1"/>
      <c r="G2018" s="1"/>
      <c r="H2018" s="1"/>
      <c r="I2018" s="1"/>
      <c r="J2018" s="1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</row>
    <row r="2019" spans="2:73" s="38" customFormat="1">
      <c r="B2019" s="1"/>
      <c r="C2019" s="1"/>
      <c r="D2019" s="1"/>
      <c r="E2019" s="1"/>
      <c r="F2019" s="1"/>
      <c r="G2019" s="1"/>
      <c r="H2019" s="1"/>
      <c r="I2019" s="1"/>
      <c r="J2019" s="1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</row>
    <row r="2020" spans="2:73" s="38" customFormat="1">
      <c r="B2020" s="1"/>
      <c r="C2020" s="1"/>
      <c r="D2020" s="1"/>
      <c r="E2020" s="1"/>
      <c r="F2020" s="1"/>
      <c r="G2020" s="1"/>
      <c r="H2020" s="1"/>
      <c r="I2020" s="1"/>
      <c r="J2020" s="1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</row>
    <row r="2021" spans="2:73" s="38" customFormat="1">
      <c r="B2021" s="1"/>
      <c r="C2021" s="1"/>
      <c r="D2021" s="1"/>
      <c r="E2021" s="1"/>
      <c r="F2021" s="1"/>
      <c r="G2021" s="1"/>
      <c r="H2021" s="1"/>
      <c r="I2021" s="1"/>
      <c r="J2021" s="1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</row>
    <row r="2022" spans="2:73" s="38" customFormat="1">
      <c r="B2022" s="1"/>
      <c r="C2022" s="1"/>
      <c r="D2022" s="1"/>
      <c r="E2022" s="1"/>
      <c r="F2022" s="1"/>
      <c r="G2022" s="1"/>
      <c r="H2022" s="1"/>
      <c r="I2022" s="1"/>
      <c r="J2022" s="1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</row>
    <row r="2023" spans="2:73" s="38" customFormat="1">
      <c r="B2023" s="1"/>
      <c r="C2023" s="1"/>
      <c r="D2023" s="1"/>
      <c r="E2023" s="1"/>
      <c r="F2023" s="1"/>
      <c r="G2023" s="1"/>
      <c r="H2023" s="1"/>
      <c r="I2023" s="1"/>
      <c r="J2023" s="1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</row>
    <row r="2024" spans="2:73" s="38" customFormat="1">
      <c r="B2024" s="1"/>
      <c r="C2024" s="1"/>
      <c r="D2024" s="1"/>
      <c r="E2024" s="1"/>
      <c r="F2024" s="1"/>
      <c r="G2024" s="1"/>
      <c r="H2024" s="1"/>
      <c r="I2024" s="1"/>
      <c r="J2024" s="1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</row>
    <row r="2025" spans="2:73" s="38" customFormat="1">
      <c r="B2025" s="1"/>
      <c r="C2025" s="1"/>
      <c r="D2025" s="1"/>
      <c r="E2025" s="1"/>
      <c r="F2025" s="1"/>
      <c r="G2025" s="1"/>
      <c r="H2025" s="1"/>
      <c r="I2025" s="1"/>
      <c r="J2025" s="1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</row>
    <row r="2026" spans="2:73" s="38" customFormat="1">
      <c r="B2026" s="1"/>
      <c r="C2026" s="1"/>
      <c r="D2026" s="1"/>
      <c r="E2026" s="1"/>
      <c r="F2026" s="1"/>
      <c r="G2026" s="1"/>
      <c r="H2026" s="1"/>
      <c r="I2026" s="1"/>
      <c r="J2026" s="1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</row>
    <row r="2027" spans="2:73" s="38" customFormat="1">
      <c r="B2027" s="1"/>
      <c r="C2027" s="1"/>
      <c r="D2027" s="1"/>
      <c r="E2027" s="1"/>
      <c r="F2027" s="1"/>
      <c r="G2027" s="1"/>
      <c r="H2027" s="1"/>
      <c r="I2027" s="1"/>
      <c r="J2027" s="1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</row>
    <row r="2028" spans="2:73" s="38" customFormat="1">
      <c r="B2028" s="1"/>
      <c r="C2028" s="1"/>
      <c r="D2028" s="1"/>
      <c r="E2028" s="1"/>
      <c r="F2028" s="1"/>
      <c r="G2028" s="1"/>
      <c r="H2028" s="1"/>
      <c r="I2028" s="1"/>
      <c r="J2028" s="1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</row>
    <row r="2029" spans="2:73" s="38" customFormat="1">
      <c r="B2029" s="1"/>
      <c r="C2029" s="1"/>
      <c r="D2029" s="1"/>
      <c r="E2029" s="1"/>
      <c r="F2029" s="1"/>
      <c r="G2029" s="1"/>
      <c r="H2029" s="1"/>
      <c r="I2029" s="1"/>
      <c r="J2029" s="1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</row>
    <row r="2030" spans="2:73" s="38" customFormat="1">
      <c r="B2030" s="1"/>
      <c r="C2030" s="1"/>
      <c r="D2030" s="1"/>
      <c r="E2030" s="1"/>
      <c r="F2030" s="1"/>
      <c r="G2030" s="1"/>
      <c r="H2030" s="1"/>
      <c r="I2030" s="1"/>
      <c r="J2030" s="1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</row>
    <row r="2031" spans="2:73" s="38" customFormat="1">
      <c r="B2031" s="1"/>
      <c r="C2031" s="1"/>
      <c r="D2031" s="1"/>
      <c r="E2031" s="1"/>
      <c r="F2031" s="1"/>
      <c r="G2031" s="1"/>
      <c r="H2031" s="1"/>
      <c r="I2031" s="1"/>
      <c r="J2031" s="1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</row>
    <row r="2032" spans="2:73" s="38" customFormat="1">
      <c r="B2032" s="1"/>
      <c r="C2032" s="1"/>
      <c r="D2032" s="1"/>
      <c r="E2032" s="1"/>
      <c r="F2032" s="1"/>
      <c r="G2032" s="1"/>
      <c r="H2032" s="1"/>
      <c r="I2032" s="1"/>
      <c r="J2032" s="1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</row>
    <row r="2033" spans="2:73" s="38" customFormat="1">
      <c r="B2033" s="1"/>
      <c r="C2033" s="1"/>
      <c r="D2033" s="1"/>
      <c r="E2033" s="1"/>
      <c r="F2033" s="1"/>
      <c r="G2033" s="1"/>
      <c r="H2033" s="1"/>
      <c r="I2033" s="1"/>
      <c r="J2033" s="1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</row>
    <row r="2034" spans="2:73" s="38" customFormat="1">
      <c r="B2034" s="1"/>
      <c r="C2034" s="1"/>
      <c r="D2034" s="1"/>
      <c r="E2034" s="1"/>
      <c r="F2034" s="1"/>
      <c r="G2034" s="1"/>
      <c r="H2034" s="1"/>
      <c r="I2034" s="1"/>
      <c r="J2034" s="1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</row>
    <row r="2035" spans="2:73" s="38" customFormat="1">
      <c r="B2035" s="1"/>
      <c r="C2035" s="1"/>
      <c r="D2035" s="1"/>
      <c r="E2035" s="1"/>
      <c r="F2035" s="1"/>
      <c r="G2035" s="1"/>
      <c r="H2035" s="1"/>
      <c r="I2035" s="1"/>
      <c r="J2035" s="1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</row>
    <row r="2036" spans="2:73" s="38" customFormat="1">
      <c r="B2036" s="1"/>
      <c r="C2036" s="1"/>
      <c r="D2036" s="1"/>
      <c r="E2036" s="1"/>
      <c r="F2036" s="1"/>
      <c r="G2036" s="1"/>
      <c r="H2036" s="1"/>
      <c r="I2036" s="1"/>
      <c r="J2036" s="1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</row>
    <row r="2037" spans="2:73" s="38" customFormat="1">
      <c r="B2037" s="1"/>
      <c r="C2037" s="1"/>
      <c r="D2037" s="1"/>
      <c r="E2037" s="1"/>
      <c r="F2037" s="1"/>
      <c r="G2037" s="1"/>
      <c r="H2037" s="1"/>
      <c r="I2037" s="1"/>
      <c r="J2037" s="1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</row>
    <row r="2038" spans="2:73" s="38" customFormat="1">
      <c r="B2038" s="1"/>
      <c r="C2038" s="1"/>
      <c r="D2038" s="1"/>
      <c r="E2038" s="1"/>
      <c r="F2038" s="1"/>
      <c r="G2038" s="1"/>
      <c r="H2038" s="1"/>
      <c r="I2038" s="1"/>
      <c r="J2038" s="1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</row>
    <row r="2039" spans="2:73" s="38" customFormat="1">
      <c r="B2039" s="1"/>
      <c r="C2039" s="1"/>
      <c r="D2039" s="1"/>
      <c r="E2039" s="1"/>
      <c r="F2039" s="1"/>
      <c r="G2039" s="1"/>
      <c r="H2039" s="1"/>
      <c r="I2039" s="1"/>
      <c r="J2039" s="1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</row>
    <row r="2040" spans="2:73" s="38" customFormat="1">
      <c r="B2040" s="1"/>
      <c r="C2040" s="1"/>
      <c r="D2040" s="1"/>
      <c r="E2040" s="1"/>
      <c r="F2040" s="1"/>
      <c r="G2040" s="1"/>
      <c r="H2040" s="1"/>
      <c r="I2040" s="1"/>
      <c r="J2040" s="1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</row>
    <row r="2041" spans="2:73" s="38" customFormat="1">
      <c r="B2041" s="1"/>
      <c r="C2041" s="1"/>
      <c r="D2041" s="1"/>
      <c r="E2041" s="1"/>
      <c r="F2041" s="1"/>
      <c r="G2041" s="1"/>
      <c r="H2041" s="1"/>
      <c r="I2041" s="1"/>
      <c r="J2041" s="1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</row>
    <row r="2042" spans="2:73" s="38" customFormat="1">
      <c r="B2042" s="1"/>
      <c r="C2042" s="1"/>
      <c r="D2042" s="1"/>
      <c r="E2042" s="1"/>
      <c r="F2042" s="1"/>
      <c r="G2042" s="1"/>
      <c r="H2042" s="1"/>
      <c r="I2042" s="1"/>
      <c r="J2042" s="1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</row>
    <row r="2043" spans="2:73" s="38" customFormat="1">
      <c r="B2043" s="1"/>
      <c r="C2043" s="1"/>
      <c r="D2043" s="1"/>
      <c r="E2043" s="1"/>
      <c r="F2043" s="1"/>
      <c r="G2043" s="1"/>
      <c r="H2043" s="1"/>
      <c r="I2043" s="1"/>
      <c r="J2043" s="1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</row>
    <row r="2044" spans="2:73" s="38" customFormat="1">
      <c r="B2044" s="1"/>
      <c r="C2044" s="1"/>
      <c r="D2044" s="1"/>
      <c r="E2044" s="1"/>
      <c r="F2044" s="1"/>
      <c r="G2044" s="1"/>
      <c r="H2044" s="1"/>
      <c r="I2044" s="1"/>
      <c r="J2044" s="1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</row>
    <row r="2045" spans="2:73" s="38" customFormat="1">
      <c r="B2045" s="1"/>
      <c r="C2045" s="1"/>
      <c r="D2045" s="1"/>
      <c r="E2045" s="1"/>
      <c r="F2045" s="1"/>
      <c r="G2045" s="1"/>
      <c r="H2045" s="1"/>
      <c r="I2045" s="1"/>
      <c r="J2045" s="1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</row>
    <row r="2046" spans="2:73" s="38" customFormat="1">
      <c r="B2046" s="1"/>
      <c r="C2046" s="1"/>
      <c r="D2046" s="1"/>
      <c r="E2046" s="1"/>
      <c r="F2046" s="1"/>
      <c r="G2046" s="1"/>
      <c r="H2046" s="1"/>
      <c r="I2046" s="1"/>
      <c r="J2046" s="1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</row>
    <row r="2047" spans="2:73" s="38" customFormat="1">
      <c r="B2047" s="1"/>
      <c r="C2047" s="1"/>
      <c r="D2047" s="1"/>
      <c r="E2047" s="1"/>
      <c r="F2047" s="1"/>
      <c r="G2047" s="1"/>
      <c r="H2047" s="1"/>
      <c r="I2047" s="1"/>
      <c r="J2047" s="1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</row>
    <row r="2048" spans="2:73" s="38" customFormat="1">
      <c r="B2048" s="1"/>
      <c r="C2048" s="1"/>
      <c r="D2048" s="1"/>
      <c r="E2048" s="1"/>
      <c r="F2048" s="1"/>
      <c r="G2048" s="1"/>
      <c r="H2048" s="1"/>
      <c r="I2048" s="1"/>
      <c r="J2048" s="1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</row>
    <row r="2049" spans="2:73" s="38" customFormat="1">
      <c r="B2049" s="1"/>
      <c r="C2049" s="1"/>
      <c r="D2049" s="1"/>
      <c r="E2049" s="1"/>
      <c r="F2049" s="1"/>
      <c r="G2049" s="1"/>
      <c r="H2049" s="1"/>
      <c r="I2049" s="1"/>
      <c r="J2049" s="1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</row>
    <row r="2050" spans="2:73" s="38" customFormat="1">
      <c r="B2050" s="1"/>
      <c r="C2050" s="1"/>
      <c r="D2050" s="1"/>
      <c r="E2050" s="1"/>
      <c r="F2050" s="1"/>
      <c r="G2050" s="1"/>
      <c r="H2050" s="1"/>
      <c r="I2050" s="1"/>
      <c r="J2050" s="1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</row>
    <row r="2051" spans="2:73" s="38" customFormat="1">
      <c r="B2051" s="1"/>
      <c r="C2051" s="1"/>
      <c r="D2051" s="1"/>
      <c r="E2051" s="1"/>
      <c r="F2051" s="1"/>
      <c r="G2051" s="1"/>
      <c r="H2051" s="1"/>
      <c r="I2051" s="1"/>
      <c r="J2051" s="1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</row>
    <row r="2052" spans="2:73" s="38" customFormat="1">
      <c r="B2052" s="1"/>
      <c r="C2052" s="1"/>
      <c r="D2052" s="1"/>
      <c r="E2052" s="1"/>
      <c r="F2052" s="1"/>
      <c r="G2052" s="1"/>
      <c r="H2052" s="1"/>
      <c r="I2052" s="1"/>
      <c r="J2052" s="1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</row>
    <row r="2053" spans="2:73" s="38" customFormat="1">
      <c r="B2053" s="1"/>
      <c r="C2053" s="1"/>
      <c r="D2053" s="1"/>
      <c r="E2053" s="1"/>
      <c r="F2053" s="1"/>
      <c r="G2053" s="1"/>
      <c r="H2053" s="1"/>
      <c r="I2053" s="1"/>
      <c r="J2053" s="1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</row>
    <row r="2054" spans="2:73" s="38" customFormat="1">
      <c r="B2054" s="1"/>
      <c r="C2054" s="1"/>
      <c r="D2054" s="1"/>
      <c r="E2054" s="1"/>
      <c r="F2054" s="1"/>
      <c r="G2054" s="1"/>
      <c r="H2054" s="1"/>
      <c r="I2054" s="1"/>
      <c r="J2054" s="1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</row>
    <row r="2055" spans="2:73" s="38" customFormat="1">
      <c r="B2055" s="1"/>
      <c r="C2055" s="1"/>
      <c r="D2055" s="1"/>
      <c r="E2055" s="1"/>
      <c r="F2055" s="1"/>
      <c r="G2055" s="1"/>
      <c r="H2055" s="1"/>
      <c r="I2055" s="1"/>
      <c r="J2055" s="1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</row>
    <row r="2056" spans="2:73" s="38" customFormat="1">
      <c r="B2056" s="1"/>
      <c r="C2056" s="1"/>
      <c r="D2056" s="1"/>
      <c r="E2056" s="1"/>
      <c r="F2056" s="1"/>
      <c r="G2056" s="1"/>
      <c r="H2056" s="1"/>
      <c r="I2056" s="1"/>
      <c r="J2056" s="1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</row>
    <row r="2057" spans="2:73" s="38" customFormat="1">
      <c r="B2057" s="1"/>
      <c r="C2057" s="1"/>
      <c r="D2057" s="1"/>
      <c r="E2057" s="1"/>
      <c r="F2057" s="1"/>
      <c r="G2057" s="1"/>
      <c r="H2057" s="1"/>
      <c r="I2057" s="1"/>
      <c r="J2057" s="1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</row>
    <row r="2058" spans="2:73" s="38" customFormat="1">
      <c r="B2058" s="1"/>
      <c r="C2058" s="1"/>
      <c r="D2058" s="1"/>
      <c r="E2058" s="1"/>
      <c r="F2058" s="1"/>
      <c r="G2058" s="1"/>
      <c r="H2058" s="1"/>
      <c r="I2058" s="1"/>
      <c r="J2058" s="1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</row>
    <row r="2059" spans="2:73" s="38" customFormat="1">
      <c r="B2059" s="1"/>
      <c r="C2059" s="1"/>
      <c r="D2059" s="1"/>
      <c r="E2059" s="1"/>
      <c r="F2059" s="1"/>
      <c r="G2059" s="1"/>
      <c r="H2059" s="1"/>
      <c r="I2059" s="1"/>
      <c r="J2059" s="1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</row>
    <row r="2060" spans="2:73" s="38" customFormat="1">
      <c r="B2060" s="1"/>
      <c r="C2060" s="1"/>
      <c r="D2060" s="1"/>
      <c r="E2060" s="1"/>
      <c r="F2060" s="1"/>
      <c r="G2060" s="1"/>
      <c r="H2060" s="1"/>
      <c r="I2060" s="1"/>
      <c r="J2060" s="1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</row>
    <row r="2061" spans="2:73" s="38" customFormat="1">
      <c r="B2061" s="1"/>
      <c r="C2061" s="1"/>
      <c r="D2061" s="1"/>
      <c r="E2061" s="1"/>
      <c r="F2061" s="1"/>
      <c r="G2061" s="1"/>
      <c r="H2061" s="1"/>
      <c r="I2061" s="1"/>
      <c r="J2061" s="1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</row>
    <row r="2062" spans="2:73" s="38" customFormat="1">
      <c r="B2062" s="1"/>
      <c r="C2062" s="1"/>
      <c r="D2062" s="1"/>
      <c r="E2062" s="1"/>
      <c r="F2062" s="1"/>
      <c r="G2062" s="1"/>
      <c r="H2062" s="1"/>
      <c r="I2062" s="1"/>
      <c r="J2062" s="1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</row>
    <row r="2063" spans="2:73" s="38" customFormat="1">
      <c r="B2063" s="1"/>
      <c r="C2063" s="1"/>
      <c r="D2063" s="1"/>
      <c r="E2063" s="1"/>
      <c r="F2063" s="1"/>
      <c r="G2063" s="1"/>
      <c r="H2063" s="1"/>
      <c r="I2063" s="1"/>
      <c r="J2063" s="1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</row>
    <row r="2064" spans="2:73" s="38" customFormat="1">
      <c r="B2064" s="1"/>
      <c r="C2064" s="1"/>
      <c r="D2064" s="1"/>
      <c r="E2064" s="1"/>
      <c r="F2064" s="1"/>
      <c r="G2064" s="1"/>
      <c r="H2064" s="1"/>
      <c r="I2064" s="1"/>
      <c r="J2064" s="1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</row>
    <row r="2065" spans="2:73" s="38" customFormat="1">
      <c r="B2065" s="1"/>
      <c r="C2065" s="1"/>
      <c r="D2065" s="1"/>
      <c r="E2065" s="1"/>
      <c r="F2065" s="1"/>
      <c r="G2065" s="1"/>
      <c r="H2065" s="1"/>
      <c r="I2065" s="1"/>
      <c r="J2065" s="1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</row>
    <row r="2066" spans="2:73" s="38" customFormat="1">
      <c r="B2066" s="1"/>
      <c r="C2066" s="1"/>
      <c r="D2066" s="1"/>
      <c r="E2066" s="1"/>
      <c r="F2066" s="1"/>
      <c r="G2066" s="1"/>
      <c r="H2066" s="1"/>
      <c r="I2066" s="1"/>
      <c r="J2066" s="1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</row>
    <row r="2067" spans="2:73" s="38" customFormat="1">
      <c r="B2067" s="1"/>
      <c r="C2067" s="1"/>
      <c r="D2067" s="1"/>
      <c r="E2067" s="1"/>
      <c r="F2067" s="1"/>
      <c r="G2067" s="1"/>
      <c r="H2067" s="1"/>
      <c r="I2067" s="1"/>
      <c r="J2067" s="1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</row>
    <row r="2068" spans="2:73" s="38" customFormat="1">
      <c r="B2068" s="1"/>
      <c r="C2068" s="1"/>
      <c r="D2068" s="1"/>
      <c r="E2068" s="1"/>
      <c r="F2068" s="1"/>
      <c r="G2068" s="1"/>
      <c r="H2068" s="1"/>
      <c r="I2068" s="1"/>
      <c r="J2068" s="1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</row>
    <row r="2069" spans="2:73" s="38" customFormat="1">
      <c r="B2069" s="1"/>
      <c r="C2069" s="1"/>
      <c r="D2069" s="1"/>
      <c r="E2069" s="1"/>
      <c r="F2069" s="1"/>
      <c r="G2069" s="1"/>
      <c r="H2069" s="1"/>
      <c r="I2069" s="1"/>
      <c r="J2069" s="1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</row>
    <row r="2070" spans="2:73" s="38" customFormat="1">
      <c r="B2070" s="1"/>
      <c r="C2070" s="1"/>
      <c r="D2070" s="1"/>
      <c r="E2070" s="1"/>
      <c r="F2070" s="1"/>
      <c r="G2070" s="1"/>
      <c r="H2070" s="1"/>
      <c r="I2070" s="1"/>
      <c r="J2070" s="1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</row>
    <row r="2071" spans="2:73" s="38" customFormat="1">
      <c r="B2071" s="1"/>
      <c r="C2071" s="1"/>
      <c r="D2071" s="1"/>
      <c r="E2071" s="1"/>
      <c r="F2071" s="1"/>
      <c r="G2071" s="1"/>
      <c r="H2071" s="1"/>
      <c r="I2071" s="1"/>
      <c r="J2071" s="1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</row>
    <row r="2072" spans="2:73" s="38" customFormat="1">
      <c r="B2072" s="1"/>
      <c r="C2072" s="1"/>
      <c r="D2072" s="1"/>
      <c r="E2072" s="1"/>
      <c r="F2072" s="1"/>
      <c r="G2072" s="1"/>
      <c r="H2072" s="1"/>
      <c r="I2072" s="1"/>
      <c r="J2072" s="1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</row>
    <row r="2073" spans="2:73" s="38" customFormat="1">
      <c r="B2073" s="1"/>
      <c r="C2073" s="1"/>
      <c r="D2073" s="1"/>
      <c r="E2073" s="1"/>
      <c r="F2073" s="1"/>
      <c r="G2073" s="1"/>
      <c r="H2073" s="1"/>
      <c r="I2073" s="1"/>
      <c r="J2073" s="1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</row>
    <row r="2074" spans="2:73" s="38" customFormat="1">
      <c r="B2074" s="1"/>
      <c r="C2074" s="1"/>
      <c r="D2074" s="1"/>
      <c r="E2074" s="1"/>
      <c r="F2074" s="1"/>
      <c r="G2074" s="1"/>
      <c r="H2074" s="1"/>
      <c r="I2074" s="1"/>
      <c r="J2074" s="1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</row>
    <row r="2075" spans="2:73" s="38" customFormat="1">
      <c r="B2075" s="1"/>
      <c r="C2075" s="1"/>
      <c r="D2075" s="1"/>
      <c r="E2075" s="1"/>
      <c r="F2075" s="1"/>
      <c r="G2075" s="1"/>
      <c r="H2075" s="1"/>
      <c r="I2075" s="1"/>
      <c r="J2075" s="1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</row>
    <row r="2076" spans="2:73" s="38" customFormat="1">
      <c r="B2076" s="1"/>
      <c r="C2076" s="1"/>
      <c r="D2076" s="1"/>
      <c r="E2076" s="1"/>
      <c r="F2076" s="1"/>
      <c r="G2076" s="1"/>
      <c r="H2076" s="1"/>
      <c r="I2076" s="1"/>
      <c r="J2076" s="1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</row>
    <row r="2077" spans="2:73" s="38" customFormat="1">
      <c r="B2077" s="1"/>
      <c r="C2077" s="1"/>
      <c r="D2077" s="1"/>
      <c r="E2077" s="1"/>
      <c r="F2077" s="1"/>
      <c r="G2077" s="1"/>
      <c r="H2077" s="1"/>
      <c r="I2077" s="1"/>
      <c r="J2077" s="1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</row>
    <row r="2078" spans="2:73" s="38" customFormat="1">
      <c r="B2078" s="1"/>
      <c r="C2078" s="1"/>
      <c r="D2078" s="1"/>
      <c r="E2078" s="1"/>
      <c r="F2078" s="1"/>
      <c r="G2078" s="1"/>
      <c r="H2078" s="1"/>
      <c r="I2078" s="1"/>
      <c r="J2078" s="1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</row>
    <row r="2079" spans="2:73" s="38" customFormat="1">
      <c r="B2079" s="1"/>
      <c r="C2079" s="1"/>
      <c r="D2079" s="1"/>
      <c r="E2079" s="1"/>
      <c r="F2079" s="1"/>
      <c r="G2079" s="1"/>
      <c r="H2079" s="1"/>
      <c r="I2079" s="1"/>
      <c r="J2079" s="1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</row>
    <row r="2080" spans="2:73" s="38" customFormat="1">
      <c r="B2080" s="1"/>
      <c r="C2080" s="1"/>
      <c r="D2080" s="1"/>
      <c r="E2080" s="1"/>
      <c r="F2080" s="1"/>
      <c r="G2080" s="1"/>
      <c r="H2080" s="1"/>
      <c r="I2080" s="1"/>
      <c r="J2080" s="1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</row>
    <row r="2081" spans="2:73" s="38" customFormat="1">
      <c r="B2081" s="1"/>
      <c r="C2081" s="1"/>
      <c r="D2081" s="1"/>
      <c r="E2081" s="1"/>
      <c r="F2081" s="1"/>
      <c r="G2081" s="1"/>
      <c r="H2081" s="1"/>
      <c r="I2081" s="1"/>
      <c r="J2081" s="1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</row>
    <row r="2082" spans="2:73" s="38" customFormat="1">
      <c r="B2082" s="1"/>
      <c r="C2082" s="1"/>
      <c r="D2082" s="1"/>
      <c r="E2082" s="1"/>
      <c r="F2082" s="1"/>
      <c r="G2082" s="1"/>
      <c r="H2082" s="1"/>
      <c r="I2082" s="1"/>
      <c r="J2082" s="1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</row>
    <row r="2083" spans="2:73" s="38" customFormat="1">
      <c r="B2083" s="1"/>
      <c r="C2083" s="1"/>
      <c r="D2083" s="1"/>
      <c r="E2083" s="1"/>
      <c r="F2083" s="1"/>
      <c r="G2083" s="1"/>
      <c r="H2083" s="1"/>
      <c r="I2083" s="1"/>
      <c r="J2083" s="1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</row>
    <row r="2084" spans="2:73" s="38" customFormat="1">
      <c r="B2084" s="1"/>
      <c r="C2084" s="1"/>
      <c r="D2084" s="1"/>
      <c r="E2084" s="1"/>
      <c r="F2084" s="1"/>
      <c r="G2084" s="1"/>
      <c r="H2084" s="1"/>
      <c r="I2084" s="1"/>
      <c r="J2084" s="1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</row>
    <row r="2085" spans="2:73" s="38" customFormat="1">
      <c r="B2085" s="1"/>
      <c r="C2085" s="1"/>
      <c r="D2085" s="1"/>
      <c r="E2085" s="1"/>
      <c r="F2085" s="1"/>
      <c r="G2085" s="1"/>
      <c r="H2085" s="1"/>
      <c r="I2085" s="1"/>
      <c r="J2085" s="1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</row>
    <row r="2086" spans="2:73" s="38" customFormat="1">
      <c r="B2086" s="1"/>
      <c r="C2086" s="1"/>
      <c r="D2086" s="1"/>
      <c r="E2086" s="1"/>
      <c r="F2086" s="1"/>
      <c r="G2086" s="1"/>
      <c r="H2086" s="1"/>
      <c r="I2086" s="1"/>
      <c r="J2086" s="1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</row>
    <row r="2087" spans="2:73" s="38" customFormat="1">
      <c r="B2087" s="1"/>
      <c r="C2087" s="1"/>
      <c r="D2087" s="1"/>
      <c r="E2087" s="1"/>
      <c r="F2087" s="1"/>
      <c r="G2087" s="1"/>
      <c r="H2087" s="1"/>
      <c r="I2087" s="1"/>
      <c r="J2087" s="1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</row>
    <row r="2088" spans="2:73" s="38" customFormat="1">
      <c r="B2088" s="1"/>
      <c r="C2088" s="1"/>
      <c r="D2088" s="1"/>
      <c r="E2088" s="1"/>
      <c r="F2088" s="1"/>
      <c r="G2088" s="1"/>
      <c r="H2088" s="1"/>
      <c r="I2088" s="1"/>
      <c r="J2088" s="1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</row>
    <row r="2089" spans="2:73" s="38" customFormat="1">
      <c r="B2089" s="1"/>
      <c r="C2089" s="1"/>
      <c r="D2089" s="1"/>
      <c r="E2089" s="1"/>
      <c r="F2089" s="1"/>
      <c r="G2089" s="1"/>
      <c r="H2089" s="1"/>
      <c r="I2089" s="1"/>
      <c r="J2089" s="1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</row>
    <row r="2090" spans="2:73" s="38" customFormat="1">
      <c r="B2090" s="1"/>
      <c r="C2090" s="1"/>
      <c r="D2090" s="1"/>
      <c r="E2090" s="1"/>
      <c r="F2090" s="1"/>
      <c r="G2090" s="1"/>
      <c r="H2090" s="1"/>
      <c r="I2090" s="1"/>
      <c r="J2090" s="1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</row>
    <row r="2091" spans="2:73" s="38" customFormat="1">
      <c r="B2091" s="1"/>
      <c r="C2091" s="1"/>
      <c r="D2091" s="1"/>
      <c r="E2091" s="1"/>
      <c r="F2091" s="1"/>
      <c r="G2091" s="1"/>
      <c r="H2091" s="1"/>
      <c r="I2091" s="1"/>
      <c r="J2091" s="1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</row>
    <row r="2092" spans="2:73" s="38" customFormat="1">
      <c r="B2092" s="1"/>
      <c r="C2092" s="1"/>
      <c r="D2092" s="1"/>
      <c r="E2092" s="1"/>
      <c r="F2092" s="1"/>
      <c r="G2092" s="1"/>
      <c r="H2092" s="1"/>
      <c r="I2092" s="1"/>
      <c r="J2092" s="1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</row>
    <row r="2093" spans="2:73" s="38" customFormat="1">
      <c r="B2093" s="1"/>
      <c r="C2093" s="1"/>
      <c r="D2093" s="1"/>
      <c r="E2093" s="1"/>
      <c r="F2093" s="1"/>
      <c r="G2093" s="1"/>
      <c r="H2093" s="1"/>
      <c r="I2093" s="1"/>
      <c r="J2093" s="1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</row>
    <row r="2094" spans="2:73" s="38" customFormat="1">
      <c r="B2094" s="1"/>
      <c r="C2094" s="1"/>
      <c r="D2094" s="1"/>
      <c r="E2094" s="1"/>
      <c r="F2094" s="1"/>
      <c r="G2094" s="1"/>
      <c r="H2094" s="1"/>
      <c r="I2094" s="1"/>
      <c r="J2094" s="1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</row>
    <row r="2095" spans="2:73" s="38" customFormat="1">
      <c r="B2095" s="1"/>
      <c r="C2095" s="1"/>
      <c r="D2095" s="1"/>
      <c r="E2095" s="1"/>
      <c r="F2095" s="1"/>
      <c r="G2095" s="1"/>
      <c r="H2095" s="1"/>
      <c r="I2095" s="1"/>
      <c r="J2095" s="1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</row>
    <row r="2096" spans="2:73" s="38" customFormat="1">
      <c r="B2096" s="1"/>
      <c r="C2096" s="1"/>
      <c r="D2096" s="1"/>
      <c r="E2096" s="1"/>
      <c r="F2096" s="1"/>
      <c r="G2096" s="1"/>
      <c r="H2096" s="1"/>
      <c r="I2096" s="1"/>
      <c r="J2096" s="1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</row>
    <row r="2097" spans="2:73" s="38" customFormat="1">
      <c r="B2097" s="1"/>
      <c r="C2097" s="1"/>
      <c r="D2097" s="1"/>
      <c r="E2097" s="1"/>
      <c r="F2097" s="1"/>
      <c r="G2097" s="1"/>
      <c r="H2097" s="1"/>
      <c r="I2097" s="1"/>
      <c r="J2097" s="1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</row>
    <row r="2098" spans="2:73" s="38" customFormat="1">
      <c r="B2098" s="1"/>
      <c r="C2098" s="1"/>
      <c r="D2098" s="1"/>
      <c r="E2098" s="1"/>
      <c r="F2098" s="1"/>
      <c r="G2098" s="1"/>
      <c r="H2098" s="1"/>
      <c r="I2098" s="1"/>
      <c r="J2098" s="1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</row>
    <row r="2099" spans="2:73" s="38" customFormat="1">
      <c r="B2099" s="1"/>
      <c r="C2099" s="1"/>
      <c r="D2099" s="1"/>
      <c r="E2099" s="1"/>
      <c r="F2099" s="1"/>
      <c r="G2099" s="1"/>
      <c r="H2099" s="1"/>
      <c r="I2099" s="1"/>
      <c r="J2099" s="1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</row>
    <row r="2100" spans="2:73" s="38" customFormat="1">
      <c r="B2100" s="1"/>
      <c r="C2100" s="1"/>
      <c r="D2100" s="1"/>
      <c r="E2100" s="1"/>
      <c r="F2100" s="1"/>
      <c r="G2100" s="1"/>
      <c r="H2100" s="1"/>
      <c r="I2100" s="1"/>
      <c r="J2100" s="1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</row>
    <row r="2101" spans="2:73" s="38" customFormat="1">
      <c r="B2101" s="1"/>
      <c r="C2101" s="1"/>
      <c r="D2101" s="1"/>
      <c r="E2101" s="1"/>
      <c r="F2101" s="1"/>
      <c r="G2101" s="1"/>
      <c r="H2101" s="1"/>
      <c r="I2101" s="1"/>
      <c r="J2101" s="1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</row>
    <row r="2102" spans="2:73" s="38" customFormat="1">
      <c r="B2102" s="1"/>
      <c r="C2102" s="1"/>
      <c r="D2102" s="1"/>
      <c r="E2102" s="1"/>
      <c r="F2102" s="1"/>
      <c r="G2102" s="1"/>
      <c r="H2102" s="1"/>
      <c r="I2102" s="1"/>
      <c r="J2102" s="1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</row>
    <row r="2103" spans="2:73" s="38" customFormat="1">
      <c r="B2103" s="1"/>
      <c r="C2103" s="1"/>
      <c r="D2103" s="1"/>
      <c r="E2103" s="1"/>
      <c r="F2103" s="1"/>
      <c r="G2103" s="1"/>
      <c r="H2103" s="1"/>
      <c r="I2103" s="1"/>
      <c r="J2103" s="1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</row>
    <row r="2104" spans="2:73" s="38" customFormat="1">
      <c r="B2104" s="1"/>
      <c r="C2104" s="1"/>
      <c r="D2104" s="1"/>
      <c r="E2104" s="1"/>
      <c r="F2104" s="1"/>
      <c r="G2104" s="1"/>
      <c r="H2104" s="1"/>
      <c r="I2104" s="1"/>
      <c r="J2104" s="1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</row>
    <row r="2105" spans="2:73" s="38" customFormat="1">
      <c r="B2105" s="1"/>
      <c r="C2105" s="1"/>
      <c r="D2105" s="1"/>
      <c r="E2105" s="1"/>
      <c r="F2105" s="1"/>
      <c r="G2105" s="1"/>
      <c r="H2105" s="1"/>
      <c r="I2105" s="1"/>
      <c r="J2105" s="1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</row>
    <row r="2106" spans="2:73" s="38" customFormat="1">
      <c r="B2106" s="1"/>
      <c r="C2106" s="1"/>
      <c r="D2106" s="1"/>
      <c r="E2106" s="1"/>
      <c r="F2106" s="1"/>
      <c r="G2106" s="1"/>
      <c r="H2106" s="1"/>
      <c r="I2106" s="1"/>
      <c r="J2106" s="1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</row>
    <row r="2107" spans="2:73" s="38" customFormat="1">
      <c r="B2107" s="1"/>
      <c r="C2107" s="1"/>
      <c r="D2107" s="1"/>
      <c r="E2107" s="1"/>
      <c r="F2107" s="1"/>
      <c r="G2107" s="1"/>
      <c r="H2107" s="1"/>
      <c r="I2107" s="1"/>
      <c r="J2107" s="1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</row>
    <row r="2108" spans="2:73" s="38" customFormat="1">
      <c r="B2108" s="1"/>
      <c r="C2108" s="1"/>
      <c r="D2108" s="1"/>
      <c r="E2108" s="1"/>
      <c r="F2108" s="1"/>
      <c r="G2108" s="1"/>
      <c r="H2108" s="1"/>
      <c r="I2108" s="1"/>
      <c r="J2108" s="1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</row>
    <row r="2109" spans="2:73" s="38" customFormat="1">
      <c r="B2109" s="1"/>
      <c r="C2109" s="1"/>
      <c r="D2109" s="1"/>
      <c r="E2109" s="1"/>
      <c r="F2109" s="1"/>
      <c r="G2109" s="1"/>
      <c r="H2109" s="1"/>
      <c r="I2109" s="1"/>
      <c r="J2109" s="1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</row>
    <row r="2110" spans="2:73" s="38" customFormat="1">
      <c r="B2110" s="1"/>
      <c r="C2110" s="1"/>
      <c r="D2110" s="1"/>
      <c r="E2110" s="1"/>
      <c r="F2110" s="1"/>
      <c r="G2110" s="1"/>
      <c r="H2110" s="1"/>
      <c r="I2110" s="1"/>
      <c r="J2110" s="1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</row>
    <row r="2111" spans="2:73" s="38" customFormat="1">
      <c r="B2111" s="1"/>
      <c r="C2111" s="1"/>
      <c r="D2111" s="1"/>
      <c r="E2111" s="1"/>
      <c r="F2111" s="1"/>
      <c r="G2111" s="1"/>
      <c r="H2111" s="1"/>
      <c r="I2111" s="1"/>
      <c r="J2111" s="1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</row>
    <row r="2112" spans="2:73" s="38" customFormat="1">
      <c r="B2112" s="1"/>
      <c r="C2112" s="1"/>
      <c r="D2112" s="1"/>
      <c r="E2112" s="1"/>
      <c r="F2112" s="1"/>
      <c r="G2112" s="1"/>
      <c r="H2112" s="1"/>
      <c r="I2112" s="1"/>
      <c r="J2112" s="1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</row>
    <row r="2113" spans="2:73" s="38" customFormat="1">
      <c r="B2113" s="1"/>
      <c r="C2113" s="1"/>
      <c r="D2113" s="1"/>
      <c r="E2113" s="1"/>
      <c r="F2113" s="1"/>
      <c r="G2113" s="1"/>
      <c r="H2113" s="1"/>
      <c r="I2113" s="1"/>
      <c r="J2113" s="1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</row>
    <row r="2114" spans="2:73" s="38" customFormat="1">
      <c r="B2114" s="1"/>
      <c r="C2114" s="1"/>
      <c r="D2114" s="1"/>
      <c r="E2114" s="1"/>
      <c r="F2114" s="1"/>
      <c r="G2114" s="1"/>
      <c r="H2114" s="1"/>
      <c r="I2114" s="1"/>
      <c r="J2114" s="1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</row>
    <row r="2115" spans="2:73" s="38" customFormat="1">
      <c r="B2115" s="1"/>
      <c r="C2115" s="1"/>
      <c r="D2115" s="1"/>
      <c r="E2115" s="1"/>
      <c r="F2115" s="1"/>
      <c r="G2115" s="1"/>
      <c r="H2115" s="1"/>
      <c r="I2115" s="1"/>
      <c r="J2115" s="1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</row>
    <row r="2116" spans="2:73" s="38" customFormat="1">
      <c r="B2116" s="1"/>
      <c r="C2116" s="1"/>
      <c r="D2116" s="1"/>
      <c r="E2116" s="1"/>
      <c r="F2116" s="1"/>
      <c r="G2116" s="1"/>
      <c r="H2116" s="1"/>
      <c r="I2116" s="1"/>
      <c r="J2116" s="1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</row>
    <row r="2117" spans="2:73" s="38" customFormat="1">
      <c r="B2117" s="1"/>
      <c r="C2117" s="1"/>
      <c r="D2117" s="1"/>
      <c r="E2117" s="1"/>
      <c r="F2117" s="1"/>
      <c r="G2117" s="1"/>
      <c r="H2117" s="1"/>
      <c r="I2117" s="1"/>
      <c r="J2117" s="1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</row>
    <row r="2118" spans="2:73" s="38" customFormat="1">
      <c r="B2118" s="1"/>
      <c r="C2118" s="1"/>
      <c r="D2118" s="1"/>
      <c r="E2118" s="1"/>
      <c r="F2118" s="1"/>
      <c r="G2118" s="1"/>
      <c r="H2118" s="1"/>
      <c r="I2118" s="1"/>
      <c r="J2118" s="1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</row>
    <row r="2119" spans="2:73" s="38" customFormat="1">
      <c r="B2119" s="1"/>
      <c r="C2119" s="1"/>
      <c r="D2119" s="1"/>
      <c r="E2119" s="1"/>
      <c r="F2119" s="1"/>
      <c r="G2119" s="1"/>
      <c r="H2119" s="1"/>
      <c r="I2119" s="1"/>
      <c r="J2119" s="1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</row>
    <row r="2120" spans="2:73" s="38" customFormat="1">
      <c r="B2120" s="1"/>
      <c r="C2120" s="1"/>
      <c r="D2120" s="1"/>
      <c r="E2120" s="1"/>
      <c r="F2120" s="1"/>
      <c r="G2120" s="1"/>
      <c r="H2120" s="1"/>
      <c r="I2120" s="1"/>
      <c r="J2120" s="1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</row>
    <row r="2121" spans="2:73" s="38" customFormat="1">
      <c r="B2121" s="1"/>
      <c r="C2121" s="1"/>
      <c r="D2121" s="1"/>
      <c r="E2121" s="1"/>
      <c r="F2121" s="1"/>
      <c r="G2121" s="1"/>
      <c r="H2121" s="1"/>
      <c r="I2121" s="1"/>
      <c r="J2121" s="1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</row>
    <row r="2122" spans="2:73" s="38" customFormat="1">
      <c r="B2122" s="1"/>
      <c r="C2122" s="1"/>
      <c r="D2122" s="1"/>
      <c r="E2122" s="1"/>
      <c r="F2122" s="1"/>
      <c r="G2122" s="1"/>
      <c r="H2122" s="1"/>
      <c r="I2122" s="1"/>
      <c r="J2122" s="1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</row>
    <row r="2123" spans="2:73" s="38" customFormat="1">
      <c r="B2123" s="1"/>
      <c r="C2123" s="1"/>
      <c r="D2123" s="1"/>
      <c r="E2123" s="1"/>
      <c r="F2123" s="1"/>
      <c r="G2123" s="1"/>
      <c r="H2123" s="1"/>
      <c r="I2123" s="1"/>
      <c r="J2123" s="1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</row>
    <row r="2124" spans="2:73" s="38" customFormat="1">
      <c r="B2124" s="1"/>
      <c r="C2124" s="1"/>
      <c r="D2124" s="1"/>
      <c r="E2124" s="1"/>
      <c r="F2124" s="1"/>
      <c r="G2124" s="1"/>
      <c r="H2124" s="1"/>
      <c r="I2124" s="1"/>
      <c r="J2124" s="1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</row>
    <row r="2125" spans="2:73" s="38" customFormat="1">
      <c r="B2125" s="1"/>
      <c r="C2125" s="1"/>
      <c r="D2125" s="1"/>
      <c r="E2125" s="1"/>
      <c r="F2125" s="1"/>
      <c r="G2125" s="1"/>
      <c r="H2125" s="1"/>
      <c r="I2125" s="1"/>
      <c r="J2125" s="1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</row>
    <row r="2126" spans="2:73" s="38" customFormat="1">
      <c r="B2126" s="1"/>
      <c r="C2126" s="1"/>
      <c r="D2126" s="1"/>
      <c r="E2126" s="1"/>
      <c r="F2126" s="1"/>
      <c r="G2126" s="1"/>
      <c r="H2126" s="1"/>
      <c r="I2126" s="1"/>
      <c r="J2126" s="1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</row>
    <row r="2127" spans="2:73" s="38" customFormat="1">
      <c r="B2127" s="1"/>
      <c r="C2127" s="1"/>
      <c r="D2127" s="1"/>
      <c r="E2127" s="1"/>
      <c r="F2127" s="1"/>
      <c r="G2127" s="1"/>
      <c r="H2127" s="1"/>
      <c r="I2127" s="1"/>
      <c r="J2127" s="1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</row>
    <row r="2128" spans="2:73" s="38" customFormat="1">
      <c r="B2128" s="1"/>
      <c r="C2128" s="1"/>
      <c r="D2128" s="1"/>
      <c r="E2128" s="1"/>
      <c r="F2128" s="1"/>
      <c r="G2128" s="1"/>
      <c r="H2128" s="1"/>
      <c r="I2128" s="1"/>
      <c r="J2128" s="1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</row>
    <row r="2129" spans="2:73" s="38" customFormat="1">
      <c r="B2129" s="1"/>
      <c r="C2129" s="1"/>
      <c r="D2129" s="1"/>
      <c r="E2129" s="1"/>
      <c r="F2129" s="1"/>
      <c r="G2129" s="1"/>
      <c r="H2129" s="1"/>
      <c r="I2129" s="1"/>
      <c r="J2129" s="1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</row>
    <row r="2130" spans="2:73" s="38" customFormat="1">
      <c r="B2130" s="1"/>
      <c r="C2130" s="1"/>
      <c r="D2130" s="1"/>
      <c r="E2130" s="1"/>
      <c r="F2130" s="1"/>
      <c r="G2130" s="1"/>
      <c r="H2130" s="1"/>
      <c r="I2130" s="1"/>
      <c r="J2130" s="1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</row>
    <row r="2131" spans="2:73" s="38" customFormat="1">
      <c r="B2131" s="1"/>
      <c r="C2131" s="1"/>
      <c r="D2131" s="1"/>
      <c r="E2131" s="1"/>
      <c r="F2131" s="1"/>
      <c r="G2131" s="1"/>
      <c r="H2131" s="1"/>
      <c r="I2131" s="1"/>
      <c r="J2131" s="1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</row>
    <row r="2132" spans="2:73" s="38" customFormat="1">
      <c r="B2132" s="1"/>
      <c r="C2132" s="1"/>
      <c r="D2132" s="1"/>
      <c r="E2132" s="1"/>
      <c r="F2132" s="1"/>
      <c r="G2132" s="1"/>
      <c r="H2132" s="1"/>
      <c r="I2132" s="1"/>
      <c r="J2132" s="1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</row>
    <row r="2133" spans="2:73" s="38" customFormat="1">
      <c r="B2133" s="1"/>
      <c r="C2133" s="1"/>
      <c r="D2133" s="1"/>
      <c r="E2133" s="1"/>
      <c r="F2133" s="1"/>
      <c r="G2133" s="1"/>
      <c r="H2133" s="1"/>
      <c r="I2133" s="1"/>
      <c r="J2133" s="1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</row>
    <row r="2134" spans="2:73" s="38" customFormat="1">
      <c r="B2134" s="1"/>
      <c r="C2134" s="1"/>
      <c r="D2134" s="1"/>
      <c r="E2134" s="1"/>
      <c r="F2134" s="1"/>
      <c r="G2134" s="1"/>
      <c r="H2134" s="1"/>
      <c r="I2134" s="1"/>
      <c r="J2134" s="1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</row>
    <row r="2135" spans="2:73" s="38" customFormat="1">
      <c r="B2135" s="1"/>
      <c r="C2135" s="1"/>
      <c r="D2135" s="1"/>
      <c r="E2135" s="1"/>
      <c r="F2135" s="1"/>
      <c r="G2135" s="1"/>
      <c r="H2135" s="1"/>
      <c r="I2135" s="1"/>
      <c r="J2135" s="1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</row>
    <row r="2136" spans="2:73" s="38" customFormat="1">
      <c r="B2136" s="1"/>
      <c r="C2136" s="1"/>
      <c r="D2136" s="1"/>
      <c r="E2136" s="1"/>
      <c r="F2136" s="1"/>
      <c r="G2136" s="1"/>
      <c r="H2136" s="1"/>
      <c r="I2136" s="1"/>
      <c r="J2136" s="1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</row>
    <row r="2137" spans="2:73" s="38" customFormat="1">
      <c r="B2137" s="1"/>
      <c r="C2137" s="1"/>
      <c r="D2137" s="1"/>
      <c r="E2137" s="1"/>
      <c r="F2137" s="1"/>
      <c r="G2137" s="1"/>
      <c r="H2137" s="1"/>
      <c r="I2137" s="1"/>
      <c r="J2137" s="1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</row>
    <row r="2138" spans="2:73" s="38" customFormat="1">
      <c r="B2138" s="1"/>
      <c r="C2138" s="1"/>
      <c r="D2138" s="1"/>
      <c r="E2138" s="1"/>
      <c r="F2138" s="1"/>
      <c r="G2138" s="1"/>
      <c r="H2138" s="1"/>
      <c r="I2138" s="1"/>
      <c r="J2138" s="1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</row>
    <row r="2139" spans="2:73" s="38" customFormat="1">
      <c r="B2139" s="1"/>
      <c r="C2139" s="1"/>
      <c r="D2139" s="1"/>
      <c r="E2139" s="1"/>
      <c r="F2139" s="1"/>
      <c r="G2139" s="1"/>
      <c r="H2139" s="1"/>
      <c r="I2139" s="1"/>
      <c r="J2139" s="1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</row>
    <row r="2140" spans="2:73" s="38" customFormat="1">
      <c r="B2140" s="1"/>
      <c r="C2140" s="1"/>
      <c r="D2140" s="1"/>
      <c r="E2140" s="1"/>
      <c r="F2140" s="1"/>
      <c r="G2140" s="1"/>
      <c r="H2140" s="1"/>
      <c r="I2140" s="1"/>
      <c r="J2140" s="1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</row>
    <row r="2141" spans="2:73" s="38" customFormat="1">
      <c r="B2141" s="1"/>
      <c r="C2141" s="1"/>
      <c r="D2141" s="1"/>
      <c r="E2141" s="1"/>
      <c r="F2141" s="1"/>
      <c r="G2141" s="1"/>
      <c r="H2141" s="1"/>
      <c r="I2141" s="1"/>
      <c r="J2141" s="1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</row>
    <row r="2142" spans="2:73" s="38" customFormat="1">
      <c r="B2142" s="1"/>
      <c r="C2142" s="1"/>
      <c r="D2142" s="1"/>
      <c r="E2142" s="1"/>
      <c r="F2142" s="1"/>
      <c r="G2142" s="1"/>
      <c r="H2142" s="1"/>
      <c r="I2142" s="1"/>
      <c r="J2142" s="1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</row>
    <row r="2143" spans="2:73" s="38" customFormat="1">
      <c r="B2143" s="1"/>
      <c r="C2143" s="1"/>
      <c r="D2143" s="1"/>
      <c r="E2143" s="1"/>
      <c r="F2143" s="1"/>
      <c r="G2143" s="1"/>
      <c r="H2143" s="1"/>
      <c r="I2143" s="1"/>
      <c r="J2143" s="1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</row>
    <row r="2144" spans="2:73" s="38" customFormat="1">
      <c r="B2144" s="1"/>
      <c r="C2144" s="1"/>
      <c r="D2144" s="1"/>
      <c r="E2144" s="1"/>
      <c r="F2144" s="1"/>
      <c r="G2144" s="1"/>
      <c r="H2144" s="1"/>
      <c r="I2144" s="1"/>
      <c r="J2144" s="1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</row>
    <row r="2145" spans="2:73" s="38" customFormat="1">
      <c r="B2145" s="1"/>
      <c r="C2145" s="1"/>
      <c r="D2145" s="1"/>
      <c r="E2145" s="1"/>
      <c r="F2145" s="1"/>
      <c r="G2145" s="1"/>
      <c r="H2145" s="1"/>
      <c r="I2145" s="1"/>
      <c r="J2145" s="1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</row>
    <row r="2146" spans="2:73" s="38" customFormat="1">
      <c r="B2146" s="1"/>
      <c r="C2146" s="1"/>
      <c r="D2146" s="1"/>
      <c r="E2146" s="1"/>
      <c r="F2146" s="1"/>
      <c r="G2146" s="1"/>
      <c r="H2146" s="1"/>
      <c r="I2146" s="1"/>
      <c r="J2146" s="1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</row>
    <row r="2147" spans="2:73" s="38" customFormat="1">
      <c r="B2147" s="1"/>
      <c r="C2147" s="1"/>
      <c r="D2147" s="1"/>
      <c r="E2147" s="1"/>
      <c r="F2147" s="1"/>
      <c r="G2147" s="1"/>
      <c r="H2147" s="1"/>
      <c r="I2147" s="1"/>
      <c r="J2147" s="1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</row>
    <row r="2148" spans="2:73" s="38" customFormat="1">
      <c r="B2148" s="1"/>
      <c r="C2148" s="1"/>
      <c r="D2148" s="1"/>
      <c r="E2148" s="1"/>
      <c r="F2148" s="1"/>
      <c r="G2148" s="1"/>
      <c r="H2148" s="1"/>
      <c r="I2148" s="1"/>
      <c r="J2148" s="1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</row>
    <row r="2149" spans="2:73" s="38" customFormat="1">
      <c r="B2149" s="1"/>
      <c r="C2149" s="1"/>
      <c r="D2149" s="1"/>
      <c r="E2149" s="1"/>
      <c r="F2149" s="1"/>
      <c r="G2149" s="1"/>
      <c r="H2149" s="1"/>
      <c r="I2149" s="1"/>
      <c r="J2149" s="1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</row>
    <row r="2150" spans="2:73" s="38" customFormat="1">
      <c r="B2150" s="1"/>
      <c r="C2150" s="1"/>
      <c r="D2150" s="1"/>
      <c r="E2150" s="1"/>
      <c r="F2150" s="1"/>
      <c r="G2150" s="1"/>
      <c r="H2150" s="1"/>
      <c r="I2150" s="1"/>
      <c r="J2150" s="1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</row>
    <row r="2151" spans="2:73" s="38" customFormat="1">
      <c r="B2151" s="1"/>
      <c r="C2151" s="1"/>
      <c r="D2151" s="1"/>
      <c r="E2151" s="1"/>
      <c r="F2151" s="1"/>
      <c r="G2151" s="1"/>
      <c r="H2151" s="1"/>
      <c r="I2151" s="1"/>
      <c r="J2151" s="1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</row>
    <row r="2152" spans="2:73" s="38" customFormat="1">
      <c r="B2152" s="1"/>
      <c r="C2152" s="1"/>
      <c r="D2152" s="1"/>
      <c r="E2152" s="1"/>
      <c r="F2152" s="1"/>
      <c r="G2152" s="1"/>
      <c r="H2152" s="1"/>
      <c r="I2152" s="1"/>
      <c r="J2152" s="1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</row>
    <row r="2153" spans="2:73" s="38" customFormat="1">
      <c r="B2153" s="1"/>
      <c r="C2153" s="1"/>
      <c r="D2153" s="1"/>
      <c r="E2153" s="1"/>
      <c r="F2153" s="1"/>
      <c r="G2153" s="1"/>
      <c r="H2153" s="1"/>
      <c r="I2153" s="1"/>
      <c r="J2153" s="1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</row>
    <row r="2154" spans="2:73" s="38" customFormat="1">
      <c r="B2154" s="1"/>
      <c r="C2154" s="1"/>
      <c r="D2154" s="1"/>
      <c r="E2154" s="1"/>
      <c r="F2154" s="1"/>
      <c r="G2154" s="1"/>
      <c r="H2154" s="1"/>
      <c r="I2154" s="1"/>
      <c r="J2154" s="1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</row>
    <row r="2155" spans="2:73" s="38" customFormat="1">
      <c r="B2155" s="1"/>
      <c r="C2155" s="1"/>
      <c r="D2155" s="1"/>
      <c r="E2155" s="1"/>
      <c r="F2155" s="1"/>
      <c r="G2155" s="1"/>
      <c r="H2155" s="1"/>
      <c r="I2155" s="1"/>
      <c r="J2155" s="1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</row>
    <row r="2156" spans="2:73" s="38" customFormat="1">
      <c r="B2156" s="1"/>
      <c r="C2156" s="1"/>
      <c r="D2156" s="1"/>
      <c r="E2156" s="1"/>
      <c r="F2156" s="1"/>
      <c r="G2156" s="1"/>
      <c r="H2156" s="1"/>
      <c r="I2156" s="1"/>
      <c r="J2156" s="1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</row>
    <row r="2157" spans="2:73" s="38" customFormat="1">
      <c r="B2157" s="1"/>
      <c r="C2157" s="1"/>
      <c r="D2157" s="1"/>
      <c r="E2157" s="1"/>
      <c r="F2157" s="1"/>
      <c r="G2157" s="1"/>
      <c r="H2157" s="1"/>
      <c r="I2157" s="1"/>
      <c r="J2157" s="1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</row>
    <row r="2158" spans="2:73" s="38" customFormat="1">
      <c r="B2158" s="1"/>
      <c r="C2158" s="1"/>
      <c r="D2158" s="1"/>
      <c r="E2158" s="1"/>
      <c r="F2158" s="1"/>
      <c r="G2158" s="1"/>
      <c r="H2158" s="1"/>
      <c r="I2158" s="1"/>
      <c r="J2158" s="1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</row>
    <row r="2159" spans="2:73" s="38" customFormat="1">
      <c r="B2159" s="1"/>
      <c r="C2159" s="1"/>
      <c r="D2159" s="1"/>
      <c r="E2159" s="1"/>
      <c r="F2159" s="1"/>
      <c r="G2159" s="1"/>
      <c r="H2159" s="1"/>
      <c r="I2159" s="1"/>
      <c r="J2159" s="1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</row>
    <row r="2160" spans="2:73" s="38" customFormat="1">
      <c r="B2160" s="1"/>
      <c r="C2160" s="1"/>
      <c r="D2160" s="1"/>
      <c r="E2160" s="1"/>
      <c r="F2160" s="1"/>
      <c r="G2160" s="1"/>
      <c r="H2160" s="1"/>
      <c r="I2160" s="1"/>
      <c r="J2160" s="1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</row>
    <row r="2161" spans="2:73" s="38" customFormat="1">
      <c r="B2161" s="1"/>
      <c r="C2161" s="1"/>
      <c r="D2161" s="1"/>
      <c r="E2161" s="1"/>
      <c r="F2161" s="1"/>
      <c r="G2161" s="1"/>
      <c r="H2161" s="1"/>
      <c r="I2161" s="1"/>
      <c r="J2161" s="1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</row>
    <row r="2162" spans="2:73" s="38" customFormat="1">
      <c r="B2162" s="1"/>
      <c r="C2162" s="1"/>
      <c r="D2162" s="1"/>
      <c r="E2162" s="1"/>
      <c r="F2162" s="1"/>
      <c r="G2162" s="1"/>
      <c r="H2162" s="1"/>
      <c r="I2162" s="1"/>
      <c r="J2162" s="1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</row>
    <row r="2163" spans="2:73" s="38" customFormat="1">
      <c r="B2163" s="1"/>
      <c r="C2163" s="1"/>
      <c r="D2163" s="1"/>
      <c r="E2163" s="1"/>
      <c r="F2163" s="1"/>
      <c r="G2163" s="1"/>
      <c r="H2163" s="1"/>
      <c r="I2163" s="1"/>
      <c r="J2163" s="1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</row>
    <row r="2164" spans="2:73" s="38" customFormat="1">
      <c r="B2164" s="1"/>
      <c r="C2164" s="1"/>
      <c r="D2164" s="1"/>
      <c r="E2164" s="1"/>
      <c r="F2164" s="1"/>
      <c r="G2164" s="1"/>
      <c r="H2164" s="1"/>
      <c r="I2164" s="1"/>
      <c r="J2164" s="1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</row>
    <row r="2165" spans="2:73" s="38" customFormat="1">
      <c r="B2165" s="1"/>
      <c r="C2165" s="1"/>
      <c r="D2165" s="1"/>
      <c r="E2165" s="1"/>
      <c r="F2165" s="1"/>
      <c r="G2165" s="1"/>
      <c r="H2165" s="1"/>
      <c r="I2165" s="1"/>
      <c r="J2165" s="1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</row>
    <row r="2166" spans="2:73" s="38" customFormat="1">
      <c r="B2166" s="1"/>
      <c r="C2166" s="1"/>
      <c r="D2166" s="1"/>
      <c r="E2166" s="1"/>
      <c r="F2166" s="1"/>
      <c r="G2166" s="1"/>
      <c r="H2166" s="1"/>
      <c r="I2166" s="1"/>
      <c r="J2166" s="1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</row>
    <row r="2167" spans="2:73" s="38" customFormat="1">
      <c r="B2167" s="1"/>
      <c r="C2167" s="1"/>
      <c r="D2167" s="1"/>
      <c r="E2167" s="1"/>
      <c r="F2167" s="1"/>
      <c r="G2167" s="1"/>
      <c r="H2167" s="1"/>
      <c r="I2167" s="1"/>
      <c r="J2167" s="1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</row>
    <row r="2168" spans="2:73" s="38" customFormat="1">
      <c r="B2168" s="1"/>
      <c r="C2168" s="1"/>
      <c r="D2168" s="1"/>
      <c r="E2168" s="1"/>
      <c r="F2168" s="1"/>
      <c r="G2168" s="1"/>
      <c r="H2168" s="1"/>
      <c r="I2168" s="1"/>
      <c r="J2168" s="1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</row>
    <row r="2169" spans="2:73" s="38" customFormat="1">
      <c r="B2169" s="1"/>
      <c r="C2169" s="1"/>
      <c r="D2169" s="1"/>
      <c r="E2169" s="1"/>
      <c r="F2169" s="1"/>
      <c r="G2169" s="1"/>
      <c r="H2169" s="1"/>
      <c r="I2169" s="1"/>
      <c r="J2169" s="1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</row>
    <row r="2170" spans="2:73" s="38" customFormat="1">
      <c r="B2170" s="1"/>
      <c r="C2170" s="1"/>
      <c r="D2170" s="1"/>
      <c r="E2170" s="1"/>
      <c r="F2170" s="1"/>
      <c r="G2170" s="1"/>
      <c r="H2170" s="1"/>
      <c r="I2170" s="1"/>
      <c r="J2170" s="1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</row>
    <row r="2171" spans="2:73" s="38" customFormat="1">
      <c r="B2171" s="1"/>
      <c r="C2171" s="1"/>
      <c r="D2171" s="1"/>
      <c r="E2171" s="1"/>
      <c r="F2171" s="1"/>
      <c r="G2171" s="1"/>
      <c r="H2171" s="1"/>
      <c r="I2171" s="1"/>
      <c r="J2171" s="1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</row>
    <row r="2172" spans="2:73" s="38" customFormat="1">
      <c r="B2172" s="1"/>
      <c r="C2172" s="1"/>
      <c r="D2172" s="1"/>
      <c r="E2172" s="1"/>
      <c r="F2172" s="1"/>
      <c r="G2172" s="1"/>
      <c r="H2172" s="1"/>
      <c r="I2172" s="1"/>
      <c r="J2172" s="1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</row>
    <row r="2173" spans="2:73" s="38" customFormat="1">
      <c r="B2173" s="1"/>
      <c r="C2173" s="1"/>
      <c r="D2173" s="1"/>
      <c r="E2173" s="1"/>
      <c r="F2173" s="1"/>
      <c r="G2173" s="1"/>
      <c r="H2173" s="1"/>
      <c r="I2173" s="1"/>
      <c r="J2173" s="1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</row>
    <row r="2174" spans="2:73" s="38" customFormat="1">
      <c r="B2174" s="1"/>
      <c r="C2174" s="1"/>
      <c r="D2174" s="1"/>
      <c r="E2174" s="1"/>
      <c r="F2174" s="1"/>
      <c r="G2174" s="1"/>
      <c r="H2174" s="1"/>
      <c r="I2174" s="1"/>
      <c r="J2174" s="1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</row>
    <row r="2175" spans="2:73" s="38" customFormat="1">
      <c r="B2175" s="1"/>
      <c r="C2175" s="1"/>
      <c r="D2175" s="1"/>
      <c r="E2175" s="1"/>
      <c r="F2175" s="1"/>
      <c r="G2175" s="1"/>
      <c r="H2175" s="1"/>
      <c r="I2175" s="1"/>
      <c r="J2175" s="1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</row>
    <row r="2176" spans="2:73" s="38" customFormat="1">
      <c r="B2176" s="1"/>
      <c r="C2176" s="1"/>
      <c r="D2176" s="1"/>
      <c r="E2176" s="1"/>
      <c r="F2176" s="1"/>
      <c r="G2176" s="1"/>
      <c r="H2176" s="1"/>
      <c r="I2176" s="1"/>
      <c r="J2176" s="1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</row>
    <row r="2177" spans="2:73" s="38" customFormat="1">
      <c r="B2177" s="1"/>
      <c r="C2177" s="1"/>
      <c r="D2177" s="1"/>
      <c r="E2177" s="1"/>
      <c r="F2177" s="1"/>
      <c r="G2177" s="1"/>
      <c r="H2177" s="1"/>
      <c r="I2177" s="1"/>
      <c r="J2177" s="1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</row>
    <row r="2178" spans="2:73" s="38" customFormat="1">
      <c r="B2178" s="1"/>
      <c r="C2178" s="1"/>
      <c r="D2178" s="1"/>
      <c r="E2178" s="1"/>
      <c r="F2178" s="1"/>
      <c r="G2178" s="1"/>
      <c r="H2178" s="1"/>
      <c r="I2178" s="1"/>
      <c r="J2178" s="1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</row>
    <row r="2179" spans="2:73" s="38" customFormat="1">
      <c r="B2179" s="1"/>
      <c r="C2179" s="1"/>
      <c r="D2179" s="1"/>
      <c r="E2179" s="1"/>
      <c r="F2179" s="1"/>
      <c r="G2179" s="1"/>
      <c r="H2179" s="1"/>
      <c r="I2179" s="1"/>
      <c r="J2179" s="1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</row>
    <row r="2180" spans="2:73" s="38" customFormat="1">
      <c r="B2180" s="1"/>
      <c r="C2180" s="1"/>
      <c r="D2180" s="1"/>
      <c r="E2180" s="1"/>
      <c r="F2180" s="1"/>
      <c r="G2180" s="1"/>
      <c r="H2180" s="1"/>
      <c r="I2180" s="1"/>
      <c r="J2180" s="1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</row>
    <row r="2181" spans="2:73" s="38" customFormat="1">
      <c r="B2181" s="1"/>
      <c r="C2181" s="1"/>
      <c r="D2181" s="1"/>
      <c r="E2181" s="1"/>
      <c r="F2181" s="1"/>
      <c r="G2181" s="1"/>
      <c r="H2181" s="1"/>
      <c r="I2181" s="1"/>
      <c r="J2181" s="1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</row>
    <row r="2182" spans="2:73" s="38" customFormat="1">
      <c r="B2182" s="1"/>
      <c r="C2182" s="1"/>
      <c r="D2182" s="1"/>
      <c r="E2182" s="1"/>
      <c r="F2182" s="1"/>
      <c r="G2182" s="1"/>
      <c r="H2182" s="1"/>
      <c r="I2182" s="1"/>
      <c r="J2182" s="1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</row>
    <row r="2183" spans="2:73" s="38" customFormat="1">
      <c r="B2183" s="1"/>
      <c r="C2183" s="1"/>
      <c r="D2183" s="1"/>
      <c r="E2183" s="1"/>
      <c r="F2183" s="1"/>
      <c r="G2183" s="1"/>
      <c r="H2183" s="1"/>
      <c r="I2183" s="1"/>
      <c r="J2183" s="1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</row>
    <row r="2184" spans="2:73" s="38" customFormat="1">
      <c r="B2184" s="1"/>
      <c r="C2184" s="1"/>
      <c r="D2184" s="1"/>
      <c r="E2184" s="1"/>
      <c r="F2184" s="1"/>
      <c r="G2184" s="1"/>
      <c r="H2184" s="1"/>
      <c r="I2184" s="1"/>
      <c r="J2184" s="1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</row>
    <row r="2185" spans="2:73" s="38" customFormat="1">
      <c r="B2185" s="1"/>
      <c r="C2185" s="1"/>
      <c r="D2185" s="1"/>
      <c r="E2185" s="1"/>
      <c r="F2185" s="1"/>
      <c r="G2185" s="1"/>
      <c r="H2185" s="1"/>
      <c r="I2185" s="1"/>
      <c r="J2185" s="1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</row>
    <row r="2186" spans="2:73" s="38" customFormat="1">
      <c r="B2186" s="1"/>
      <c r="C2186" s="1"/>
      <c r="D2186" s="1"/>
      <c r="E2186" s="1"/>
      <c r="F2186" s="1"/>
      <c r="G2186" s="1"/>
      <c r="H2186" s="1"/>
      <c r="I2186" s="1"/>
      <c r="J2186" s="1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</row>
    <row r="2187" spans="2:73" s="38" customFormat="1">
      <c r="B2187" s="1"/>
      <c r="C2187" s="1"/>
      <c r="D2187" s="1"/>
      <c r="E2187" s="1"/>
      <c r="F2187" s="1"/>
      <c r="G2187" s="1"/>
      <c r="H2187" s="1"/>
      <c r="I2187" s="1"/>
      <c r="J2187" s="1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</row>
    <row r="2188" spans="2:73" s="38" customFormat="1">
      <c r="B2188" s="1"/>
      <c r="C2188" s="1"/>
      <c r="D2188" s="1"/>
      <c r="E2188" s="1"/>
      <c r="F2188" s="1"/>
      <c r="G2188" s="1"/>
      <c r="H2188" s="1"/>
      <c r="I2188" s="1"/>
      <c r="J2188" s="1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</row>
    <row r="2189" spans="2:73" s="38" customFormat="1">
      <c r="B2189" s="1"/>
      <c r="C2189" s="1"/>
      <c r="D2189" s="1"/>
      <c r="E2189" s="1"/>
      <c r="F2189" s="1"/>
      <c r="G2189" s="1"/>
      <c r="H2189" s="1"/>
      <c r="I2189" s="1"/>
      <c r="J2189" s="1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</row>
    <row r="2190" spans="2:73" s="38" customFormat="1">
      <c r="B2190" s="1"/>
      <c r="C2190" s="1"/>
      <c r="D2190" s="1"/>
      <c r="E2190" s="1"/>
      <c r="F2190" s="1"/>
      <c r="G2190" s="1"/>
      <c r="H2190" s="1"/>
      <c r="I2190" s="1"/>
      <c r="J2190" s="1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</row>
    <row r="2191" spans="2:73" s="38" customFormat="1">
      <c r="B2191" s="1"/>
      <c r="C2191" s="1"/>
      <c r="D2191" s="1"/>
      <c r="E2191" s="1"/>
      <c r="F2191" s="1"/>
      <c r="G2191" s="1"/>
      <c r="H2191" s="1"/>
      <c r="I2191" s="1"/>
      <c r="J2191" s="1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</row>
    <row r="2192" spans="2:73" s="38" customFormat="1">
      <c r="B2192" s="1"/>
      <c r="C2192" s="1"/>
      <c r="D2192" s="1"/>
      <c r="E2192" s="1"/>
      <c r="F2192" s="1"/>
      <c r="G2192" s="1"/>
      <c r="H2192" s="1"/>
      <c r="I2192" s="1"/>
      <c r="J2192" s="1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</row>
    <row r="2193" spans="2:73" s="38" customFormat="1">
      <c r="B2193" s="1"/>
      <c r="C2193" s="1"/>
      <c r="D2193" s="1"/>
      <c r="E2193" s="1"/>
      <c r="F2193" s="1"/>
      <c r="G2193" s="1"/>
      <c r="H2193" s="1"/>
      <c r="I2193" s="1"/>
      <c r="J2193" s="1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</row>
    <row r="2194" spans="2:73" s="38" customFormat="1">
      <c r="B2194" s="1"/>
      <c r="C2194" s="1"/>
      <c r="D2194" s="1"/>
      <c r="E2194" s="1"/>
      <c r="F2194" s="1"/>
      <c r="G2194" s="1"/>
      <c r="H2194" s="1"/>
      <c r="I2194" s="1"/>
      <c r="J2194" s="1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</row>
    <row r="2195" spans="2:73" s="38" customFormat="1">
      <c r="B2195" s="1"/>
      <c r="C2195" s="1"/>
      <c r="D2195" s="1"/>
      <c r="E2195" s="1"/>
      <c r="F2195" s="1"/>
      <c r="G2195" s="1"/>
      <c r="H2195" s="1"/>
      <c r="I2195" s="1"/>
      <c r="J2195" s="1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</row>
    <row r="2196" spans="2:73" s="38" customFormat="1">
      <c r="B2196" s="1"/>
      <c r="C2196" s="1"/>
      <c r="D2196" s="1"/>
      <c r="E2196" s="1"/>
      <c r="F2196" s="1"/>
      <c r="G2196" s="1"/>
      <c r="H2196" s="1"/>
      <c r="I2196" s="1"/>
      <c r="J2196" s="1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</row>
    <row r="2197" spans="2:73" s="38" customFormat="1">
      <c r="B2197" s="1"/>
      <c r="C2197" s="1"/>
      <c r="D2197" s="1"/>
      <c r="E2197" s="1"/>
      <c r="F2197" s="1"/>
      <c r="G2197" s="1"/>
      <c r="H2197" s="1"/>
      <c r="I2197" s="1"/>
      <c r="J2197" s="1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</row>
    <row r="2198" spans="2:73" s="38" customFormat="1">
      <c r="B2198" s="1"/>
      <c r="C2198" s="1"/>
      <c r="D2198" s="1"/>
      <c r="E2198" s="1"/>
      <c r="F2198" s="1"/>
      <c r="G2198" s="1"/>
      <c r="H2198" s="1"/>
      <c r="I2198" s="1"/>
      <c r="J2198" s="1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</row>
    <row r="2199" spans="2:73" s="38" customFormat="1">
      <c r="B2199" s="1"/>
      <c r="C2199" s="1"/>
      <c r="D2199" s="1"/>
      <c r="E2199" s="1"/>
      <c r="F2199" s="1"/>
      <c r="G2199" s="1"/>
      <c r="H2199" s="1"/>
      <c r="I2199" s="1"/>
      <c r="J2199" s="1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</row>
    <row r="2200" spans="2:73" s="38" customFormat="1">
      <c r="B2200" s="1"/>
      <c r="C2200" s="1"/>
      <c r="D2200" s="1"/>
      <c r="E2200" s="1"/>
      <c r="F2200" s="1"/>
      <c r="G2200" s="1"/>
      <c r="H2200" s="1"/>
      <c r="I2200" s="1"/>
      <c r="J2200" s="1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</row>
    <row r="2201" spans="2:73" s="38" customFormat="1">
      <c r="B2201" s="1"/>
      <c r="C2201" s="1"/>
      <c r="D2201" s="1"/>
      <c r="E2201" s="1"/>
      <c r="F2201" s="1"/>
      <c r="G2201" s="1"/>
      <c r="H2201" s="1"/>
      <c r="I2201" s="1"/>
      <c r="J2201" s="1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</row>
    <row r="2202" spans="2:73" s="38" customFormat="1">
      <c r="B2202" s="1"/>
      <c r="C2202" s="1"/>
      <c r="D2202" s="1"/>
      <c r="E2202" s="1"/>
      <c r="F2202" s="1"/>
      <c r="G2202" s="1"/>
      <c r="H2202" s="1"/>
      <c r="I2202" s="1"/>
      <c r="J2202" s="1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</row>
    <row r="2203" spans="2:73" s="38" customFormat="1">
      <c r="B2203" s="1"/>
      <c r="C2203" s="1"/>
      <c r="D2203" s="1"/>
      <c r="E2203" s="1"/>
      <c r="F2203" s="1"/>
      <c r="G2203" s="1"/>
      <c r="H2203" s="1"/>
      <c r="I2203" s="1"/>
      <c r="J2203" s="1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</row>
    <row r="2204" spans="2:73" s="38" customFormat="1">
      <c r="B2204" s="1"/>
      <c r="C2204" s="1"/>
      <c r="D2204" s="1"/>
      <c r="E2204" s="1"/>
      <c r="F2204" s="1"/>
      <c r="G2204" s="1"/>
      <c r="H2204" s="1"/>
      <c r="I2204" s="1"/>
      <c r="J2204" s="1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</row>
    <row r="2205" spans="2:73" s="38" customFormat="1">
      <c r="B2205" s="1"/>
      <c r="C2205" s="1"/>
      <c r="D2205" s="1"/>
      <c r="E2205" s="1"/>
      <c r="F2205" s="1"/>
      <c r="G2205" s="1"/>
      <c r="H2205" s="1"/>
      <c r="I2205" s="1"/>
      <c r="J2205" s="1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</row>
    <row r="2206" spans="2:73" s="38" customFormat="1">
      <c r="B2206" s="1"/>
      <c r="C2206" s="1"/>
      <c r="D2206" s="1"/>
      <c r="E2206" s="1"/>
      <c r="F2206" s="1"/>
      <c r="G2206" s="1"/>
      <c r="H2206" s="1"/>
      <c r="I2206" s="1"/>
      <c r="J2206" s="1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</row>
    <row r="2207" spans="2:73" s="38" customFormat="1">
      <c r="B2207" s="1"/>
      <c r="C2207" s="1"/>
      <c r="D2207" s="1"/>
      <c r="E2207" s="1"/>
      <c r="F2207" s="1"/>
      <c r="G2207" s="1"/>
      <c r="H2207" s="1"/>
      <c r="I2207" s="1"/>
      <c r="J2207" s="1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</row>
    <row r="2208" spans="2:73" s="38" customFormat="1">
      <c r="B2208" s="1"/>
      <c r="C2208" s="1"/>
      <c r="D2208" s="1"/>
      <c r="E2208" s="1"/>
      <c r="F2208" s="1"/>
      <c r="G2208" s="1"/>
      <c r="H2208" s="1"/>
      <c r="I2208" s="1"/>
      <c r="J2208" s="1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</row>
    <row r="2209" spans="2:73" s="38" customFormat="1">
      <c r="B2209" s="1"/>
      <c r="C2209" s="1"/>
      <c r="D2209" s="1"/>
      <c r="E2209" s="1"/>
      <c r="F2209" s="1"/>
      <c r="G2209" s="1"/>
      <c r="H2209" s="1"/>
      <c r="I2209" s="1"/>
      <c r="J2209" s="1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</row>
    <row r="2210" spans="2:73" s="38" customFormat="1">
      <c r="B2210" s="1"/>
      <c r="C2210" s="1"/>
      <c r="D2210" s="1"/>
      <c r="E2210" s="1"/>
      <c r="F2210" s="1"/>
      <c r="G2210" s="1"/>
      <c r="H2210" s="1"/>
      <c r="I2210" s="1"/>
      <c r="J2210" s="1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</row>
    <row r="2211" spans="2:73" s="38" customFormat="1">
      <c r="B2211" s="1"/>
      <c r="C2211" s="1"/>
      <c r="D2211" s="1"/>
      <c r="E2211" s="1"/>
      <c r="F2211" s="1"/>
      <c r="G2211" s="1"/>
      <c r="H2211" s="1"/>
      <c r="I2211" s="1"/>
      <c r="J2211" s="1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</row>
    <row r="2212" spans="2:73" s="38" customFormat="1">
      <c r="B2212" s="1"/>
      <c r="C2212" s="1"/>
      <c r="D2212" s="1"/>
      <c r="E2212" s="1"/>
      <c r="F2212" s="1"/>
      <c r="G2212" s="1"/>
      <c r="H2212" s="1"/>
      <c r="I2212" s="1"/>
      <c r="J2212" s="1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</row>
    <row r="2213" spans="2:73" s="38" customFormat="1">
      <c r="B2213" s="1"/>
      <c r="C2213" s="1"/>
      <c r="D2213" s="1"/>
      <c r="E2213" s="1"/>
      <c r="F2213" s="1"/>
      <c r="G2213" s="1"/>
      <c r="H2213" s="1"/>
      <c r="I2213" s="1"/>
      <c r="J2213" s="1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</row>
    <row r="2214" spans="2:73" s="38" customFormat="1">
      <c r="B2214" s="1"/>
      <c r="C2214" s="1"/>
      <c r="D2214" s="1"/>
      <c r="E2214" s="1"/>
      <c r="F2214" s="1"/>
      <c r="G2214" s="1"/>
      <c r="H2214" s="1"/>
      <c r="I2214" s="1"/>
      <c r="J2214" s="1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</row>
    <row r="2215" spans="2:73" s="38" customFormat="1">
      <c r="B2215" s="1"/>
      <c r="C2215" s="1"/>
      <c r="D2215" s="1"/>
      <c r="E2215" s="1"/>
      <c r="F2215" s="1"/>
      <c r="G2215" s="1"/>
      <c r="H2215" s="1"/>
      <c r="I2215" s="1"/>
      <c r="J2215" s="1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</row>
    <row r="2216" spans="2:73" s="38" customFormat="1">
      <c r="B2216" s="1"/>
      <c r="C2216" s="1"/>
      <c r="D2216" s="1"/>
      <c r="E2216" s="1"/>
      <c r="F2216" s="1"/>
      <c r="G2216" s="1"/>
      <c r="H2216" s="1"/>
      <c r="I2216" s="1"/>
      <c r="J2216" s="1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</row>
    <row r="2217" spans="2:73" s="38" customFormat="1">
      <c r="B2217" s="1"/>
      <c r="C2217" s="1"/>
      <c r="D2217" s="1"/>
      <c r="E2217" s="1"/>
      <c r="F2217" s="1"/>
      <c r="G2217" s="1"/>
      <c r="H2217" s="1"/>
      <c r="I2217" s="1"/>
      <c r="J2217" s="1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</row>
    <row r="2218" spans="2:73" s="38" customFormat="1">
      <c r="B2218" s="1"/>
      <c r="C2218" s="1"/>
      <c r="D2218" s="1"/>
      <c r="E2218" s="1"/>
      <c r="F2218" s="1"/>
      <c r="G2218" s="1"/>
      <c r="H2218" s="1"/>
      <c r="I2218" s="1"/>
      <c r="J2218" s="1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</row>
    <row r="2219" spans="2:73" s="38" customFormat="1">
      <c r="B2219" s="1"/>
      <c r="C2219" s="1"/>
      <c r="D2219" s="1"/>
      <c r="E2219" s="1"/>
      <c r="F2219" s="1"/>
      <c r="G2219" s="1"/>
      <c r="H2219" s="1"/>
      <c r="I2219" s="1"/>
      <c r="J2219" s="1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</row>
    <row r="2220" spans="2:73" s="38" customFormat="1">
      <c r="B2220" s="1"/>
      <c r="C2220" s="1"/>
      <c r="D2220" s="1"/>
      <c r="E2220" s="1"/>
      <c r="F2220" s="1"/>
      <c r="G2220" s="1"/>
      <c r="H2220" s="1"/>
      <c r="I2220" s="1"/>
      <c r="J2220" s="1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</row>
    <row r="2221" spans="2:73" s="38" customFormat="1">
      <c r="B2221" s="1"/>
      <c r="C2221" s="1"/>
      <c r="D2221" s="1"/>
      <c r="E2221" s="1"/>
      <c r="F2221" s="1"/>
      <c r="G2221" s="1"/>
      <c r="H2221" s="1"/>
      <c r="I2221" s="1"/>
      <c r="J2221" s="1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</row>
    <row r="2222" spans="2:73" s="38" customFormat="1">
      <c r="B2222" s="1"/>
      <c r="C2222" s="1"/>
      <c r="D2222" s="1"/>
      <c r="E2222" s="1"/>
      <c r="F2222" s="1"/>
      <c r="G2222" s="1"/>
      <c r="H2222" s="1"/>
      <c r="I2222" s="1"/>
      <c r="J2222" s="1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</row>
    <row r="2223" spans="2:73" s="38" customFormat="1">
      <c r="B2223" s="1"/>
      <c r="C2223" s="1"/>
      <c r="D2223" s="1"/>
      <c r="E2223" s="1"/>
      <c r="F2223" s="1"/>
      <c r="G2223" s="1"/>
      <c r="H2223" s="1"/>
      <c r="I2223" s="1"/>
      <c r="J2223" s="1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</row>
    <row r="2224" spans="2:73" s="38" customFormat="1">
      <c r="B2224" s="1"/>
      <c r="C2224" s="1"/>
      <c r="D2224" s="1"/>
      <c r="E2224" s="1"/>
      <c r="F2224" s="1"/>
      <c r="G2224" s="1"/>
      <c r="H2224" s="1"/>
      <c r="I2224" s="1"/>
      <c r="J2224" s="1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</row>
    <row r="2225" spans="2:73" s="38" customFormat="1">
      <c r="B2225" s="1"/>
      <c r="C2225" s="1"/>
      <c r="D2225" s="1"/>
      <c r="E2225" s="1"/>
      <c r="F2225" s="1"/>
      <c r="G2225" s="1"/>
      <c r="H2225" s="1"/>
      <c r="I2225" s="1"/>
      <c r="J2225" s="1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</row>
    <row r="2226" spans="2:73" s="38" customFormat="1">
      <c r="B2226" s="1"/>
      <c r="C2226" s="1"/>
      <c r="D2226" s="1"/>
      <c r="E2226" s="1"/>
      <c r="F2226" s="1"/>
      <c r="G2226" s="1"/>
      <c r="H2226" s="1"/>
      <c r="I2226" s="1"/>
      <c r="J2226" s="1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</row>
    <row r="2227" spans="2:73" s="38" customFormat="1">
      <c r="B2227" s="1"/>
      <c r="C2227" s="1"/>
      <c r="D2227" s="1"/>
      <c r="E2227" s="1"/>
      <c r="F2227" s="1"/>
      <c r="G2227" s="1"/>
      <c r="H2227" s="1"/>
      <c r="I2227" s="1"/>
      <c r="J2227" s="1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</row>
    <row r="2228" spans="2:73" s="38" customFormat="1">
      <c r="B2228" s="1"/>
      <c r="C2228" s="1"/>
      <c r="D2228" s="1"/>
      <c r="E2228" s="1"/>
      <c r="F2228" s="1"/>
      <c r="G2228" s="1"/>
      <c r="H2228" s="1"/>
      <c r="I2228" s="1"/>
      <c r="J2228" s="1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</row>
    <row r="2229" spans="2:73" s="38" customFormat="1">
      <c r="B2229" s="1"/>
      <c r="C2229" s="1"/>
      <c r="D2229" s="1"/>
      <c r="E2229" s="1"/>
      <c r="F2229" s="1"/>
      <c r="G2229" s="1"/>
      <c r="H2229" s="1"/>
      <c r="I2229" s="1"/>
      <c r="J2229" s="1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</row>
    <row r="2230" spans="2:73" s="38" customFormat="1">
      <c r="B2230" s="1"/>
      <c r="C2230" s="1"/>
      <c r="D2230" s="1"/>
      <c r="E2230" s="1"/>
      <c r="F2230" s="1"/>
      <c r="G2230" s="1"/>
      <c r="H2230" s="1"/>
      <c r="I2230" s="1"/>
      <c r="J2230" s="1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</row>
    <row r="2231" spans="2:73" s="38" customFormat="1">
      <c r="B2231" s="1"/>
      <c r="C2231" s="1"/>
      <c r="D2231" s="1"/>
      <c r="E2231" s="1"/>
      <c r="F2231" s="1"/>
      <c r="G2231" s="1"/>
      <c r="H2231" s="1"/>
      <c r="I2231" s="1"/>
      <c r="J2231" s="1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</row>
    <row r="2232" spans="2:73" s="38" customFormat="1">
      <c r="B2232" s="1"/>
      <c r="C2232" s="1"/>
      <c r="D2232" s="1"/>
      <c r="E2232" s="1"/>
      <c r="F2232" s="1"/>
      <c r="G2232" s="1"/>
      <c r="H2232" s="1"/>
      <c r="I2232" s="1"/>
      <c r="J2232" s="1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</row>
    <row r="2233" spans="2:73" s="38" customFormat="1">
      <c r="B2233" s="1"/>
      <c r="C2233" s="1"/>
      <c r="D2233" s="1"/>
      <c r="E2233" s="1"/>
      <c r="F2233" s="1"/>
      <c r="G2233" s="1"/>
      <c r="H2233" s="1"/>
      <c r="I2233" s="1"/>
      <c r="J2233" s="1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</row>
    <row r="2234" spans="2:73" s="38" customFormat="1">
      <c r="B2234" s="1"/>
      <c r="C2234" s="1"/>
      <c r="D2234" s="1"/>
      <c r="E2234" s="1"/>
      <c r="F2234" s="1"/>
      <c r="G2234" s="1"/>
      <c r="H2234" s="1"/>
      <c r="I2234" s="1"/>
      <c r="J2234" s="1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</row>
    <row r="2235" spans="2:73" s="38" customFormat="1">
      <c r="B2235" s="1"/>
      <c r="C2235" s="1"/>
      <c r="D2235" s="1"/>
      <c r="E2235" s="1"/>
      <c r="F2235" s="1"/>
      <c r="G2235" s="1"/>
      <c r="H2235" s="1"/>
      <c r="I2235" s="1"/>
      <c r="J2235" s="1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</row>
    <row r="2236" spans="2:73" s="38" customFormat="1">
      <c r="B2236" s="1"/>
      <c r="C2236" s="1"/>
      <c r="D2236" s="1"/>
      <c r="E2236" s="1"/>
      <c r="F2236" s="1"/>
      <c r="G2236" s="1"/>
      <c r="H2236" s="1"/>
      <c r="I2236" s="1"/>
      <c r="J2236" s="1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</row>
    <row r="2237" spans="2:73" s="38" customFormat="1">
      <c r="B2237" s="1"/>
      <c r="C2237" s="1"/>
      <c r="D2237" s="1"/>
      <c r="E2237" s="1"/>
      <c r="F2237" s="1"/>
      <c r="G2237" s="1"/>
      <c r="H2237" s="1"/>
      <c r="I2237" s="1"/>
      <c r="J2237" s="1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</row>
    <row r="2238" spans="2:73" s="38" customFormat="1">
      <c r="B2238" s="1"/>
      <c r="C2238" s="1"/>
      <c r="D2238" s="1"/>
      <c r="E2238" s="1"/>
      <c r="F2238" s="1"/>
      <c r="G2238" s="1"/>
      <c r="H2238" s="1"/>
      <c r="I2238" s="1"/>
      <c r="J2238" s="1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</row>
    <row r="2239" spans="2:73" s="38" customFormat="1">
      <c r="B2239" s="1"/>
      <c r="C2239" s="1"/>
      <c r="D2239" s="1"/>
      <c r="E2239" s="1"/>
      <c r="F2239" s="1"/>
      <c r="G2239" s="1"/>
      <c r="H2239" s="1"/>
      <c r="I2239" s="1"/>
      <c r="J2239" s="1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</row>
    <row r="2240" spans="2:73" s="38" customFormat="1">
      <c r="B2240" s="1"/>
      <c r="C2240" s="1"/>
      <c r="D2240" s="1"/>
      <c r="E2240" s="1"/>
      <c r="F2240" s="1"/>
      <c r="G2240" s="1"/>
      <c r="H2240" s="1"/>
      <c r="I2240" s="1"/>
      <c r="J2240" s="1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</row>
    <row r="2241" spans="2:73" s="38" customFormat="1">
      <c r="B2241" s="1"/>
      <c r="C2241" s="1"/>
      <c r="D2241" s="1"/>
      <c r="E2241" s="1"/>
      <c r="F2241" s="1"/>
      <c r="G2241" s="1"/>
      <c r="H2241" s="1"/>
      <c r="I2241" s="1"/>
      <c r="J2241" s="1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</row>
    <row r="2242" spans="2:73" s="38" customFormat="1">
      <c r="B2242" s="1"/>
      <c r="C2242" s="1"/>
      <c r="D2242" s="1"/>
      <c r="E2242" s="1"/>
      <c r="F2242" s="1"/>
      <c r="G2242" s="1"/>
      <c r="H2242" s="1"/>
      <c r="I2242" s="1"/>
      <c r="J2242" s="1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</row>
    <row r="2243" spans="2:73" s="38" customFormat="1">
      <c r="B2243" s="1"/>
      <c r="C2243" s="1"/>
      <c r="D2243" s="1"/>
      <c r="E2243" s="1"/>
      <c r="F2243" s="1"/>
      <c r="G2243" s="1"/>
      <c r="H2243" s="1"/>
      <c r="I2243" s="1"/>
      <c r="J2243" s="1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</row>
    <row r="2244" spans="2:73" s="38" customFormat="1">
      <c r="B2244" s="1"/>
      <c r="C2244" s="1"/>
      <c r="D2244" s="1"/>
      <c r="E2244" s="1"/>
      <c r="F2244" s="1"/>
      <c r="G2244" s="1"/>
      <c r="H2244" s="1"/>
      <c r="I2244" s="1"/>
      <c r="J2244" s="1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</row>
    <row r="2245" spans="2:73" s="38" customFormat="1">
      <c r="B2245" s="1"/>
      <c r="C2245" s="1"/>
      <c r="D2245" s="1"/>
      <c r="E2245" s="1"/>
      <c r="F2245" s="1"/>
      <c r="G2245" s="1"/>
      <c r="H2245" s="1"/>
      <c r="I2245" s="1"/>
      <c r="J2245" s="1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</row>
    <row r="2246" spans="2:73" s="38" customFormat="1">
      <c r="B2246" s="1"/>
      <c r="C2246" s="1"/>
      <c r="D2246" s="1"/>
      <c r="E2246" s="1"/>
      <c r="F2246" s="1"/>
      <c r="G2246" s="1"/>
      <c r="H2246" s="1"/>
      <c r="I2246" s="1"/>
      <c r="J2246" s="1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</row>
    <row r="2247" spans="2:73" s="38" customFormat="1">
      <c r="B2247" s="1"/>
      <c r="C2247" s="1"/>
      <c r="D2247" s="1"/>
      <c r="E2247" s="1"/>
      <c r="F2247" s="1"/>
      <c r="G2247" s="1"/>
      <c r="H2247" s="1"/>
      <c r="I2247" s="1"/>
      <c r="J2247" s="1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</row>
    <row r="2248" spans="2:73" s="38" customFormat="1">
      <c r="B2248" s="1"/>
      <c r="C2248" s="1"/>
      <c r="D2248" s="1"/>
      <c r="E2248" s="1"/>
      <c r="F2248" s="1"/>
      <c r="G2248" s="1"/>
      <c r="H2248" s="1"/>
      <c r="I2248" s="1"/>
      <c r="J2248" s="1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</row>
    <row r="2249" spans="2:73" s="38" customFormat="1">
      <c r="B2249" s="1"/>
      <c r="C2249" s="1"/>
      <c r="D2249" s="1"/>
      <c r="E2249" s="1"/>
      <c r="F2249" s="1"/>
      <c r="G2249" s="1"/>
      <c r="H2249" s="1"/>
      <c r="I2249" s="1"/>
      <c r="J2249" s="1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</row>
    <row r="2250" spans="2:73" s="38" customFormat="1">
      <c r="B2250" s="1"/>
      <c r="C2250" s="1"/>
      <c r="D2250" s="1"/>
      <c r="E2250" s="1"/>
      <c r="F2250" s="1"/>
      <c r="G2250" s="1"/>
      <c r="H2250" s="1"/>
      <c r="I2250" s="1"/>
      <c r="J2250" s="1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</row>
    <row r="2251" spans="2:73" s="38" customFormat="1">
      <c r="B2251" s="1"/>
      <c r="C2251" s="1"/>
      <c r="D2251" s="1"/>
      <c r="E2251" s="1"/>
      <c r="F2251" s="1"/>
      <c r="G2251" s="1"/>
      <c r="H2251" s="1"/>
      <c r="I2251" s="1"/>
      <c r="J2251" s="1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</row>
    <row r="2252" spans="2:73" s="38" customFormat="1">
      <c r="B2252" s="1"/>
      <c r="C2252" s="1"/>
      <c r="D2252" s="1"/>
      <c r="E2252" s="1"/>
      <c r="F2252" s="1"/>
      <c r="G2252" s="1"/>
      <c r="H2252" s="1"/>
      <c r="I2252" s="1"/>
      <c r="J2252" s="1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</row>
    <row r="2253" spans="2:73" s="38" customFormat="1">
      <c r="B2253" s="1"/>
      <c r="C2253" s="1"/>
      <c r="D2253" s="1"/>
      <c r="E2253" s="1"/>
      <c r="F2253" s="1"/>
      <c r="G2253" s="1"/>
      <c r="H2253" s="1"/>
      <c r="I2253" s="1"/>
      <c r="J2253" s="1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</row>
    <row r="2254" spans="2:73" s="38" customFormat="1">
      <c r="B2254" s="1"/>
      <c r="C2254" s="1"/>
      <c r="D2254" s="1"/>
      <c r="E2254" s="1"/>
      <c r="F2254" s="1"/>
      <c r="G2254" s="1"/>
      <c r="H2254" s="1"/>
      <c r="I2254" s="1"/>
      <c r="J2254" s="1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</row>
    <row r="2255" spans="2:73" s="38" customFormat="1">
      <c r="B2255" s="1"/>
      <c r="C2255" s="1"/>
      <c r="D2255" s="1"/>
      <c r="E2255" s="1"/>
      <c r="F2255" s="1"/>
      <c r="G2255" s="1"/>
      <c r="H2255" s="1"/>
      <c r="I2255" s="1"/>
      <c r="J2255" s="1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</row>
    <row r="2256" spans="2:73" s="38" customFormat="1">
      <c r="B2256" s="1"/>
      <c r="C2256" s="1"/>
      <c r="D2256" s="1"/>
      <c r="E2256" s="1"/>
      <c r="F2256" s="1"/>
      <c r="G2256" s="1"/>
      <c r="H2256" s="1"/>
      <c r="I2256" s="1"/>
      <c r="J2256" s="1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</row>
    <row r="2257" spans="2:73" s="38" customFormat="1">
      <c r="B2257" s="1"/>
      <c r="C2257" s="1"/>
      <c r="D2257" s="1"/>
      <c r="E2257" s="1"/>
      <c r="F2257" s="1"/>
      <c r="G2257" s="1"/>
      <c r="H2257" s="1"/>
      <c r="I2257" s="1"/>
      <c r="J2257" s="1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</row>
    <row r="2258" spans="2:73" s="38" customFormat="1">
      <c r="B2258" s="1"/>
      <c r="C2258" s="1"/>
      <c r="D2258" s="1"/>
      <c r="E2258" s="1"/>
      <c r="F2258" s="1"/>
      <c r="G2258" s="1"/>
      <c r="H2258" s="1"/>
      <c r="I2258" s="1"/>
      <c r="J2258" s="1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</row>
    <row r="2259" spans="2:73" s="38" customFormat="1">
      <c r="B2259" s="1"/>
      <c r="C2259" s="1"/>
      <c r="D2259" s="1"/>
      <c r="E2259" s="1"/>
      <c r="F2259" s="1"/>
      <c r="G2259" s="1"/>
      <c r="H2259" s="1"/>
      <c r="I2259" s="1"/>
      <c r="J2259" s="1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</row>
    <row r="2260" spans="2:73" s="38" customFormat="1">
      <c r="B2260" s="1"/>
      <c r="C2260" s="1"/>
      <c r="D2260" s="1"/>
      <c r="E2260" s="1"/>
      <c r="F2260" s="1"/>
      <c r="G2260" s="1"/>
      <c r="H2260" s="1"/>
      <c r="I2260" s="1"/>
      <c r="J2260" s="1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</row>
    <row r="2261" spans="2:73" s="38" customFormat="1">
      <c r="B2261" s="1"/>
      <c r="C2261" s="1"/>
      <c r="D2261" s="1"/>
      <c r="E2261" s="1"/>
      <c r="F2261" s="1"/>
      <c r="G2261" s="1"/>
      <c r="H2261" s="1"/>
      <c r="I2261" s="1"/>
      <c r="J2261" s="1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</row>
    <row r="2262" spans="2:73" s="38" customFormat="1">
      <c r="B2262" s="1"/>
      <c r="C2262" s="1"/>
      <c r="D2262" s="1"/>
      <c r="E2262" s="1"/>
      <c r="F2262" s="1"/>
      <c r="G2262" s="1"/>
      <c r="H2262" s="1"/>
      <c r="I2262" s="1"/>
      <c r="J2262" s="1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</row>
    <row r="2263" spans="2:73" s="38" customFormat="1">
      <c r="B2263" s="1"/>
      <c r="C2263" s="1"/>
      <c r="D2263" s="1"/>
      <c r="E2263" s="1"/>
      <c r="F2263" s="1"/>
      <c r="G2263" s="1"/>
      <c r="H2263" s="1"/>
      <c r="I2263" s="1"/>
      <c r="J2263" s="1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</row>
    <row r="2264" spans="2:73" s="38" customFormat="1">
      <c r="B2264" s="1"/>
      <c r="C2264" s="1"/>
      <c r="D2264" s="1"/>
      <c r="E2264" s="1"/>
      <c r="F2264" s="1"/>
      <c r="G2264" s="1"/>
      <c r="H2264" s="1"/>
      <c r="I2264" s="1"/>
      <c r="J2264" s="1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</row>
    <row r="2265" spans="2:73" s="38" customFormat="1">
      <c r="B2265" s="1"/>
      <c r="C2265" s="1"/>
      <c r="D2265" s="1"/>
      <c r="E2265" s="1"/>
      <c r="F2265" s="1"/>
      <c r="G2265" s="1"/>
      <c r="H2265" s="1"/>
      <c r="I2265" s="1"/>
      <c r="J2265" s="1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</row>
    <row r="2266" spans="2:73" s="38" customFormat="1">
      <c r="B2266" s="1"/>
      <c r="C2266" s="1"/>
      <c r="D2266" s="1"/>
      <c r="E2266" s="1"/>
      <c r="F2266" s="1"/>
      <c r="G2266" s="1"/>
      <c r="H2266" s="1"/>
      <c r="I2266" s="1"/>
      <c r="J2266" s="1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</row>
    <row r="2267" spans="2:73" s="38" customFormat="1">
      <c r="B2267" s="1"/>
      <c r="C2267" s="1"/>
      <c r="D2267" s="1"/>
      <c r="E2267" s="1"/>
      <c r="F2267" s="1"/>
      <c r="G2267" s="1"/>
      <c r="H2267" s="1"/>
      <c r="I2267" s="1"/>
      <c r="J2267" s="1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</row>
    <row r="2268" spans="2:73" s="38" customFormat="1">
      <c r="B2268" s="1"/>
      <c r="C2268" s="1"/>
      <c r="D2268" s="1"/>
      <c r="E2268" s="1"/>
      <c r="F2268" s="1"/>
      <c r="G2268" s="1"/>
      <c r="H2268" s="1"/>
      <c r="I2268" s="1"/>
      <c r="J2268" s="1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</row>
    <row r="2269" spans="2:73" s="38" customFormat="1">
      <c r="B2269" s="1"/>
      <c r="C2269" s="1"/>
      <c r="D2269" s="1"/>
      <c r="E2269" s="1"/>
      <c r="F2269" s="1"/>
      <c r="G2269" s="1"/>
      <c r="H2269" s="1"/>
      <c r="I2269" s="1"/>
      <c r="J2269" s="1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</row>
    <row r="2270" spans="2:73" s="38" customFormat="1">
      <c r="B2270" s="1"/>
      <c r="C2270" s="1"/>
      <c r="D2270" s="1"/>
      <c r="E2270" s="1"/>
      <c r="F2270" s="1"/>
      <c r="G2270" s="1"/>
      <c r="H2270" s="1"/>
      <c r="I2270" s="1"/>
      <c r="J2270" s="1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</row>
    <row r="2271" spans="2:73" s="38" customFormat="1">
      <c r="B2271" s="1"/>
      <c r="C2271" s="1"/>
      <c r="D2271" s="1"/>
      <c r="E2271" s="1"/>
      <c r="F2271" s="1"/>
      <c r="G2271" s="1"/>
      <c r="H2271" s="1"/>
      <c r="I2271" s="1"/>
      <c r="J2271" s="1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</row>
    <row r="2272" spans="2:73" s="38" customFormat="1">
      <c r="B2272" s="1"/>
      <c r="C2272" s="1"/>
      <c r="D2272" s="1"/>
      <c r="E2272" s="1"/>
      <c r="F2272" s="1"/>
      <c r="G2272" s="1"/>
      <c r="H2272" s="1"/>
      <c r="I2272" s="1"/>
      <c r="J2272" s="1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</row>
    <row r="2273" spans="2:73" s="38" customFormat="1">
      <c r="B2273" s="1"/>
      <c r="C2273" s="1"/>
      <c r="D2273" s="1"/>
      <c r="E2273" s="1"/>
      <c r="F2273" s="1"/>
      <c r="G2273" s="1"/>
      <c r="H2273" s="1"/>
      <c r="I2273" s="1"/>
      <c r="J2273" s="1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</row>
    <row r="2274" spans="2:73" s="38" customFormat="1">
      <c r="B2274" s="1"/>
      <c r="C2274" s="1"/>
      <c r="D2274" s="1"/>
      <c r="E2274" s="1"/>
      <c r="F2274" s="1"/>
      <c r="G2274" s="1"/>
      <c r="H2274" s="1"/>
      <c r="I2274" s="1"/>
      <c r="J2274" s="1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</row>
    <row r="2275" spans="2:73" s="38" customFormat="1">
      <c r="B2275" s="1"/>
      <c r="C2275" s="1"/>
      <c r="D2275" s="1"/>
      <c r="E2275" s="1"/>
      <c r="F2275" s="1"/>
      <c r="G2275" s="1"/>
      <c r="H2275" s="1"/>
      <c r="I2275" s="1"/>
      <c r="J2275" s="1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</row>
    <row r="2276" spans="2:73" s="38" customFormat="1">
      <c r="B2276" s="1"/>
      <c r="C2276" s="1"/>
      <c r="D2276" s="1"/>
      <c r="E2276" s="1"/>
      <c r="F2276" s="1"/>
      <c r="G2276" s="1"/>
      <c r="H2276" s="1"/>
      <c r="I2276" s="1"/>
      <c r="J2276" s="1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</row>
    <row r="2277" spans="2:73" s="38" customFormat="1">
      <c r="B2277" s="1"/>
      <c r="C2277" s="1"/>
      <c r="D2277" s="1"/>
      <c r="E2277" s="1"/>
      <c r="F2277" s="1"/>
      <c r="G2277" s="1"/>
      <c r="H2277" s="1"/>
      <c r="I2277" s="1"/>
      <c r="J2277" s="1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</row>
    <row r="2278" spans="2:73" s="38" customFormat="1">
      <c r="B2278" s="1"/>
      <c r="C2278" s="1"/>
      <c r="D2278" s="1"/>
      <c r="E2278" s="1"/>
      <c r="F2278" s="1"/>
      <c r="G2278" s="1"/>
      <c r="H2278" s="1"/>
      <c r="I2278" s="1"/>
      <c r="J2278" s="1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</row>
    <row r="2279" spans="2:73" s="38" customFormat="1">
      <c r="B2279" s="1"/>
      <c r="C2279" s="1"/>
      <c r="D2279" s="1"/>
      <c r="E2279" s="1"/>
      <c r="F2279" s="1"/>
      <c r="G2279" s="1"/>
      <c r="H2279" s="1"/>
      <c r="I2279" s="1"/>
      <c r="J2279" s="1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</row>
    <row r="2280" spans="2:73" s="38" customFormat="1">
      <c r="B2280" s="1"/>
      <c r="C2280" s="1"/>
      <c r="D2280" s="1"/>
      <c r="E2280" s="1"/>
      <c r="F2280" s="1"/>
      <c r="G2280" s="1"/>
      <c r="H2280" s="1"/>
      <c r="I2280" s="1"/>
      <c r="J2280" s="1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</row>
    <row r="2281" spans="2:73" s="38" customFormat="1">
      <c r="B2281" s="1"/>
      <c r="C2281" s="1"/>
      <c r="D2281" s="1"/>
      <c r="E2281" s="1"/>
      <c r="F2281" s="1"/>
      <c r="G2281" s="1"/>
      <c r="H2281" s="1"/>
      <c r="I2281" s="1"/>
      <c r="J2281" s="1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</row>
    <row r="2282" spans="2:73" s="38" customFormat="1">
      <c r="B2282" s="1"/>
      <c r="C2282" s="1"/>
      <c r="D2282" s="1"/>
      <c r="E2282" s="1"/>
      <c r="F2282" s="1"/>
      <c r="G2282" s="1"/>
      <c r="H2282" s="1"/>
      <c r="I2282" s="1"/>
      <c r="J2282" s="1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</row>
    <row r="2283" spans="2:73" s="38" customFormat="1">
      <c r="B2283" s="1"/>
      <c r="C2283" s="1"/>
      <c r="D2283" s="1"/>
      <c r="E2283" s="1"/>
      <c r="F2283" s="1"/>
      <c r="G2283" s="1"/>
      <c r="H2283" s="1"/>
      <c r="I2283" s="1"/>
      <c r="J2283" s="1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</row>
    <row r="2284" spans="2:73" s="38" customFormat="1">
      <c r="B2284" s="1"/>
      <c r="C2284" s="1"/>
      <c r="D2284" s="1"/>
      <c r="E2284" s="1"/>
      <c r="F2284" s="1"/>
      <c r="G2284" s="1"/>
      <c r="H2284" s="1"/>
      <c r="I2284" s="1"/>
      <c r="J2284" s="1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</row>
    <row r="2285" spans="2:73" s="38" customFormat="1">
      <c r="B2285" s="1"/>
      <c r="C2285" s="1"/>
      <c r="D2285" s="1"/>
      <c r="E2285" s="1"/>
      <c r="F2285" s="1"/>
      <c r="G2285" s="1"/>
      <c r="H2285" s="1"/>
      <c r="I2285" s="1"/>
      <c r="J2285" s="1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</row>
    <row r="2286" spans="2:73" s="38" customFormat="1">
      <c r="B2286" s="1"/>
      <c r="C2286" s="1"/>
      <c r="D2286" s="1"/>
      <c r="E2286" s="1"/>
      <c r="F2286" s="1"/>
      <c r="G2286" s="1"/>
      <c r="H2286" s="1"/>
      <c r="I2286" s="1"/>
      <c r="J2286" s="1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</row>
    <row r="2287" spans="2:73" s="38" customFormat="1">
      <c r="B2287" s="1"/>
      <c r="C2287" s="1"/>
      <c r="D2287" s="1"/>
      <c r="E2287" s="1"/>
      <c r="F2287" s="1"/>
      <c r="G2287" s="1"/>
      <c r="H2287" s="1"/>
      <c r="I2287" s="1"/>
      <c r="J2287" s="1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</row>
    <row r="2288" spans="2:73" s="38" customFormat="1">
      <c r="B2288" s="1"/>
      <c r="C2288" s="1"/>
      <c r="D2288" s="1"/>
      <c r="E2288" s="1"/>
      <c r="F2288" s="1"/>
      <c r="G2288" s="1"/>
      <c r="H2288" s="1"/>
      <c r="I2288" s="1"/>
      <c r="J2288" s="1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</row>
    <row r="2289" spans="2:73" s="38" customFormat="1">
      <c r="B2289" s="1"/>
      <c r="C2289" s="1"/>
      <c r="D2289" s="1"/>
      <c r="E2289" s="1"/>
      <c r="F2289" s="1"/>
      <c r="G2289" s="1"/>
      <c r="H2289" s="1"/>
      <c r="I2289" s="1"/>
      <c r="J2289" s="1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</row>
    <row r="2290" spans="2:73" s="38" customFormat="1">
      <c r="B2290" s="1"/>
      <c r="C2290" s="1"/>
      <c r="D2290" s="1"/>
      <c r="E2290" s="1"/>
      <c r="F2290" s="1"/>
      <c r="G2290" s="1"/>
      <c r="H2290" s="1"/>
      <c r="I2290" s="1"/>
      <c r="J2290" s="1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</row>
    <row r="2291" spans="2:73" s="38" customFormat="1">
      <c r="B2291" s="1"/>
      <c r="C2291" s="1"/>
      <c r="D2291" s="1"/>
      <c r="E2291" s="1"/>
      <c r="F2291" s="1"/>
      <c r="G2291" s="1"/>
      <c r="H2291" s="1"/>
      <c r="I2291" s="1"/>
      <c r="J2291" s="1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</row>
    <row r="2292" spans="2:73" s="38" customFormat="1">
      <c r="B2292" s="1"/>
      <c r="C2292" s="1"/>
      <c r="D2292" s="1"/>
      <c r="E2292" s="1"/>
      <c r="F2292" s="1"/>
      <c r="G2292" s="1"/>
      <c r="H2292" s="1"/>
      <c r="I2292" s="1"/>
      <c r="J2292" s="1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</row>
    <row r="2293" spans="2:73" s="38" customFormat="1">
      <c r="B2293" s="1"/>
      <c r="C2293" s="1"/>
      <c r="D2293" s="1"/>
      <c r="E2293" s="1"/>
      <c r="F2293" s="1"/>
      <c r="G2293" s="1"/>
      <c r="H2293" s="1"/>
      <c r="I2293" s="1"/>
      <c r="J2293" s="1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</row>
    <row r="2294" spans="2:73" s="38" customFormat="1">
      <c r="B2294" s="1"/>
      <c r="C2294" s="1"/>
      <c r="D2294" s="1"/>
      <c r="E2294" s="1"/>
      <c r="F2294" s="1"/>
      <c r="G2294" s="1"/>
      <c r="H2294" s="1"/>
      <c r="I2294" s="1"/>
      <c r="J2294" s="1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</row>
    <row r="2295" spans="2:73" s="38" customFormat="1">
      <c r="B2295" s="1"/>
      <c r="C2295" s="1"/>
      <c r="D2295" s="1"/>
      <c r="E2295" s="1"/>
      <c r="F2295" s="1"/>
      <c r="G2295" s="1"/>
      <c r="H2295" s="1"/>
      <c r="I2295" s="1"/>
      <c r="J2295" s="1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</row>
    <row r="2296" spans="2:73" s="38" customFormat="1">
      <c r="B2296" s="1"/>
      <c r="C2296" s="1"/>
      <c r="D2296" s="1"/>
      <c r="E2296" s="1"/>
      <c r="F2296" s="1"/>
      <c r="G2296" s="1"/>
      <c r="H2296" s="1"/>
      <c r="I2296" s="1"/>
      <c r="J2296" s="1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</row>
    <row r="2297" spans="2:73" s="38" customFormat="1">
      <c r="B2297" s="1"/>
      <c r="C2297" s="1"/>
      <c r="D2297" s="1"/>
      <c r="E2297" s="1"/>
      <c r="F2297" s="1"/>
      <c r="G2297" s="1"/>
      <c r="H2297" s="1"/>
      <c r="I2297" s="1"/>
      <c r="J2297" s="1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</row>
    <row r="2298" spans="2:73" s="38" customFormat="1">
      <c r="B2298" s="1"/>
      <c r="C2298" s="1"/>
      <c r="D2298" s="1"/>
      <c r="E2298" s="1"/>
      <c r="F2298" s="1"/>
      <c r="G2298" s="1"/>
      <c r="H2298" s="1"/>
      <c r="I2298" s="1"/>
      <c r="J2298" s="1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</row>
    <row r="2299" spans="2:73" s="38" customFormat="1">
      <c r="B2299" s="1"/>
      <c r="C2299" s="1"/>
      <c r="D2299" s="1"/>
      <c r="E2299" s="1"/>
      <c r="F2299" s="1"/>
      <c r="G2299" s="1"/>
      <c r="H2299" s="1"/>
      <c r="I2299" s="1"/>
      <c r="J2299" s="1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</row>
    <row r="2300" spans="2:73" s="38" customFormat="1">
      <c r="B2300" s="1"/>
      <c r="C2300" s="1"/>
      <c r="D2300" s="1"/>
      <c r="E2300" s="1"/>
      <c r="F2300" s="1"/>
      <c r="G2300" s="1"/>
      <c r="H2300" s="1"/>
      <c r="I2300" s="1"/>
      <c r="J2300" s="1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</row>
    <row r="2301" spans="2:73" s="38" customFormat="1">
      <c r="B2301" s="1"/>
      <c r="C2301" s="1"/>
      <c r="D2301" s="1"/>
      <c r="E2301" s="1"/>
      <c r="F2301" s="1"/>
      <c r="G2301" s="1"/>
      <c r="H2301" s="1"/>
      <c r="I2301" s="1"/>
      <c r="J2301" s="1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</row>
    <row r="2302" spans="2:73" s="38" customFormat="1">
      <c r="B2302" s="1"/>
      <c r="C2302" s="1"/>
      <c r="D2302" s="1"/>
      <c r="E2302" s="1"/>
      <c r="F2302" s="1"/>
      <c r="G2302" s="1"/>
      <c r="H2302" s="1"/>
      <c r="I2302" s="1"/>
      <c r="J2302" s="1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</row>
    <row r="2303" spans="2:73" s="38" customFormat="1">
      <c r="B2303" s="1"/>
      <c r="C2303" s="1"/>
      <c r="D2303" s="1"/>
      <c r="E2303" s="1"/>
      <c r="F2303" s="1"/>
      <c r="G2303" s="1"/>
      <c r="H2303" s="1"/>
      <c r="I2303" s="1"/>
      <c r="J2303" s="1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</row>
    <row r="2304" spans="2:73" s="38" customFormat="1">
      <c r="B2304" s="1"/>
      <c r="C2304" s="1"/>
      <c r="D2304" s="1"/>
      <c r="E2304" s="1"/>
      <c r="F2304" s="1"/>
      <c r="G2304" s="1"/>
      <c r="H2304" s="1"/>
      <c r="I2304" s="1"/>
      <c r="J2304" s="1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</row>
    <row r="2305" spans="2:73" s="38" customFormat="1">
      <c r="B2305" s="1"/>
      <c r="C2305" s="1"/>
      <c r="D2305" s="1"/>
      <c r="E2305" s="1"/>
      <c r="F2305" s="1"/>
      <c r="G2305" s="1"/>
      <c r="H2305" s="1"/>
      <c r="I2305" s="1"/>
      <c r="J2305" s="1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</row>
    <row r="2306" spans="2:73" s="38" customFormat="1">
      <c r="B2306" s="1"/>
      <c r="C2306" s="1"/>
      <c r="D2306" s="1"/>
      <c r="E2306" s="1"/>
      <c r="F2306" s="1"/>
      <c r="G2306" s="1"/>
      <c r="H2306" s="1"/>
      <c r="I2306" s="1"/>
      <c r="J2306" s="1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</row>
    <row r="2307" spans="2:73" s="38" customFormat="1">
      <c r="B2307" s="1"/>
      <c r="C2307" s="1"/>
      <c r="D2307" s="1"/>
      <c r="E2307" s="1"/>
      <c r="F2307" s="1"/>
      <c r="G2307" s="1"/>
      <c r="H2307" s="1"/>
      <c r="I2307" s="1"/>
      <c r="J2307" s="1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</row>
    <row r="2308" spans="2:73" s="38" customFormat="1">
      <c r="B2308" s="1"/>
      <c r="C2308" s="1"/>
      <c r="D2308" s="1"/>
      <c r="E2308" s="1"/>
      <c r="F2308" s="1"/>
      <c r="G2308" s="1"/>
      <c r="H2308" s="1"/>
      <c r="I2308" s="1"/>
      <c r="J2308" s="1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</row>
    <row r="2309" spans="2:73" s="38" customFormat="1">
      <c r="B2309" s="1"/>
      <c r="C2309" s="1"/>
      <c r="D2309" s="1"/>
      <c r="E2309" s="1"/>
      <c r="F2309" s="1"/>
      <c r="G2309" s="1"/>
      <c r="H2309" s="1"/>
      <c r="I2309" s="1"/>
      <c r="J2309" s="1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</row>
    <row r="2310" spans="2:73" s="38" customFormat="1">
      <c r="B2310" s="1"/>
      <c r="C2310" s="1"/>
      <c r="D2310" s="1"/>
      <c r="E2310" s="1"/>
      <c r="F2310" s="1"/>
      <c r="G2310" s="1"/>
      <c r="H2310" s="1"/>
      <c r="I2310" s="1"/>
      <c r="J2310" s="1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</row>
    <row r="2311" spans="2:73" s="38" customFormat="1">
      <c r="B2311" s="1"/>
      <c r="C2311" s="1"/>
      <c r="D2311" s="1"/>
      <c r="E2311" s="1"/>
      <c r="F2311" s="1"/>
      <c r="G2311" s="1"/>
      <c r="H2311" s="1"/>
      <c r="I2311" s="1"/>
      <c r="J2311" s="1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</row>
    <row r="2312" spans="2:73" s="38" customFormat="1">
      <c r="B2312" s="1"/>
      <c r="C2312" s="1"/>
      <c r="D2312" s="1"/>
      <c r="E2312" s="1"/>
      <c r="F2312" s="1"/>
      <c r="G2312" s="1"/>
      <c r="H2312" s="1"/>
      <c r="I2312" s="1"/>
      <c r="J2312" s="1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</row>
    <row r="2313" spans="2:73" s="38" customFormat="1">
      <c r="B2313" s="1"/>
      <c r="C2313" s="1"/>
      <c r="D2313" s="1"/>
      <c r="E2313" s="1"/>
      <c r="F2313" s="1"/>
      <c r="G2313" s="1"/>
      <c r="H2313" s="1"/>
      <c r="I2313" s="1"/>
      <c r="J2313" s="1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</row>
    <row r="2314" spans="2:73" s="38" customFormat="1">
      <c r="B2314" s="1"/>
      <c r="C2314" s="1"/>
      <c r="D2314" s="1"/>
      <c r="E2314" s="1"/>
      <c r="F2314" s="1"/>
      <c r="G2314" s="1"/>
      <c r="H2314" s="1"/>
      <c r="I2314" s="1"/>
      <c r="J2314" s="1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</row>
    <row r="2315" spans="2:73" s="38" customFormat="1">
      <c r="B2315" s="1"/>
      <c r="C2315" s="1"/>
      <c r="D2315" s="1"/>
      <c r="E2315" s="1"/>
      <c r="F2315" s="1"/>
      <c r="G2315" s="1"/>
      <c r="H2315" s="1"/>
      <c r="I2315" s="1"/>
      <c r="J2315" s="1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</row>
    <row r="2316" spans="2:73" s="38" customFormat="1">
      <c r="B2316" s="1"/>
      <c r="C2316" s="1"/>
      <c r="D2316" s="1"/>
      <c r="E2316" s="1"/>
      <c r="F2316" s="1"/>
      <c r="G2316" s="1"/>
      <c r="H2316" s="1"/>
      <c r="I2316" s="1"/>
      <c r="J2316" s="1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</row>
    <row r="2317" spans="2:73" s="38" customFormat="1">
      <c r="B2317" s="1"/>
      <c r="C2317" s="1"/>
      <c r="D2317" s="1"/>
      <c r="E2317" s="1"/>
      <c r="F2317" s="1"/>
      <c r="G2317" s="1"/>
      <c r="H2317" s="1"/>
      <c r="I2317" s="1"/>
      <c r="J2317" s="1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</row>
    <row r="2318" spans="2:73" s="38" customFormat="1">
      <c r="B2318" s="1"/>
      <c r="C2318" s="1"/>
      <c r="D2318" s="1"/>
      <c r="E2318" s="1"/>
      <c r="F2318" s="1"/>
      <c r="G2318" s="1"/>
      <c r="H2318" s="1"/>
      <c r="I2318" s="1"/>
      <c r="J2318" s="1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</row>
    <row r="2319" spans="2:73" s="38" customFormat="1">
      <c r="B2319" s="1"/>
      <c r="C2319" s="1"/>
      <c r="D2319" s="1"/>
      <c r="E2319" s="1"/>
      <c r="F2319" s="1"/>
      <c r="G2319" s="1"/>
      <c r="H2319" s="1"/>
      <c r="I2319" s="1"/>
      <c r="J2319" s="1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</row>
    <row r="2320" spans="2:73" s="38" customFormat="1">
      <c r="B2320" s="1"/>
      <c r="C2320" s="1"/>
      <c r="D2320" s="1"/>
      <c r="E2320" s="1"/>
      <c r="F2320" s="1"/>
      <c r="G2320" s="1"/>
      <c r="H2320" s="1"/>
      <c r="I2320" s="1"/>
      <c r="J2320" s="1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</row>
    <row r="2321" spans="2:73" s="38" customFormat="1">
      <c r="B2321" s="1"/>
      <c r="C2321" s="1"/>
      <c r="D2321" s="1"/>
      <c r="E2321" s="1"/>
      <c r="F2321" s="1"/>
      <c r="G2321" s="1"/>
      <c r="H2321" s="1"/>
      <c r="I2321" s="1"/>
      <c r="J2321" s="1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</row>
    <row r="2322" spans="2:73" s="38" customFormat="1">
      <c r="B2322" s="1"/>
      <c r="C2322" s="1"/>
      <c r="D2322" s="1"/>
      <c r="E2322" s="1"/>
      <c r="F2322" s="1"/>
      <c r="G2322" s="1"/>
      <c r="H2322" s="1"/>
      <c r="I2322" s="1"/>
      <c r="J2322" s="1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</row>
    <row r="2323" spans="2:73" s="38" customFormat="1">
      <c r="B2323" s="1"/>
      <c r="C2323" s="1"/>
      <c r="D2323" s="1"/>
      <c r="E2323" s="1"/>
      <c r="F2323" s="1"/>
      <c r="G2323" s="1"/>
      <c r="H2323" s="1"/>
      <c r="I2323" s="1"/>
      <c r="J2323" s="1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</row>
    <row r="2324" spans="2:73" s="38" customFormat="1">
      <c r="B2324" s="1"/>
      <c r="C2324" s="1"/>
      <c r="D2324" s="1"/>
      <c r="E2324" s="1"/>
      <c r="F2324" s="1"/>
      <c r="G2324" s="1"/>
      <c r="H2324" s="1"/>
      <c r="I2324" s="1"/>
      <c r="J2324" s="1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</row>
    <row r="2325" spans="2:73" s="38" customFormat="1">
      <c r="B2325" s="1"/>
      <c r="C2325" s="1"/>
      <c r="D2325" s="1"/>
      <c r="E2325" s="1"/>
      <c r="F2325" s="1"/>
      <c r="G2325" s="1"/>
      <c r="H2325" s="1"/>
      <c r="I2325" s="1"/>
      <c r="J2325" s="1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</row>
    <row r="2326" spans="2:73" s="38" customFormat="1">
      <c r="B2326" s="1"/>
      <c r="C2326" s="1"/>
      <c r="D2326" s="1"/>
      <c r="E2326" s="1"/>
      <c r="F2326" s="1"/>
      <c r="G2326" s="1"/>
      <c r="H2326" s="1"/>
      <c r="I2326" s="1"/>
      <c r="J2326" s="1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</row>
    <row r="2327" spans="2:73" s="38" customFormat="1">
      <c r="B2327" s="1"/>
      <c r="C2327" s="1"/>
      <c r="D2327" s="1"/>
      <c r="E2327" s="1"/>
      <c r="F2327" s="1"/>
      <c r="G2327" s="1"/>
      <c r="H2327" s="1"/>
      <c r="I2327" s="1"/>
      <c r="J2327" s="1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</row>
    <row r="2328" spans="2:73" s="38" customFormat="1">
      <c r="B2328" s="1"/>
      <c r="C2328" s="1"/>
      <c r="D2328" s="1"/>
      <c r="E2328" s="1"/>
      <c r="F2328" s="1"/>
      <c r="G2328" s="1"/>
      <c r="H2328" s="1"/>
      <c r="I2328" s="1"/>
      <c r="J2328" s="1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</row>
    <row r="2329" spans="2:73" s="38" customFormat="1">
      <c r="B2329" s="1"/>
      <c r="C2329" s="1"/>
      <c r="D2329" s="1"/>
      <c r="E2329" s="1"/>
      <c r="F2329" s="1"/>
      <c r="G2329" s="1"/>
      <c r="H2329" s="1"/>
      <c r="I2329" s="1"/>
      <c r="J2329" s="1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</row>
    <row r="2330" spans="2:73" s="38" customFormat="1">
      <c r="B2330" s="1"/>
      <c r="C2330" s="1"/>
      <c r="D2330" s="1"/>
      <c r="E2330" s="1"/>
      <c r="F2330" s="1"/>
      <c r="G2330" s="1"/>
      <c r="H2330" s="1"/>
      <c r="I2330" s="1"/>
      <c r="J2330" s="1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</row>
    <row r="2331" spans="2:73" s="38" customFormat="1">
      <c r="B2331" s="1"/>
      <c r="C2331" s="1"/>
      <c r="D2331" s="1"/>
      <c r="E2331" s="1"/>
      <c r="F2331" s="1"/>
      <c r="G2331" s="1"/>
      <c r="H2331" s="1"/>
      <c r="I2331" s="1"/>
      <c r="J2331" s="1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</row>
    <row r="2332" spans="2:73" s="38" customFormat="1">
      <c r="B2332" s="1"/>
      <c r="C2332" s="1"/>
      <c r="D2332" s="1"/>
      <c r="E2332" s="1"/>
      <c r="F2332" s="1"/>
      <c r="G2332" s="1"/>
      <c r="H2332" s="1"/>
      <c r="I2332" s="1"/>
      <c r="J2332" s="1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</row>
    <row r="2333" spans="2:73" s="38" customFormat="1">
      <c r="B2333" s="1"/>
      <c r="C2333" s="1"/>
      <c r="D2333" s="1"/>
      <c r="E2333" s="1"/>
      <c r="F2333" s="1"/>
      <c r="G2333" s="1"/>
      <c r="H2333" s="1"/>
      <c r="I2333" s="1"/>
      <c r="J2333" s="1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</row>
    <row r="2334" spans="2:73" s="38" customFormat="1">
      <c r="B2334" s="1"/>
      <c r="C2334" s="1"/>
      <c r="D2334" s="1"/>
      <c r="E2334" s="1"/>
      <c r="F2334" s="1"/>
      <c r="G2334" s="1"/>
      <c r="H2334" s="1"/>
      <c r="I2334" s="1"/>
      <c r="J2334" s="1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</row>
    <row r="2335" spans="2:73" s="38" customFormat="1">
      <c r="B2335" s="1"/>
      <c r="C2335" s="1"/>
      <c r="D2335" s="1"/>
      <c r="E2335" s="1"/>
      <c r="F2335" s="1"/>
      <c r="G2335" s="1"/>
      <c r="H2335" s="1"/>
      <c r="I2335" s="1"/>
      <c r="J2335" s="1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</row>
    <row r="2336" spans="2:73" s="38" customFormat="1">
      <c r="B2336" s="1"/>
      <c r="C2336" s="1"/>
      <c r="D2336" s="1"/>
      <c r="E2336" s="1"/>
      <c r="F2336" s="1"/>
      <c r="G2336" s="1"/>
      <c r="H2336" s="1"/>
      <c r="I2336" s="1"/>
      <c r="J2336" s="1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</row>
    <row r="2337" spans="2:73" s="38" customFormat="1">
      <c r="B2337" s="1"/>
      <c r="C2337" s="1"/>
      <c r="D2337" s="1"/>
      <c r="E2337" s="1"/>
      <c r="F2337" s="1"/>
      <c r="G2337" s="1"/>
      <c r="H2337" s="1"/>
      <c r="I2337" s="1"/>
      <c r="J2337" s="1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</row>
    <row r="2338" spans="2:73" s="38" customFormat="1">
      <c r="B2338" s="1"/>
      <c r="C2338" s="1"/>
      <c r="D2338" s="1"/>
      <c r="E2338" s="1"/>
      <c r="F2338" s="1"/>
      <c r="G2338" s="1"/>
      <c r="H2338" s="1"/>
      <c r="I2338" s="1"/>
      <c r="J2338" s="1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</row>
    <row r="2339" spans="2:73" s="38" customFormat="1">
      <c r="B2339" s="1"/>
      <c r="C2339" s="1"/>
      <c r="D2339" s="1"/>
      <c r="E2339" s="1"/>
      <c r="F2339" s="1"/>
      <c r="G2339" s="1"/>
      <c r="H2339" s="1"/>
      <c r="I2339" s="1"/>
      <c r="J2339" s="1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</row>
    <row r="2340" spans="2:73" s="38" customFormat="1">
      <c r="B2340" s="1"/>
      <c r="C2340" s="1"/>
      <c r="D2340" s="1"/>
      <c r="E2340" s="1"/>
      <c r="F2340" s="1"/>
      <c r="G2340" s="1"/>
      <c r="H2340" s="1"/>
      <c r="I2340" s="1"/>
      <c r="J2340" s="1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</row>
    <row r="2341" spans="2:73" s="38" customFormat="1">
      <c r="B2341" s="1"/>
      <c r="C2341" s="1"/>
      <c r="D2341" s="1"/>
      <c r="E2341" s="1"/>
      <c r="F2341" s="1"/>
      <c r="G2341" s="1"/>
      <c r="H2341" s="1"/>
      <c r="I2341" s="1"/>
      <c r="J2341" s="1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</row>
    <row r="2342" spans="2:73" s="38" customFormat="1">
      <c r="B2342" s="1"/>
      <c r="C2342" s="1"/>
      <c r="D2342" s="1"/>
      <c r="E2342" s="1"/>
      <c r="F2342" s="1"/>
      <c r="G2342" s="1"/>
      <c r="H2342" s="1"/>
      <c r="I2342" s="1"/>
      <c r="J2342" s="1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</row>
    <row r="2343" spans="2:73" s="38" customFormat="1">
      <c r="B2343" s="1"/>
      <c r="C2343" s="1"/>
      <c r="D2343" s="1"/>
      <c r="E2343" s="1"/>
      <c r="F2343" s="1"/>
      <c r="G2343" s="1"/>
      <c r="H2343" s="1"/>
      <c r="I2343" s="1"/>
      <c r="J2343" s="1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</row>
    <row r="2344" spans="2:73" s="38" customFormat="1">
      <c r="B2344" s="1"/>
      <c r="C2344" s="1"/>
      <c r="D2344" s="1"/>
      <c r="E2344" s="1"/>
      <c r="F2344" s="1"/>
      <c r="G2344" s="1"/>
      <c r="H2344" s="1"/>
      <c r="I2344" s="1"/>
      <c r="J2344" s="1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</row>
    <row r="2345" spans="2:73" s="38" customFormat="1">
      <c r="B2345" s="1"/>
      <c r="C2345" s="1"/>
      <c r="D2345" s="1"/>
      <c r="E2345" s="1"/>
      <c r="F2345" s="1"/>
      <c r="G2345" s="1"/>
      <c r="H2345" s="1"/>
      <c r="I2345" s="1"/>
      <c r="J2345" s="1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</row>
    <row r="2346" spans="2:73" s="38" customFormat="1">
      <c r="B2346" s="1"/>
      <c r="C2346" s="1"/>
      <c r="D2346" s="1"/>
      <c r="E2346" s="1"/>
      <c r="F2346" s="1"/>
      <c r="G2346" s="1"/>
      <c r="H2346" s="1"/>
      <c r="I2346" s="1"/>
      <c r="J2346" s="1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</row>
    <row r="2347" spans="2:73" s="38" customFormat="1">
      <c r="B2347" s="1"/>
      <c r="C2347" s="1"/>
      <c r="D2347" s="1"/>
      <c r="E2347" s="1"/>
      <c r="F2347" s="1"/>
      <c r="G2347" s="1"/>
      <c r="H2347" s="1"/>
      <c r="I2347" s="1"/>
      <c r="J2347" s="1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</row>
    <row r="2348" spans="2:73" s="38" customFormat="1">
      <c r="B2348" s="1"/>
      <c r="C2348" s="1"/>
      <c r="D2348" s="1"/>
      <c r="E2348" s="1"/>
      <c r="F2348" s="1"/>
      <c r="G2348" s="1"/>
      <c r="H2348" s="1"/>
      <c r="I2348" s="1"/>
      <c r="J2348" s="1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</row>
    <row r="2349" spans="2:73" s="38" customFormat="1">
      <c r="B2349" s="1"/>
      <c r="C2349" s="1"/>
      <c r="D2349" s="1"/>
      <c r="E2349" s="1"/>
      <c r="F2349" s="1"/>
      <c r="G2349" s="1"/>
      <c r="H2349" s="1"/>
      <c r="I2349" s="1"/>
      <c r="J2349" s="1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</row>
    <row r="2350" spans="2:73" s="38" customFormat="1">
      <c r="B2350" s="1"/>
      <c r="C2350" s="1"/>
      <c r="D2350" s="1"/>
      <c r="E2350" s="1"/>
      <c r="F2350" s="1"/>
      <c r="G2350" s="1"/>
      <c r="H2350" s="1"/>
      <c r="I2350" s="1"/>
      <c r="J2350" s="1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</row>
    <row r="2351" spans="2:73" s="38" customFormat="1">
      <c r="B2351" s="1"/>
      <c r="C2351" s="1"/>
      <c r="D2351" s="1"/>
      <c r="E2351" s="1"/>
      <c r="F2351" s="1"/>
      <c r="G2351" s="1"/>
      <c r="H2351" s="1"/>
      <c r="I2351" s="1"/>
      <c r="J2351" s="1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</row>
    <row r="2352" spans="2:73" s="38" customFormat="1">
      <c r="B2352" s="1"/>
      <c r="C2352" s="1"/>
      <c r="D2352" s="1"/>
      <c r="E2352" s="1"/>
      <c r="F2352" s="1"/>
      <c r="G2352" s="1"/>
      <c r="H2352" s="1"/>
      <c r="I2352" s="1"/>
      <c r="J2352" s="1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</row>
    <row r="2353" spans="2:73" s="38" customFormat="1">
      <c r="B2353" s="1"/>
      <c r="C2353" s="1"/>
      <c r="D2353" s="1"/>
      <c r="E2353" s="1"/>
      <c r="F2353" s="1"/>
      <c r="G2353" s="1"/>
      <c r="H2353" s="1"/>
      <c r="I2353" s="1"/>
      <c r="J2353" s="1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</row>
    <row r="2354" spans="2:73" s="38" customFormat="1">
      <c r="B2354" s="1"/>
      <c r="C2354" s="1"/>
      <c r="D2354" s="1"/>
      <c r="E2354" s="1"/>
      <c r="F2354" s="1"/>
      <c r="G2354" s="1"/>
      <c r="H2354" s="1"/>
      <c r="I2354" s="1"/>
      <c r="J2354" s="1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</row>
    <row r="2355" spans="2:73" s="38" customFormat="1">
      <c r="B2355" s="1"/>
      <c r="C2355" s="1"/>
      <c r="D2355" s="1"/>
      <c r="E2355" s="1"/>
      <c r="F2355" s="1"/>
      <c r="G2355" s="1"/>
      <c r="H2355" s="1"/>
      <c r="I2355" s="1"/>
      <c r="J2355" s="1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</row>
    <row r="2356" spans="2:73" s="38" customFormat="1">
      <c r="B2356" s="1"/>
      <c r="C2356" s="1"/>
      <c r="D2356" s="1"/>
      <c r="E2356" s="1"/>
      <c r="F2356" s="1"/>
      <c r="G2356" s="1"/>
      <c r="H2356" s="1"/>
      <c r="I2356" s="1"/>
      <c r="J2356" s="1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</row>
    <row r="2357" spans="2:73" s="38" customFormat="1">
      <c r="B2357" s="1"/>
      <c r="C2357" s="1"/>
      <c r="D2357" s="1"/>
      <c r="E2357" s="1"/>
      <c r="F2357" s="1"/>
      <c r="G2357" s="1"/>
      <c r="H2357" s="1"/>
      <c r="I2357" s="1"/>
      <c r="J2357" s="1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</row>
    <row r="2358" spans="2:73" s="38" customFormat="1">
      <c r="B2358" s="1"/>
      <c r="C2358" s="1"/>
      <c r="D2358" s="1"/>
      <c r="E2358" s="1"/>
      <c r="F2358" s="1"/>
      <c r="G2358" s="1"/>
      <c r="H2358" s="1"/>
      <c r="I2358" s="1"/>
      <c r="J2358" s="1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</row>
    <row r="2359" spans="2:73" s="38" customFormat="1">
      <c r="B2359" s="1"/>
      <c r="C2359" s="1"/>
      <c r="D2359" s="1"/>
      <c r="E2359" s="1"/>
      <c r="F2359" s="1"/>
      <c r="G2359" s="1"/>
      <c r="H2359" s="1"/>
      <c r="I2359" s="1"/>
      <c r="J2359" s="1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</row>
    <row r="2360" spans="2:73" s="38" customFormat="1">
      <c r="B2360" s="1"/>
      <c r="C2360" s="1"/>
      <c r="D2360" s="1"/>
      <c r="E2360" s="1"/>
      <c r="F2360" s="1"/>
      <c r="G2360" s="1"/>
      <c r="H2360" s="1"/>
      <c r="I2360" s="1"/>
      <c r="J2360" s="1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</row>
    <row r="2361" spans="2:73" s="38" customFormat="1">
      <c r="B2361" s="1"/>
      <c r="C2361" s="1"/>
      <c r="D2361" s="1"/>
      <c r="E2361" s="1"/>
      <c r="F2361" s="1"/>
      <c r="G2361" s="1"/>
      <c r="H2361" s="1"/>
      <c r="I2361" s="1"/>
      <c r="J2361" s="1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</row>
    <row r="2362" spans="2:73" s="38" customFormat="1">
      <c r="B2362" s="1"/>
      <c r="C2362" s="1"/>
      <c r="D2362" s="1"/>
      <c r="E2362" s="1"/>
      <c r="F2362" s="1"/>
      <c r="G2362" s="1"/>
      <c r="H2362" s="1"/>
      <c r="I2362" s="1"/>
      <c r="J2362" s="1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</row>
    <row r="2363" spans="2:73" s="38" customFormat="1">
      <c r="B2363" s="1"/>
      <c r="C2363" s="1"/>
      <c r="D2363" s="1"/>
      <c r="E2363" s="1"/>
      <c r="F2363" s="1"/>
      <c r="G2363" s="1"/>
      <c r="H2363" s="1"/>
      <c r="I2363" s="1"/>
      <c r="J2363" s="1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</row>
    <row r="2364" spans="2:73" s="38" customFormat="1">
      <c r="B2364" s="1"/>
      <c r="C2364" s="1"/>
      <c r="D2364" s="1"/>
      <c r="E2364" s="1"/>
      <c r="F2364" s="1"/>
      <c r="G2364" s="1"/>
      <c r="H2364" s="1"/>
      <c r="I2364" s="1"/>
      <c r="J2364" s="1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</row>
    <row r="2365" spans="2:73" s="38" customFormat="1">
      <c r="B2365" s="1"/>
      <c r="C2365" s="1"/>
      <c r="D2365" s="1"/>
      <c r="E2365" s="1"/>
      <c r="F2365" s="1"/>
      <c r="G2365" s="1"/>
      <c r="H2365" s="1"/>
      <c r="I2365" s="1"/>
      <c r="J2365" s="1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</row>
    <row r="2366" spans="2:73" s="38" customFormat="1">
      <c r="B2366" s="1"/>
      <c r="C2366" s="1"/>
      <c r="D2366" s="1"/>
      <c r="E2366" s="1"/>
      <c r="F2366" s="1"/>
      <c r="G2366" s="1"/>
      <c r="H2366" s="1"/>
      <c r="I2366" s="1"/>
      <c r="J2366" s="1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</row>
    <row r="2367" spans="2:73" s="38" customFormat="1">
      <c r="B2367" s="1"/>
      <c r="C2367" s="1"/>
      <c r="D2367" s="1"/>
      <c r="E2367" s="1"/>
      <c r="F2367" s="1"/>
      <c r="G2367" s="1"/>
      <c r="H2367" s="1"/>
      <c r="I2367" s="1"/>
      <c r="J2367" s="1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</row>
    <row r="2368" spans="2:73" s="38" customFormat="1">
      <c r="B2368" s="1"/>
      <c r="C2368" s="1"/>
      <c r="D2368" s="1"/>
      <c r="E2368" s="1"/>
      <c r="F2368" s="1"/>
      <c r="G2368" s="1"/>
      <c r="H2368" s="1"/>
      <c r="I2368" s="1"/>
      <c r="J2368" s="1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</row>
    <row r="2369" spans="2:73" s="38" customFormat="1">
      <c r="B2369" s="1"/>
      <c r="C2369" s="1"/>
      <c r="D2369" s="1"/>
      <c r="E2369" s="1"/>
      <c r="F2369" s="1"/>
      <c r="G2369" s="1"/>
      <c r="H2369" s="1"/>
      <c r="I2369" s="1"/>
      <c r="J2369" s="1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</row>
    <row r="2370" spans="2:73" s="38" customFormat="1">
      <c r="B2370" s="1"/>
      <c r="C2370" s="1"/>
      <c r="D2370" s="1"/>
      <c r="E2370" s="1"/>
      <c r="F2370" s="1"/>
      <c r="G2370" s="1"/>
      <c r="H2370" s="1"/>
      <c r="I2370" s="1"/>
      <c r="J2370" s="1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</row>
    <row r="2371" spans="2:73" s="38" customFormat="1">
      <c r="B2371" s="1"/>
      <c r="C2371" s="1"/>
      <c r="D2371" s="1"/>
      <c r="E2371" s="1"/>
      <c r="F2371" s="1"/>
      <c r="G2371" s="1"/>
      <c r="H2371" s="1"/>
      <c r="I2371" s="1"/>
      <c r="J2371" s="1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</row>
    <row r="2372" spans="2:73" s="38" customFormat="1">
      <c r="B2372" s="1"/>
      <c r="C2372" s="1"/>
      <c r="D2372" s="1"/>
      <c r="E2372" s="1"/>
      <c r="F2372" s="1"/>
      <c r="G2372" s="1"/>
      <c r="H2372" s="1"/>
      <c r="I2372" s="1"/>
      <c r="J2372" s="1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</row>
    <row r="2373" spans="2:73" s="38" customFormat="1">
      <c r="B2373" s="1"/>
      <c r="C2373" s="1"/>
      <c r="D2373" s="1"/>
      <c r="E2373" s="1"/>
      <c r="F2373" s="1"/>
      <c r="G2373" s="1"/>
      <c r="H2373" s="1"/>
      <c r="I2373" s="1"/>
      <c r="J2373" s="1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</row>
    <row r="2374" spans="2:73" s="38" customFormat="1">
      <c r="B2374" s="1"/>
      <c r="C2374" s="1"/>
      <c r="D2374" s="1"/>
      <c r="E2374" s="1"/>
      <c r="F2374" s="1"/>
      <c r="G2374" s="1"/>
      <c r="H2374" s="1"/>
      <c r="I2374" s="1"/>
      <c r="J2374" s="1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</row>
    <row r="2375" spans="2:73" s="38" customFormat="1">
      <c r="B2375" s="1"/>
      <c r="C2375" s="1"/>
      <c r="D2375" s="1"/>
      <c r="E2375" s="1"/>
      <c r="F2375" s="1"/>
      <c r="G2375" s="1"/>
      <c r="H2375" s="1"/>
      <c r="I2375" s="1"/>
      <c r="J2375" s="1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</row>
    <row r="2376" spans="2:73" s="38" customFormat="1">
      <c r="B2376" s="1"/>
      <c r="C2376" s="1"/>
      <c r="D2376" s="1"/>
      <c r="E2376" s="1"/>
      <c r="F2376" s="1"/>
      <c r="G2376" s="1"/>
      <c r="H2376" s="1"/>
      <c r="I2376" s="1"/>
      <c r="J2376" s="1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</row>
    <row r="2377" spans="2:73" s="38" customFormat="1">
      <c r="B2377" s="1"/>
      <c r="C2377" s="1"/>
      <c r="D2377" s="1"/>
      <c r="E2377" s="1"/>
      <c r="F2377" s="1"/>
      <c r="G2377" s="1"/>
      <c r="H2377" s="1"/>
      <c r="I2377" s="1"/>
      <c r="J2377" s="1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</row>
    <row r="2378" spans="2:73" s="38" customFormat="1">
      <c r="B2378" s="1"/>
      <c r="C2378" s="1"/>
      <c r="D2378" s="1"/>
      <c r="E2378" s="1"/>
      <c r="F2378" s="1"/>
      <c r="G2378" s="1"/>
      <c r="H2378" s="1"/>
      <c r="I2378" s="1"/>
      <c r="J2378" s="1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</row>
    <row r="2379" spans="2:73" s="38" customFormat="1">
      <c r="B2379" s="1"/>
      <c r="C2379" s="1"/>
      <c r="D2379" s="1"/>
      <c r="E2379" s="1"/>
      <c r="F2379" s="1"/>
      <c r="G2379" s="1"/>
      <c r="H2379" s="1"/>
      <c r="I2379" s="1"/>
      <c r="J2379" s="1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</row>
    <row r="2380" spans="2:73" s="38" customFormat="1">
      <c r="B2380" s="1"/>
      <c r="C2380" s="1"/>
      <c r="D2380" s="1"/>
      <c r="E2380" s="1"/>
      <c r="F2380" s="1"/>
      <c r="G2380" s="1"/>
      <c r="H2380" s="1"/>
      <c r="I2380" s="1"/>
      <c r="J2380" s="1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</row>
    <row r="2381" spans="2:73" s="38" customFormat="1">
      <c r="B2381" s="1"/>
      <c r="C2381" s="1"/>
      <c r="D2381" s="1"/>
      <c r="E2381" s="1"/>
      <c r="F2381" s="1"/>
      <c r="G2381" s="1"/>
      <c r="H2381" s="1"/>
      <c r="I2381" s="1"/>
      <c r="J2381" s="1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</row>
    <row r="2382" spans="2:73" s="38" customFormat="1">
      <c r="B2382" s="1"/>
      <c r="C2382" s="1"/>
      <c r="D2382" s="1"/>
      <c r="E2382" s="1"/>
      <c r="F2382" s="1"/>
      <c r="G2382" s="1"/>
      <c r="H2382" s="1"/>
      <c r="I2382" s="1"/>
      <c r="J2382" s="1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</row>
    <row r="2383" spans="2:73" s="38" customFormat="1">
      <c r="B2383" s="1"/>
      <c r="C2383" s="1"/>
      <c r="D2383" s="1"/>
      <c r="E2383" s="1"/>
      <c r="F2383" s="1"/>
      <c r="G2383" s="1"/>
      <c r="H2383" s="1"/>
      <c r="I2383" s="1"/>
      <c r="J2383" s="1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</row>
    <row r="2384" spans="2:73" s="38" customFormat="1">
      <c r="B2384" s="1"/>
      <c r="C2384" s="1"/>
      <c r="D2384" s="1"/>
      <c r="E2384" s="1"/>
      <c r="F2384" s="1"/>
      <c r="G2384" s="1"/>
      <c r="H2384" s="1"/>
      <c r="I2384" s="1"/>
      <c r="J2384" s="1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</row>
    <row r="2385" spans="2:73" s="38" customFormat="1">
      <c r="B2385" s="1"/>
      <c r="C2385" s="1"/>
      <c r="D2385" s="1"/>
      <c r="E2385" s="1"/>
      <c r="F2385" s="1"/>
      <c r="G2385" s="1"/>
      <c r="H2385" s="1"/>
      <c r="I2385" s="1"/>
      <c r="J2385" s="1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</row>
    <row r="2386" spans="2:73" s="38" customFormat="1">
      <c r="B2386" s="1"/>
      <c r="C2386" s="1"/>
      <c r="D2386" s="1"/>
      <c r="E2386" s="1"/>
      <c r="F2386" s="1"/>
      <c r="G2386" s="1"/>
      <c r="H2386" s="1"/>
      <c r="I2386" s="1"/>
      <c r="J2386" s="1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</row>
    <row r="2387" spans="2:73" s="38" customFormat="1">
      <c r="B2387" s="1"/>
      <c r="C2387" s="1"/>
      <c r="D2387" s="1"/>
      <c r="E2387" s="1"/>
      <c r="F2387" s="1"/>
      <c r="G2387" s="1"/>
      <c r="H2387" s="1"/>
      <c r="I2387" s="1"/>
      <c r="J2387" s="1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</row>
    <row r="2388" spans="2:73" s="38" customFormat="1">
      <c r="B2388" s="1"/>
      <c r="C2388" s="1"/>
      <c r="D2388" s="1"/>
      <c r="E2388" s="1"/>
      <c r="F2388" s="1"/>
      <c r="G2388" s="1"/>
      <c r="H2388" s="1"/>
      <c r="I2388" s="1"/>
      <c r="J2388" s="1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</row>
    <row r="2389" spans="2:73" s="38" customFormat="1">
      <c r="B2389" s="1"/>
      <c r="C2389" s="1"/>
      <c r="D2389" s="1"/>
      <c r="E2389" s="1"/>
      <c r="F2389" s="1"/>
      <c r="G2389" s="1"/>
      <c r="H2389" s="1"/>
      <c r="I2389" s="1"/>
      <c r="J2389" s="1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</row>
    <row r="2390" spans="2:73" s="38" customFormat="1">
      <c r="B2390" s="1"/>
      <c r="C2390" s="1"/>
      <c r="D2390" s="1"/>
      <c r="E2390" s="1"/>
      <c r="F2390" s="1"/>
      <c r="G2390" s="1"/>
      <c r="H2390" s="1"/>
      <c r="I2390" s="1"/>
      <c r="J2390" s="1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</row>
    <row r="2391" spans="2:73" s="38" customFormat="1">
      <c r="B2391" s="1"/>
      <c r="C2391" s="1"/>
      <c r="D2391" s="1"/>
      <c r="E2391" s="1"/>
      <c r="F2391" s="1"/>
      <c r="G2391" s="1"/>
      <c r="H2391" s="1"/>
      <c r="I2391" s="1"/>
      <c r="J2391" s="1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</row>
    <row r="2392" spans="2:73" s="38" customFormat="1">
      <c r="B2392" s="1"/>
      <c r="C2392" s="1"/>
      <c r="D2392" s="1"/>
      <c r="E2392" s="1"/>
      <c r="F2392" s="1"/>
      <c r="G2392" s="1"/>
      <c r="H2392" s="1"/>
      <c r="I2392" s="1"/>
      <c r="J2392" s="1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</row>
    <row r="2393" spans="2:73" s="38" customFormat="1">
      <c r="B2393" s="1"/>
      <c r="C2393" s="1"/>
      <c r="D2393" s="1"/>
      <c r="E2393" s="1"/>
      <c r="F2393" s="1"/>
      <c r="G2393" s="1"/>
      <c r="H2393" s="1"/>
      <c r="I2393" s="1"/>
      <c r="J2393" s="1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</row>
    <row r="2394" spans="2:73" s="38" customFormat="1">
      <c r="B2394" s="1"/>
      <c r="C2394" s="1"/>
      <c r="D2394" s="1"/>
      <c r="E2394" s="1"/>
      <c r="F2394" s="1"/>
      <c r="G2394" s="1"/>
      <c r="H2394" s="1"/>
      <c r="I2394" s="1"/>
      <c r="J2394" s="1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</row>
    <row r="2395" spans="2:73" s="38" customFormat="1">
      <c r="B2395" s="1"/>
      <c r="C2395" s="1"/>
      <c r="D2395" s="1"/>
      <c r="E2395" s="1"/>
      <c r="F2395" s="1"/>
      <c r="G2395" s="1"/>
      <c r="H2395" s="1"/>
      <c r="I2395" s="1"/>
      <c r="J2395" s="1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</row>
    <row r="2396" spans="2:73" s="38" customFormat="1">
      <c r="B2396" s="1"/>
      <c r="C2396" s="1"/>
      <c r="D2396" s="1"/>
      <c r="E2396" s="1"/>
      <c r="F2396" s="1"/>
      <c r="G2396" s="1"/>
      <c r="H2396" s="1"/>
      <c r="I2396" s="1"/>
      <c r="J2396" s="1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</row>
    <row r="2397" spans="2:73" s="38" customFormat="1">
      <c r="B2397" s="1"/>
      <c r="C2397" s="1"/>
      <c r="D2397" s="1"/>
      <c r="E2397" s="1"/>
      <c r="F2397" s="1"/>
      <c r="G2397" s="1"/>
      <c r="H2397" s="1"/>
      <c r="I2397" s="1"/>
      <c r="J2397" s="1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</row>
    <row r="2398" spans="2:73" s="38" customFormat="1">
      <c r="B2398" s="1"/>
      <c r="C2398" s="1"/>
      <c r="D2398" s="1"/>
      <c r="E2398" s="1"/>
      <c r="F2398" s="1"/>
      <c r="G2398" s="1"/>
      <c r="H2398" s="1"/>
      <c r="I2398" s="1"/>
      <c r="J2398" s="1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</row>
    <row r="2399" spans="2:73" s="38" customFormat="1">
      <c r="B2399" s="1"/>
      <c r="C2399" s="1"/>
      <c r="D2399" s="1"/>
      <c r="E2399" s="1"/>
      <c r="F2399" s="1"/>
      <c r="G2399" s="1"/>
      <c r="H2399" s="1"/>
      <c r="I2399" s="1"/>
      <c r="J2399" s="1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</row>
    <row r="2400" spans="2:73" s="38" customFormat="1">
      <c r="B2400" s="1"/>
      <c r="C2400" s="1"/>
      <c r="D2400" s="1"/>
      <c r="E2400" s="1"/>
      <c r="F2400" s="1"/>
      <c r="G2400" s="1"/>
      <c r="H2400" s="1"/>
      <c r="I2400" s="1"/>
      <c r="J2400" s="1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</row>
    <row r="2401" spans="2:73" s="38" customFormat="1">
      <c r="B2401" s="1"/>
      <c r="C2401" s="1"/>
      <c r="D2401" s="1"/>
      <c r="E2401" s="1"/>
      <c r="F2401" s="1"/>
      <c r="G2401" s="1"/>
      <c r="H2401" s="1"/>
      <c r="I2401" s="1"/>
      <c r="J2401" s="1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</row>
    <row r="2402" spans="2:73" s="38" customFormat="1">
      <c r="B2402" s="1"/>
      <c r="C2402" s="1"/>
      <c r="D2402" s="1"/>
      <c r="E2402" s="1"/>
      <c r="F2402" s="1"/>
      <c r="G2402" s="1"/>
      <c r="H2402" s="1"/>
      <c r="I2402" s="1"/>
      <c r="J2402" s="1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</row>
    <row r="2403" spans="2:73" s="38" customFormat="1">
      <c r="B2403" s="1"/>
      <c r="C2403" s="1"/>
      <c r="D2403" s="1"/>
      <c r="E2403" s="1"/>
      <c r="F2403" s="1"/>
      <c r="G2403" s="1"/>
      <c r="H2403" s="1"/>
      <c r="I2403" s="1"/>
      <c r="J2403" s="1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</row>
    <row r="2404" spans="2:73" s="38" customFormat="1">
      <c r="B2404" s="1"/>
      <c r="C2404" s="1"/>
      <c r="D2404" s="1"/>
      <c r="E2404" s="1"/>
      <c r="F2404" s="1"/>
      <c r="G2404" s="1"/>
      <c r="H2404" s="1"/>
      <c r="I2404" s="1"/>
      <c r="J2404" s="1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</row>
    <row r="2405" spans="2:73" s="38" customFormat="1">
      <c r="B2405" s="1"/>
      <c r="C2405" s="1"/>
      <c r="D2405" s="1"/>
      <c r="E2405" s="1"/>
      <c r="F2405" s="1"/>
      <c r="G2405" s="1"/>
      <c r="H2405" s="1"/>
      <c r="I2405" s="1"/>
      <c r="J2405" s="1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</row>
    <row r="2406" spans="2:73" s="38" customFormat="1">
      <c r="B2406" s="1"/>
      <c r="C2406" s="1"/>
      <c r="D2406" s="1"/>
      <c r="E2406" s="1"/>
      <c r="F2406" s="1"/>
      <c r="G2406" s="1"/>
      <c r="H2406" s="1"/>
      <c r="I2406" s="1"/>
      <c r="J2406" s="1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</row>
    <row r="2407" spans="2:73" s="38" customFormat="1">
      <c r="B2407" s="1"/>
      <c r="C2407" s="1"/>
      <c r="D2407" s="1"/>
      <c r="E2407" s="1"/>
      <c r="F2407" s="1"/>
      <c r="G2407" s="1"/>
      <c r="H2407" s="1"/>
      <c r="I2407" s="1"/>
      <c r="J2407" s="1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</row>
    <row r="2408" spans="2:73" s="38" customFormat="1">
      <c r="B2408" s="1"/>
      <c r="C2408" s="1"/>
      <c r="D2408" s="1"/>
      <c r="E2408" s="1"/>
      <c r="F2408" s="1"/>
      <c r="G2408" s="1"/>
      <c r="H2408" s="1"/>
      <c r="I2408" s="1"/>
      <c r="J2408" s="1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</row>
    <row r="2409" spans="2:73" s="38" customFormat="1">
      <c r="B2409" s="1"/>
      <c r="C2409" s="1"/>
      <c r="D2409" s="1"/>
      <c r="E2409" s="1"/>
      <c r="F2409" s="1"/>
      <c r="G2409" s="1"/>
      <c r="H2409" s="1"/>
      <c r="I2409" s="1"/>
      <c r="J2409" s="1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</row>
    <row r="2410" spans="2:73" s="38" customFormat="1">
      <c r="B2410" s="1"/>
      <c r="C2410" s="1"/>
      <c r="D2410" s="1"/>
      <c r="E2410" s="1"/>
      <c r="F2410" s="1"/>
      <c r="G2410" s="1"/>
      <c r="H2410" s="1"/>
      <c r="I2410" s="1"/>
      <c r="J2410" s="1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</row>
    <row r="2411" spans="2:73" s="38" customFormat="1">
      <c r="B2411" s="1"/>
      <c r="C2411" s="1"/>
      <c r="D2411" s="1"/>
      <c r="E2411" s="1"/>
      <c r="F2411" s="1"/>
      <c r="G2411" s="1"/>
      <c r="H2411" s="1"/>
      <c r="I2411" s="1"/>
      <c r="J2411" s="1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</row>
    <row r="2412" spans="2:73" s="38" customFormat="1">
      <c r="B2412" s="1"/>
      <c r="C2412" s="1"/>
      <c r="D2412" s="1"/>
      <c r="E2412" s="1"/>
      <c r="F2412" s="1"/>
      <c r="G2412" s="1"/>
      <c r="H2412" s="1"/>
      <c r="I2412" s="1"/>
      <c r="J2412" s="1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</row>
    <row r="2413" spans="2:73" s="38" customFormat="1">
      <c r="B2413" s="1"/>
      <c r="C2413" s="1"/>
      <c r="D2413" s="1"/>
      <c r="E2413" s="1"/>
      <c r="F2413" s="1"/>
      <c r="G2413" s="1"/>
      <c r="H2413" s="1"/>
      <c r="I2413" s="1"/>
      <c r="J2413" s="1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</row>
    <row r="2414" spans="2:73" s="38" customFormat="1">
      <c r="B2414" s="1"/>
      <c r="C2414" s="1"/>
      <c r="D2414" s="1"/>
      <c r="E2414" s="1"/>
      <c r="F2414" s="1"/>
      <c r="G2414" s="1"/>
      <c r="H2414" s="1"/>
      <c r="I2414" s="1"/>
      <c r="J2414" s="1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</row>
    <row r="2415" spans="2:73" s="38" customFormat="1">
      <c r="B2415" s="1"/>
      <c r="C2415" s="1"/>
      <c r="D2415" s="1"/>
      <c r="E2415" s="1"/>
      <c r="F2415" s="1"/>
      <c r="G2415" s="1"/>
      <c r="H2415" s="1"/>
      <c r="I2415" s="1"/>
      <c r="J2415" s="1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</row>
    <row r="2416" spans="2:73" s="38" customFormat="1">
      <c r="B2416" s="1"/>
      <c r="C2416" s="1"/>
      <c r="D2416" s="1"/>
      <c r="E2416" s="1"/>
      <c r="F2416" s="1"/>
      <c r="G2416" s="1"/>
      <c r="H2416" s="1"/>
      <c r="I2416" s="1"/>
      <c r="J2416" s="1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</row>
    <row r="2417" spans="2:73" s="38" customFormat="1">
      <c r="B2417" s="1"/>
      <c r="C2417" s="1"/>
      <c r="D2417" s="1"/>
      <c r="E2417" s="1"/>
      <c r="F2417" s="1"/>
      <c r="G2417" s="1"/>
      <c r="H2417" s="1"/>
      <c r="I2417" s="1"/>
      <c r="J2417" s="1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</row>
    <row r="2418" spans="2:73" s="38" customFormat="1">
      <c r="B2418" s="1"/>
      <c r="C2418" s="1"/>
      <c r="D2418" s="1"/>
      <c r="E2418" s="1"/>
      <c r="F2418" s="1"/>
      <c r="G2418" s="1"/>
      <c r="H2418" s="1"/>
      <c r="I2418" s="1"/>
      <c r="J2418" s="1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</row>
    <row r="2419" spans="2:73" s="38" customFormat="1">
      <c r="B2419" s="1"/>
      <c r="C2419" s="1"/>
      <c r="D2419" s="1"/>
      <c r="E2419" s="1"/>
      <c r="F2419" s="1"/>
      <c r="G2419" s="1"/>
      <c r="H2419" s="1"/>
      <c r="I2419" s="1"/>
      <c r="J2419" s="1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</row>
    <row r="2420" spans="2:73" s="38" customFormat="1">
      <c r="B2420" s="1"/>
      <c r="C2420" s="1"/>
      <c r="D2420" s="1"/>
      <c r="E2420" s="1"/>
      <c r="F2420" s="1"/>
      <c r="G2420" s="1"/>
      <c r="H2420" s="1"/>
      <c r="I2420" s="1"/>
      <c r="J2420" s="1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</row>
    <row r="2421" spans="2:73" s="38" customFormat="1">
      <c r="B2421" s="1"/>
      <c r="C2421" s="1"/>
      <c r="D2421" s="1"/>
      <c r="E2421" s="1"/>
      <c r="F2421" s="1"/>
      <c r="G2421" s="1"/>
      <c r="H2421" s="1"/>
      <c r="I2421" s="1"/>
      <c r="J2421" s="1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</row>
    <row r="2422" spans="2:73" s="38" customFormat="1">
      <c r="B2422" s="1"/>
      <c r="C2422" s="1"/>
      <c r="D2422" s="1"/>
      <c r="E2422" s="1"/>
      <c r="F2422" s="1"/>
      <c r="G2422" s="1"/>
      <c r="H2422" s="1"/>
      <c r="I2422" s="1"/>
      <c r="J2422" s="1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</row>
    <row r="2423" spans="2:73" s="38" customFormat="1">
      <c r="B2423" s="1"/>
      <c r="C2423" s="1"/>
      <c r="D2423" s="1"/>
      <c r="E2423" s="1"/>
      <c r="F2423" s="1"/>
      <c r="G2423" s="1"/>
      <c r="H2423" s="1"/>
      <c r="I2423" s="1"/>
      <c r="J2423" s="1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</row>
    <row r="2424" spans="2:73" s="38" customFormat="1">
      <c r="B2424" s="1"/>
      <c r="C2424" s="1"/>
      <c r="D2424" s="1"/>
      <c r="E2424" s="1"/>
      <c r="F2424" s="1"/>
      <c r="G2424" s="1"/>
      <c r="H2424" s="1"/>
      <c r="I2424" s="1"/>
      <c r="J2424" s="1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</row>
    <row r="2425" spans="2:73" s="38" customFormat="1">
      <c r="B2425" s="1"/>
      <c r="C2425" s="1"/>
      <c r="D2425" s="1"/>
      <c r="E2425" s="1"/>
      <c r="F2425" s="1"/>
      <c r="G2425" s="1"/>
      <c r="H2425" s="1"/>
      <c r="I2425" s="1"/>
      <c r="J2425" s="1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</row>
    <row r="2426" spans="2:73" s="38" customFormat="1">
      <c r="B2426" s="1"/>
      <c r="C2426" s="1"/>
      <c r="D2426" s="1"/>
      <c r="E2426" s="1"/>
      <c r="F2426" s="1"/>
      <c r="G2426" s="1"/>
      <c r="H2426" s="1"/>
      <c r="I2426" s="1"/>
      <c r="J2426" s="1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</row>
    <row r="2427" spans="2:73" s="38" customFormat="1">
      <c r="B2427" s="1"/>
      <c r="C2427" s="1"/>
      <c r="D2427" s="1"/>
      <c r="E2427" s="1"/>
      <c r="F2427" s="1"/>
      <c r="G2427" s="1"/>
      <c r="H2427" s="1"/>
      <c r="I2427" s="1"/>
      <c r="J2427" s="1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</row>
    <row r="2428" spans="2:73" s="38" customFormat="1">
      <c r="B2428" s="1"/>
      <c r="C2428" s="1"/>
      <c r="D2428" s="1"/>
      <c r="E2428" s="1"/>
      <c r="F2428" s="1"/>
      <c r="G2428" s="1"/>
      <c r="H2428" s="1"/>
      <c r="I2428" s="1"/>
      <c r="J2428" s="1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</row>
    <row r="2429" spans="2:73" s="38" customFormat="1">
      <c r="B2429" s="1"/>
      <c r="C2429" s="1"/>
      <c r="D2429" s="1"/>
      <c r="E2429" s="1"/>
      <c r="F2429" s="1"/>
      <c r="G2429" s="1"/>
      <c r="H2429" s="1"/>
      <c r="I2429" s="1"/>
      <c r="J2429" s="1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</row>
    <row r="2430" spans="2:73" s="38" customFormat="1">
      <c r="B2430" s="1"/>
      <c r="C2430" s="1"/>
      <c r="D2430" s="1"/>
      <c r="E2430" s="1"/>
      <c r="F2430" s="1"/>
      <c r="G2430" s="1"/>
      <c r="H2430" s="1"/>
      <c r="I2430" s="1"/>
      <c r="J2430" s="1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</row>
    <row r="2431" spans="2:73" s="38" customFormat="1">
      <c r="B2431" s="1"/>
      <c r="C2431" s="1"/>
      <c r="D2431" s="1"/>
      <c r="E2431" s="1"/>
      <c r="F2431" s="1"/>
      <c r="G2431" s="1"/>
      <c r="H2431" s="1"/>
      <c r="I2431" s="1"/>
      <c r="J2431" s="1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</row>
    <row r="2432" spans="2:73" s="38" customFormat="1">
      <c r="B2432" s="1"/>
      <c r="C2432" s="1"/>
      <c r="D2432" s="1"/>
      <c r="E2432" s="1"/>
      <c r="F2432" s="1"/>
      <c r="G2432" s="1"/>
      <c r="H2432" s="1"/>
      <c r="I2432" s="1"/>
      <c r="J2432" s="1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</row>
    <row r="2433" spans="2:73" s="38" customFormat="1">
      <c r="B2433" s="1"/>
      <c r="C2433" s="1"/>
      <c r="D2433" s="1"/>
      <c r="E2433" s="1"/>
      <c r="F2433" s="1"/>
      <c r="G2433" s="1"/>
      <c r="H2433" s="1"/>
      <c r="I2433" s="1"/>
      <c r="J2433" s="1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</row>
    <row r="2434" spans="2:73" s="38" customFormat="1">
      <c r="B2434" s="1"/>
      <c r="C2434" s="1"/>
      <c r="D2434" s="1"/>
      <c r="E2434" s="1"/>
      <c r="F2434" s="1"/>
      <c r="G2434" s="1"/>
      <c r="H2434" s="1"/>
      <c r="I2434" s="1"/>
      <c r="J2434" s="1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</row>
    <row r="2435" spans="2:73" s="38" customFormat="1">
      <c r="B2435" s="1"/>
      <c r="C2435" s="1"/>
      <c r="D2435" s="1"/>
      <c r="E2435" s="1"/>
      <c r="F2435" s="1"/>
      <c r="G2435" s="1"/>
      <c r="H2435" s="1"/>
      <c r="I2435" s="1"/>
      <c r="J2435" s="1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</row>
    <row r="2436" spans="2:73" s="38" customFormat="1">
      <c r="B2436" s="1"/>
      <c r="C2436" s="1"/>
      <c r="D2436" s="1"/>
      <c r="E2436" s="1"/>
      <c r="F2436" s="1"/>
      <c r="G2436" s="1"/>
      <c r="H2436" s="1"/>
      <c r="I2436" s="1"/>
      <c r="J2436" s="1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</row>
    <row r="2437" spans="2:73" s="38" customFormat="1">
      <c r="B2437" s="1"/>
      <c r="C2437" s="1"/>
      <c r="D2437" s="1"/>
      <c r="E2437" s="1"/>
      <c r="F2437" s="1"/>
      <c r="G2437" s="1"/>
      <c r="H2437" s="1"/>
      <c r="I2437" s="1"/>
      <c r="J2437" s="1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</row>
    <row r="2438" spans="2:73" s="38" customFormat="1">
      <c r="B2438" s="1"/>
      <c r="C2438" s="1"/>
      <c r="D2438" s="1"/>
      <c r="E2438" s="1"/>
      <c r="F2438" s="1"/>
      <c r="G2438" s="1"/>
      <c r="H2438" s="1"/>
      <c r="I2438" s="1"/>
      <c r="J2438" s="1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</row>
    <row r="2439" spans="2:73" s="38" customFormat="1">
      <c r="B2439" s="1"/>
      <c r="C2439" s="1"/>
      <c r="D2439" s="1"/>
      <c r="E2439" s="1"/>
      <c r="F2439" s="1"/>
      <c r="G2439" s="1"/>
      <c r="H2439" s="1"/>
      <c r="I2439" s="1"/>
      <c r="J2439" s="1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</row>
    <row r="2440" spans="2:73" s="38" customFormat="1">
      <c r="B2440" s="1"/>
      <c r="C2440" s="1"/>
      <c r="D2440" s="1"/>
      <c r="E2440" s="1"/>
      <c r="F2440" s="1"/>
      <c r="G2440" s="1"/>
      <c r="H2440" s="1"/>
      <c r="I2440" s="1"/>
      <c r="J2440" s="1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</row>
    <row r="2441" spans="2:73" s="38" customFormat="1">
      <c r="B2441" s="1"/>
      <c r="C2441" s="1"/>
      <c r="D2441" s="1"/>
      <c r="E2441" s="1"/>
      <c r="F2441" s="1"/>
      <c r="G2441" s="1"/>
      <c r="H2441" s="1"/>
      <c r="I2441" s="1"/>
      <c r="J2441" s="1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</row>
    <row r="2442" spans="2:73" s="38" customFormat="1">
      <c r="B2442" s="1"/>
      <c r="C2442" s="1"/>
      <c r="D2442" s="1"/>
      <c r="E2442" s="1"/>
      <c r="F2442" s="1"/>
      <c r="G2442" s="1"/>
      <c r="H2442" s="1"/>
      <c r="I2442" s="1"/>
      <c r="J2442" s="1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</row>
    <row r="2443" spans="2:73" s="38" customFormat="1">
      <c r="B2443" s="1"/>
      <c r="C2443" s="1"/>
      <c r="D2443" s="1"/>
      <c r="E2443" s="1"/>
      <c r="F2443" s="1"/>
      <c r="G2443" s="1"/>
      <c r="H2443" s="1"/>
      <c r="I2443" s="1"/>
      <c r="J2443" s="1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</row>
    <row r="2444" spans="2:73" s="38" customFormat="1">
      <c r="B2444" s="1"/>
      <c r="C2444" s="1"/>
      <c r="D2444" s="1"/>
      <c r="E2444" s="1"/>
      <c r="F2444" s="1"/>
      <c r="G2444" s="1"/>
      <c r="H2444" s="1"/>
      <c r="I2444" s="1"/>
      <c r="J2444" s="1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</row>
    <row r="2445" spans="2:73" s="38" customFormat="1">
      <c r="B2445" s="1"/>
      <c r="C2445" s="1"/>
      <c r="D2445" s="1"/>
      <c r="E2445" s="1"/>
      <c r="F2445" s="1"/>
      <c r="G2445" s="1"/>
      <c r="H2445" s="1"/>
      <c r="I2445" s="1"/>
      <c r="J2445" s="1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</row>
    <row r="2446" spans="2:73" s="38" customFormat="1">
      <c r="B2446" s="1"/>
      <c r="C2446" s="1"/>
      <c r="D2446" s="1"/>
      <c r="E2446" s="1"/>
      <c r="F2446" s="1"/>
      <c r="G2446" s="1"/>
      <c r="H2446" s="1"/>
      <c r="I2446" s="1"/>
      <c r="J2446" s="1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</row>
    <row r="2447" spans="2:73" s="38" customFormat="1">
      <c r="B2447" s="1"/>
      <c r="C2447" s="1"/>
      <c r="D2447" s="1"/>
      <c r="E2447" s="1"/>
      <c r="F2447" s="1"/>
      <c r="G2447" s="1"/>
      <c r="H2447" s="1"/>
      <c r="I2447" s="1"/>
      <c r="J2447" s="1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</row>
    <row r="2448" spans="2:73" s="38" customFormat="1">
      <c r="B2448" s="1"/>
      <c r="C2448" s="1"/>
      <c r="D2448" s="1"/>
      <c r="E2448" s="1"/>
      <c r="F2448" s="1"/>
      <c r="G2448" s="1"/>
      <c r="H2448" s="1"/>
      <c r="I2448" s="1"/>
      <c r="J2448" s="1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</row>
    <row r="2449" spans="2:73" s="38" customFormat="1">
      <c r="B2449" s="1"/>
      <c r="C2449" s="1"/>
      <c r="D2449" s="1"/>
      <c r="E2449" s="1"/>
      <c r="F2449" s="1"/>
      <c r="G2449" s="1"/>
      <c r="H2449" s="1"/>
      <c r="I2449" s="1"/>
      <c r="J2449" s="1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</row>
    <row r="2450" spans="2:73" s="38" customFormat="1">
      <c r="B2450" s="1"/>
      <c r="C2450" s="1"/>
      <c r="D2450" s="1"/>
      <c r="E2450" s="1"/>
      <c r="F2450" s="1"/>
      <c r="G2450" s="1"/>
      <c r="H2450" s="1"/>
      <c r="I2450" s="1"/>
      <c r="J2450" s="1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</row>
    <row r="2451" spans="2:73" s="38" customFormat="1">
      <c r="B2451" s="1"/>
      <c r="C2451" s="1"/>
      <c r="D2451" s="1"/>
      <c r="E2451" s="1"/>
      <c r="F2451" s="1"/>
      <c r="G2451" s="1"/>
      <c r="H2451" s="1"/>
      <c r="I2451" s="1"/>
      <c r="J2451" s="1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</row>
    <row r="2452" spans="2:73" s="38" customFormat="1">
      <c r="B2452" s="1"/>
      <c r="C2452" s="1"/>
      <c r="D2452" s="1"/>
      <c r="E2452" s="1"/>
      <c r="F2452" s="1"/>
      <c r="G2452" s="1"/>
      <c r="H2452" s="1"/>
      <c r="I2452" s="1"/>
      <c r="J2452" s="1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</row>
    <row r="2453" spans="2:73" s="38" customFormat="1">
      <c r="B2453" s="1"/>
      <c r="C2453" s="1"/>
      <c r="D2453" s="1"/>
      <c r="E2453" s="1"/>
      <c r="F2453" s="1"/>
      <c r="G2453" s="1"/>
      <c r="H2453" s="1"/>
      <c r="I2453" s="1"/>
      <c r="J2453" s="1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</row>
    <row r="2454" spans="2:73" s="38" customFormat="1">
      <c r="B2454" s="1"/>
      <c r="C2454" s="1"/>
      <c r="D2454" s="1"/>
      <c r="E2454" s="1"/>
      <c r="F2454" s="1"/>
      <c r="G2454" s="1"/>
      <c r="H2454" s="1"/>
      <c r="I2454" s="1"/>
      <c r="J2454" s="1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</row>
    <row r="2455" spans="2:73" s="38" customFormat="1">
      <c r="B2455" s="1"/>
      <c r="C2455" s="1"/>
      <c r="D2455" s="1"/>
      <c r="E2455" s="1"/>
      <c r="F2455" s="1"/>
      <c r="G2455" s="1"/>
      <c r="H2455" s="1"/>
      <c r="I2455" s="1"/>
      <c r="J2455" s="1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</row>
    <row r="2456" spans="2:73" s="38" customFormat="1">
      <c r="B2456" s="1"/>
      <c r="C2456" s="1"/>
      <c r="D2456" s="1"/>
      <c r="E2456" s="1"/>
      <c r="F2456" s="1"/>
      <c r="G2456" s="1"/>
      <c r="H2456" s="1"/>
      <c r="I2456" s="1"/>
      <c r="J2456" s="1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</row>
    <row r="2457" spans="2:73" s="38" customFormat="1">
      <c r="B2457" s="1"/>
      <c r="C2457" s="1"/>
      <c r="D2457" s="1"/>
      <c r="E2457" s="1"/>
      <c r="F2457" s="1"/>
      <c r="G2457" s="1"/>
      <c r="H2457" s="1"/>
      <c r="I2457" s="1"/>
      <c r="J2457" s="1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</row>
    <row r="2458" spans="2:73" s="38" customFormat="1">
      <c r="B2458" s="1"/>
      <c r="C2458" s="1"/>
      <c r="D2458" s="1"/>
      <c r="E2458" s="1"/>
      <c r="F2458" s="1"/>
      <c r="G2458" s="1"/>
      <c r="H2458" s="1"/>
      <c r="I2458" s="1"/>
      <c r="J2458" s="1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</row>
    <row r="2459" spans="2:73" s="38" customFormat="1">
      <c r="B2459" s="1"/>
      <c r="C2459" s="1"/>
      <c r="D2459" s="1"/>
      <c r="E2459" s="1"/>
      <c r="F2459" s="1"/>
      <c r="G2459" s="1"/>
      <c r="H2459" s="1"/>
      <c r="I2459" s="1"/>
      <c r="J2459" s="1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</row>
    <row r="2460" spans="2:73" s="38" customFormat="1">
      <c r="B2460" s="1"/>
      <c r="C2460" s="1"/>
      <c r="D2460" s="1"/>
      <c r="E2460" s="1"/>
      <c r="F2460" s="1"/>
      <c r="G2460" s="1"/>
      <c r="H2460" s="1"/>
      <c r="I2460" s="1"/>
      <c r="J2460" s="1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</row>
    <row r="2461" spans="2:73" s="38" customFormat="1">
      <c r="B2461" s="1"/>
      <c r="C2461" s="1"/>
      <c r="D2461" s="1"/>
      <c r="E2461" s="1"/>
      <c r="F2461" s="1"/>
      <c r="G2461" s="1"/>
      <c r="H2461" s="1"/>
      <c r="I2461" s="1"/>
      <c r="J2461" s="1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</row>
    <row r="2462" spans="2:73" s="38" customFormat="1">
      <c r="B2462" s="1"/>
      <c r="C2462" s="1"/>
      <c r="D2462" s="1"/>
      <c r="E2462" s="1"/>
      <c r="F2462" s="1"/>
      <c r="G2462" s="1"/>
      <c r="H2462" s="1"/>
      <c r="I2462" s="1"/>
      <c r="J2462" s="1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</row>
    <row r="2463" spans="2:73" s="38" customFormat="1">
      <c r="B2463" s="1"/>
      <c r="C2463" s="1"/>
      <c r="D2463" s="1"/>
      <c r="E2463" s="1"/>
      <c r="F2463" s="1"/>
      <c r="G2463" s="1"/>
      <c r="H2463" s="1"/>
      <c r="I2463" s="1"/>
      <c r="J2463" s="1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</row>
    <row r="2464" spans="2:73" s="38" customFormat="1">
      <c r="B2464" s="1"/>
      <c r="C2464" s="1"/>
      <c r="D2464" s="1"/>
      <c r="E2464" s="1"/>
      <c r="F2464" s="1"/>
      <c r="G2464" s="1"/>
      <c r="H2464" s="1"/>
      <c r="I2464" s="1"/>
      <c r="J2464" s="1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</row>
    <row r="2465" spans="2:73" s="38" customFormat="1">
      <c r="B2465" s="1"/>
      <c r="C2465" s="1"/>
      <c r="D2465" s="1"/>
      <c r="E2465" s="1"/>
      <c r="F2465" s="1"/>
      <c r="G2465" s="1"/>
      <c r="H2465" s="1"/>
      <c r="I2465" s="1"/>
      <c r="J2465" s="1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</row>
    <row r="2466" spans="2:73" s="38" customFormat="1">
      <c r="B2466" s="1"/>
      <c r="C2466" s="1"/>
      <c r="D2466" s="1"/>
      <c r="E2466" s="1"/>
      <c r="F2466" s="1"/>
      <c r="G2466" s="1"/>
      <c r="H2466" s="1"/>
      <c r="I2466" s="1"/>
      <c r="J2466" s="1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</row>
    <row r="2467" spans="2:73" s="38" customFormat="1">
      <c r="B2467" s="1"/>
      <c r="C2467" s="1"/>
      <c r="D2467" s="1"/>
      <c r="E2467" s="1"/>
      <c r="F2467" s="1"/>
      <c r="G2467" s="1"/>
      <c r="H2467" s="1"/>
      <c r="I2467" s="1"/>
      <c r="J2467" s="1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</row>
    <row r="2468" spans="2:73" s="38" customFormat="1">
      <c r="B2468" s="1"/>
      <c r="C2468" s="1"/>
      <c r="D2468" s="1"/>
      <c r="E2468" s="1"/>
      <c r="F2468" s="1"/>
      <c r="G2468" s="1"/>
      <c r="H2468" s="1"/>
      <c r="I2468" s="1"/>
      <c r="J2468" s="1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</row>
    <row r="2469" spans="2:73" s="38" customFormat="1">
      <c r="B2469" s="1"/>
      <c r="C2469" s="1"/>
      <c r="D2469" s="1"/>
      <c r="E2469" s="1"/>
      <c r="F2469" s="1"/>
      <c r="G2469" s="1"/>
      <c r="H2469" s="1"/>
      <c r="I2469" s="1"/>
      <c r="J2469" s="1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</row>
    <row r="2470" spans="2:73" s="38" customFormat="1">
      <c r="B2470" s="1"/>
      <c r="C2470" s="1"/>
      <c r="D2470" s="1"/>
      <c r="E2470" s="1"/>
      <c r="F2470" s="1"/>
      <c r="G2470" s="1"/>
      <c r="H2470" s="1"/>
      <c r="I2470" s="1"/>
      <c r="J2470" s="1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</row>
    <row r="2471" spans="2:73" s="38" customFormat="1">
      <c r="B2471" s="1"/>
      <c r="C2471" s="1"/>
      <c r="D2471" s="1"/>
      <c r="E2471" s="1"/>
      <c r="F2471" s="1"/>
      <c r="G2471" s="1"/>
      <c r="H2471" s="1"/>
      <c r="I2471" s="1"/>
      <c r="J2471" s="1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</row>
    <row r="2472" spans="2:73" s="38" customFormat="1">
      <c r="B2472" s="1"/>
      <c r="C2472" s="1"/>
      <c r="D2472" s="1"/>
      <c r="E2472" s="1"/>
      <c r="F2472" s="1"/>
      <c r="G2472" s="1"/>
      <c r="H2472" s="1"/>
      <c r="I2472" s="1"/>
      <c r="J2472" s="1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</row>
    <row r="2473" spans="2:73" s="38" customFormat="1">
      <c r="B2473" s="1"/>
      <c r="C2473" s="1"/>
      <c r="D2473" s="1"/>
      <c r="E2473" s="1"/>
      <c r="F2473" s="1"/>
      <c r="G2473" s="1"/>
      <c r="H2473" s="1"/>
      <c r="I2473" s="1"/>
      <c r="J2473" s="1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</row>
    <row r="2474" spans="2:73" s="38" customFormat="1">
      <c r="B2474" s="1"/>
      <c r="C2474" s="1"/>
      <c r="D2474" s="1"/>
      <c r="E2474" s="1"/>
      <c r="F2474" s="1"/>
      <c r="G2474" s="1"/>
      <c r="H2474" s="1"/>
      <c r="I2474" s="1"/>
      <c r="J2474" s="1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</row>
    <row r="2475" spans="2:73" s="38" customFormat="1">
      <c r="B2475" s="1"/>
      <c r="C2475" s="1"/>
      <c r="D2475" s="1"/>
      <c r="E2475" s="1"/>
      <c r="F2475" s="1"/>
      <c r="G2475" s="1"/>
      <c r="H2475" s="1"/>
      <c r="I2475" s="1"/>
      <c r="J2475" s="1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</row>
    <row r="2476" spans="2:73" s="38" customFormat="1">
      <c r="B2476" s="1"/>
      <c r="C2476" s="1"/>
      <c r="D2476" s="1"/>
      <c r="E2476" s="1"/>
      <c r="F2476" s="1"/>
      <c r="G2476" s="1"/>
      <c r="H2476" s="1"/>
      <c r="I2476" s="1"/>
      <c r="J2476" s="1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</row>
    <row r="2477" spans="2:73" s="38" customFormat="1">
      <c r="B2477" s="1"/>
      <c r="C2477" s="1"/>
      <c r="D2477" s="1"/>
      <c r="E2477" s="1"/>
      <c r="F2477" s="1"/>
      <c r="G2477" s="1"/>
      <c r="H2477" s="1"/>
      <c r="I2477" s="1"/>
      <c r="J2477" s="1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</row>
    <row r="2478" spans="2:73" s="38" customFormat="1">
      <c r="B2478" s="1"/>
      <c r="C2478" s="1"/>
      <c r="D2478" s="1"/>
      <c r="E2478" s="1"/>
      <c r="F2478" s="1"/>
      <c r="G2478" s="1"/>
      <c r="H2478" s="1"/>
      <c r="I2478" s="1"/>
      <c r="J2478" s="1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</row>
    <row r="2479" spans="2:73" s="38" customFormat="1">
      <c r="B2479" s="1"/>
      <c r="C2479" s="1"/>
      <c r="D2479" s="1"/>
      <c r="E2479" s="1"/>
      <c r="F2479" s="1"/>
      <c r="G2479" s="1"/>
      <c r="H2479" s="1"/>
      <c r="I2479" s="1"/>
      <c r="J2479" s="1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</row>
    <row r="2480" spans="2:73" s="38" customFormat="1">
      <c r="B2480" s="1"/>
      <c r="C2480" s="1"/>
      <c r="D2480" s="1"/>
      <c r="E2480" s="1"/>
      <c r="F2480" s="1"/>
      <c r="G2480" s="1"/>
      <c r="H2480" s="1"/>
      <c r="I2480" s="1"/>
      <c r="J2480" s="1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</row>
    <row r="2481" spans="2:73" s="38" customFormat="1">
      <c r="B2481" s="1"/>
      <c r="C2481" s="1"/>
      <c r="D2481" s="1"/>
      <c r="E2481" s="1"/>
      <c r="F2481" s="1"/>
      <c r="G2481" s="1"/>
      <c r="H2481" s="1"/>
      <c r="I2481" s="1"/>
      <c r="J2481" s="1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</row>
    <row r="2482" spans="2:73" s="38" customFormat="1">
      <c r="B2482" s="1"/>
      <c r="C2482" s="1"/>
      <c r="D2482" s="1"/>
      <c r="E2482" s="1"/>
      <c r="F2482" s="1"/>
      <c r="G2482" s="1"/>
      <c r="H2482" s="1"/>
      <c r="I2482" s="1"/>
      <c r="J2482" s="1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</row>
    <row r="2483" spans="2:73" s="38" customFormat="1">
      <c r="B2483" s="1"/>
      <c r="C2483" s="1"/>
      <c r="D2483" s="1"/>
      <c r="E2483" s="1"/>
      <c r="F2483" s="1"/>
      <c r="G2483" s="1"/>
      <c r="H2483" s="1"/>
      <c r="I2483" s="1"/>
      <c r="J2483" s="1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</row>
    <row r="2484" spans="2:73" s="38" customFormat="1">
      <c r="B2484" s="1"/>
      <c r="C2484" s="1"/>
      <c r="D2484" s="1"/>
      <c r="E2484" s="1"/>
      <c r="F2484" s="1"/>
      <c r="G2484" s="1"/>
      <c r="H2484" s="1"/>
      <c r="I2484" s="1"/>
      <c r="J2484" s="1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</row>
    <row r="2485" spans="2:73" s="38" customFormat="1">
      <c r="B2485" s="1"/>
      <c r="C2485" s="1"/>
      <c r="D2485" s="1"/>
      <c r="E2485" s="1"/>
      <c r="F2485" s="1"/>
      <c r="G2485" s="1"/>
      <c r="H2485" s="1"/>
      <c r="I2485" s="1"/>
      <c r="J2485" s="1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</row>
    <row r="2486" spans="2:73" s="38" customFormat="1">
      <c r="B2486" s="1"/>
      <c r="C2486" s="1"/>
      <c r="D2486" s="1"/>
      <c r="E2486" s="1"/>
      <c r="F2486" s="1"/>
      <c r="G2486" s="1"/>
      <c r="H2486" s="1"/>
      <c r="I2486" s="1"/>
      <c r="J2486" s="1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</row>
    <row r="2487" spans="2:73" s="38" customFormat="1">
      <c r="B2487" s="1"/>
      <c r="C2487" s="1"/>
      <c r="D2487" s="1"/>
      <c r="E2487" s="1"/>
      <c r="F2487" s="1"/>
      <c r="G2487" s="1"/>
      <c r="H2487" s="1"/>
      <c r="I2487" s="1"/>
      <c r="J2487" s="1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</row>
    <row r="2488" spans="2:73" s="38" customFormat="1">
      <c r="B2488" s="1"/>
      <c r="C2488" s="1"/>
      <c r="D2488" s="1"/>
      <c r="E2488" s="1"/>
      <c r="F2488" s="1"/>
      <c r="G2488" s="1"/>
      <c r="H2488" s="1"/>
      <c r="I2488" s="1"/>
      <c r="J2488" s="1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</row>
    <row r="2489" spans="2:73" s="38" customFormat="1">
      <c r="B2489" s="1"/>
      <c r="C2489" s="1"/>
      <c r="D2489" s="1"/>
      <c r="E2489" s="1"/>
      <c r="F2489" s="1"/>
      <c r="G2489" s="1"/>
      <c r="H2489" s="1"/>
      <c r="I2489" s="1"/>
      <c r="J2489" s="1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</row>
    <row r="2490" spans="2:73" s="38" customFormat="1">
      <c r="B2490" s="1"/>
      <c r="C2490" s="1"/>
      <c r="D2490" s="1"/>
      <c r="E2490" s="1"/>
      <c r="F2490" s="1"/>
      <c r="G2490" s="1"/>
      <c r="H2490" s="1"/>
      <c r="I2490" s="1"/>
      <c r="J2490" s="1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</row>
    <row r="2491" spans="2:73" s="38" customFormat="1">
      <c r="B2491" s="1"/>
      <c r="C2491" s="1"/>
      <c r="D2491" s="1"/>
      <c r="E2491" s="1"/>
      <c r="F2491" s="1"/>
      <c r="G2491" s="1"/>
      <c r="H2491" s="1"/>
      <c r="I2491" s="1"/>
      <c r="J2491" s="1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</row>
    <row r="2492" spans="2:73" s="38" customFormat="1">
      <c r="B2492" s="1"/>
      <c r="C2492" s="1"/>
      <c r="D2492" s="1"/>
      <c r="E2492" s="1"/>
      <c r="F2492" s="1"/>
      <c r="G2492" s="1"/>
      <c r="H2492" s="1"/>
      <c r="I2492" s="1"/>
      <c r="J2492" s="1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</row>
    <row r="2493" spans="2:73" s="38" customFormat="1">
      <c r="B2493" s="1"/>
      <c r="C2493" s="1"/>
      <c r="D2493" s="1"/>
      <c r="E2493" s="1"/>
      <c r="F2493" s="1"/>
      <c r="G2493" s="1"/>
      <c r="H2493" s="1"/>
      <c r="I2493" s="1"/>
      <c r="J2493" s="1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</row>
    <row r="2494" spans="2:73" s="38" customFormat="1">
      <c r="B2494" s="1"/>
      <c r="C2494" s="1"/>
      <c r="D2494" s="1"/>
      <c r="E2494" s="1"/>
      <c r="F2494" s="1"/>
      <c r="G2494" s="1"/>
      <c r="H2494" s="1"/>
      <c r="I2494" s="1"/>
      <c r="J2494" s="1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</row>
    <row r="2495" spans="2:73" s="38" customFormat="1">
      <c r="B2495" s="1"/>
      <c r="C2495" s="1"/>
      <c r="D2495" s="1"/>
      <c r="E2495" s="1"/>
      <c r="F2495" s="1"/>
      <c r="G2495" s="1"/>
      <c r="H2495" s="1"/>
      <c r="I2495" s="1"/>
      <c r="J2495" s="1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</row>
    <row r="2496" spans="2:73" s="38" customFormat="1">
      <c r="B2496" s="1"/>
      <c r="C2496" s="1"/>
      <c r="D2496" s="1"/>
      <c r="E2496" s="1"/>
      <c r="F2496" s="1"/>
      <c r="G2496" s="1"/>
      <c r="H2496" s="1"/>
      <c r="I2496" s="1"/>
      <c r="J2496" s="1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</row>
    <row r="2497" spans="2:73" s="38" customFormat="1">
      <c r="B2497" s="1"/>
      <c r="C2497" s="1"/>
      <c r="D2497" s="1"/>
      <c r="E2497" s="1"/>
      <c r="F2497" s="1"/>
      <c r="G2497" s="1"/>
      <c r="H2497" s="1"/>
      <c r="I2497" s="1"/>
      <c r="J2497" s="1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</row>
    <row r="2498" spans="2:73" s="38" customFormat="1">
      <c r="B2498" s="1"/>
      <c r="C2498" s="1"/>
      <c r="D2498" s="1"/>
      <c r="E2498" s="1"/>
      <c r="F2498" s="1"/>
      <c r="G2498" s="1"/>
      <c r="H2498" s="1"/>
      <c r="I2498" s="1"/>
      <c r="J2498" s="1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</row>
    <row r="2499" spans="2:73" s="38" customFormat="1">
      <c r="B2499" s="1"/>
      <c r="C2499" s="1"/>
      <c r="D2499" s="1"/>
      <c r="E2499" s="1"/>
      <c r="F2499" s="1"/>
      <c r="G2499" s="1"/>
      <c r="H2499" s="1"/>
      <c r="I2499" s="1"/>
      <c r="J2499" s="1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</row>
    <row r="2500" spans="2:73" s="38" customFormat="1">
      <c r="B2500" s="1"/>
      <c r="C2500" s="1"/>
      <c r="D2500" s="1"/>
      <c r="E2500" s="1"/>
      <c r="F2500" s="1"/>
      <c r="G2500" s="1"/>
      <c r="H2500" s="1"/>
      <c r="I2500" s="1"/>
      <c r="J2500" s="1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</row>
    <row r="2501" spans="2:73" s="38" customFormat="1">
      <c r="B2501" s="1"/>
      <c r="C2501" s="1"/>
      <c r="D2501" s="1"/>
      <c r="E2501" s="1"/>
      <c r="F2501" s="1"/>
      <c r="G2501" s="1"/>
      <c r="H2501" s="1"/>
      <c r="I2501" s="1"/>
      <c r="J2501" s="1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</row>
    <row r="2502" spans="2:73" s="38" customFormat="1">
      <c r="B2502" s="1"/>
      <c r="C2502" s="1"/>
      <c r="D2502" s="1"/>
      <c r="E2502" s="1"/>
      <c r="F2502" s="1"/>
      <c r="G2502" s="1"/>
      <c r="H2502" s="1"/>
      <c r="I2502" s="1"/>
      <c r="J2502" s="1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</row>
    <row r="2503" spans="2:73" s="38" customFormat="1">
      <c r="B2503" s="1"/>
      <c r="C2503" s="1"/>
      <c r="D2503" s="1"/>
      <c r="E2503" s="1"/>
      <c r="F2503" s="1"/>
      <c r="G2503" s="1"/>
      <c r="H2503" s="1"/>
      <c r="I2503" s="1"/>
      <c r="J2503" s="1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</row>
    <row r="2504" spans="2:73" s="38" customFormat="1">
      <c r="B2504" s="1"/>
      <c r="C2504" s="1"/>
      <c r="D2504" s="1"/>
      <c r="E2504" s="1"/>
      <c r="F2504" s="1"/>
      <c r="G2504" s="1"/>
      <c r="H2504" s="1"/>
      <c r="I2504" s="1"/>
      <c r="J2504" s="1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</row>
    <row r="2505" spans="2:73" s="38" customFormat="1">
      <c r="B2505" s="1"/>
      <c r="C2505" s="1"/>
      <c r="D2505" s="1"/>
      <c r="E2505" s="1"/>
      <c r="F2505" s="1"/>
      <c r="G2505" s="1"/>
      <c r="H2505" s="1"/>
      <c r="I2505" s="1"/>
      <c r="J2505" s="1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</row>
    <row r="2506" spans="2:73" s="38" customFormat="1">
      <c r="B2506" s="1"/>
      <c r="C2506" s="1"/>
      <c r="D2506" s="1"/>
      <c r="E2506" s="1"/>
      <c r="F2506" s="1"/>
      <c r="G2506" s="1"/>
      <c r="H2506" s="1"/>
      <c r="I2506" s="1"/>
      <c r="J2506" s="1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</row>
    <row r="2507" spans="2:73" s="38" customFormat="1">
      <c r="B2507" s="1"/>
      <c r="C2507" s="1"/>
      <c r="D2507" s="1"/>
      <c r="E2507" s="1"/>
      <c r="F2507" s="1"/>
      <c r="G2507" s="1"/>
      <c r="H2507" s="1"/>
      <c r="I2507" s="1"/>
      <c r="J2507" s="1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</row>
    <row r="2508" spans="2:73" s="38" customFormat="1">
      <c r="B2508" s="1"/>
      <c r="C2508" s="1"/>
      <c r="D2508" s="1"/>
      <c r="E2508" s="1"/>
      <c r="F2508" s="1"/>
      <c r="G2508" s="1"/>
      <c r="H2508" s="1"/>
      <c r="I2508" s="1"/>
      <c r="J2508" s="1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</row>
    <row r="2509" spans="2:73" s="38" customFormat="1">
      <c r="B2509" s="1"/>
      <c r="C2509" s="1"/>
      <c r="D2509" s="1"/>
      <c r="E2509" s="1"/>
      <c r="F2509" s="1"/>
      <c r="G2509" s="1"/>
      <c r="H2509" s="1"/>
      <c r="I2509" s="1"/>
      <c r="J2509" s="1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</row>
    <row r="2510" spans="2:73" s="38" customFormat="1">
      <c r="B2510" s="1"/>
      <c r="C2510" s="1"/>
      <c r="D2510" s="1"/>
      <c r="E2510" s="1"/>
      <c r="F2510" s="1"/>
      <c r="G2510" s="1"/>
      <c r="H2510" s="1"/>
      <c r="I2510" s="1"/>
      <c r="J2510" s="1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</row>
    <row r="2511" spans="2:73" s="38" customFormat="1">
      <c r="B2511" s="1"/>
      <c r="C2511" s="1"/>
      <c r="D2511" s="1"/>
      <c r="E2511" s="1"/>
      <c r="F2511" s="1"/>
      <c r="G2511" s="1"/>
      <c r="H2511" s="1"/>
      <c r="I2511" s="1"/>
      <c r="J2511" s="1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</row>
    <row r="2512" spans="2:73" s="38" customFormat="1">
      <c r="B2512" s="1"/>
      <c r="C2512" s="1"/>
      <c r="D2512" s="1"/>
      <c r="E2512" s="1"/>
      <c r="F2512" s="1"/>
      <c r="G2512" s="1"/>
      <c r="H2512" s="1"/>
      <c r="I2512" s="1"/>
      <c r="J2512" s="1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</row>
    <row r="2513" spans="2:73" s="38" customFormat="1">
      <c r="B2513" s="1"/>
      <c r="C2513" s="1"/>
      <c r="D2513" s="1"/>
      <c r="E2513" s="1"/>
      <c r="F2513" s="1"/>
      <c r="G2513" s="1"/>
      <c r="H2513" s="1"/>
      <c r="I2513" s="1"/>
      <c r="J2513" s="1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</row>
    <row r="2514" spans="2:73" s="38" customFormat="1">
      <c r="B2514" s="1"/>
      <c r="C2514" s="1"/>
      <c r="D2514" s="1"/>
      <c r="E2514" s="1"/>
      <c r="F2514" s="1"/>
      <c r="G2514" s="1"/>
      <c r="H2514" s="1"/>
      <c r="I2514" s="1"/>
      <c r="J2514" s="1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</row>
    <row r="2515" spans="2:73" s="38" customFormat="1">
      <c r="B2515" s="1"/>
      <c r="C2515" s="1"/>
      <c r="D2515" s="1"/>
      <c r="E2515" s="1"/>
      <c r="F2515" s="1"/>
      <c r="G2515" s="1"/>
      <c r="H2515" s="1"/>
      <c r="I2515" s="1"/>
      <c r="J2515" s="1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</row>
    <row r="2516" spans="2:73" s="38" customFormat="1">
      <c r="B2516" s="1"/>
      <c r="C2516" s="1"/>
      <c r="D2516" s="1"/>
      <c r="E2516" s="1"/>
      <c r="F2516" s="1"/>
      <c r="G2516" s="1"/>
      <c r="H2516" s="1"/>
      <c r="I2516" s="1"/>
      <c r="J2516" s="1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</row>
    <row r="2517" spans="2:73" s="38" customFormat="1">
      <c r="B2517" s="1"/>
      <c r="C2517" s="1"/>
      <c r="D2517" s="1"/>
      <c r="E2517" s="1"/>
      <c r="F2517" s="1"/>
      <c r="G2517" s="1"/>
      <c r="H2517" s="1"/>
      <c r="I2517" s="1"/>
      <c r="J2517" s="1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</row>
    <row r="2518" spans="2:73" s="38" customFormat="1">
      <c r="B2518" s="1"/>
      <c r="C2518" s="1"/>
      <c r="D2518" s="1"/>
      <c r="E2518" s="1"/>
      <c r="F2518" s="1"/>
      <c r="G2518" s="1"/>
      <c r="H2518" s="1"/>
      <c r="I2518" s="1"/>
      <c r="J2518" s="1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</row>
    <row r="2519" spans="2:73" s="38" customFormat="1">
      <c r="B2519" s="1"/>
      <c r="C2519" s="1"/>
      <c r="D2519" s="1"/>
      <c r="E2519" s="1"/>
      <c r="F2519" s="1"/>
      <c r="G2519" s="1"/>
      <c r="H2519" s="1"/>
      <c r="I2519" s="1"/>
      <c r="J2519" s="1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</row>
    <row r="2520" spans="2:73" s="38" customFormat="1">
      <c r="B2520" s="1"/>
      <c r="C2520" s="1"/>
      <c r="D2520" s="1"/>
      <c r="E2520" s="1"/>
      <c r="F2520" s="1"/>
      <c r="G2520" s="1"/>
      <c r="H2520" s="1"/>
      <c r="I2520" s="1"/>
      <c r="J2520" s="1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</row>
    <row r="2521" spans="2:73" s="38" customFormat="1">
      <c r="B2521" s="1"/>
      <c r="C2521" s="1"/>
      <c r="D2521" s="1"/>
      <c r="E2521" s="1"/>
      <c r="F2521" s="1"/>
      <c r="G2521" s="1"/>
      <c r="H2521" s="1"/>
      <c r="I2521" s="1"/>
      <c r="J2521" s="1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</row>
    <row r="2522" spans="2:73" s="38" customFormat="1">
      <c r="B2522" s="1"/>
      <c r="C2522" s="1"/>
      <c r="D2522" s="1"/>
      <c r="E2522" s="1"/>
      <c r="F2522" s="1"/>
      <c r="G2522" s="1"/>
      <c r="H2522" s="1"/>
      <c r="I2522" s="1"/>
      <c r="J2522" s="1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</row>
    <row r="2523" spans="2:73" s="38" customFormat="1">
      <c r="B2523" s="1"/>
      <c r="C2523" s="1"/>
      <c r="D2523" s="1"/>
      <c r="E2523" s="1"/>
      <c r="F2523" s="1"/>
      <c r="G2523" s="1"/>
      <c r="H2523" s="1"/>
      <c r="I2523" s="1"/>
      <c r="J2523" s="1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</row>
    <row r="2524" spans="2:73" s="38" customFormat="1">
      <c r="B2524" s="1"/>
      <c r="C2524" s="1"/>
      <c r="D2524" s="1"/>
      <c r="E2524" s="1"/>
      <c r="F2524" s="1"/>
      <c r="G2524" s="1"/>
      <c r="H2524" s="1"/>
      <c r="I2524" s="1"/>
      <c r="J2524" s="1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</row>
    <row r="2525" spans="2:73" s="38" customFormat="1">
      <c r="B2525" s="1"/>
      <c r="C2525" s="1"/>
      <c r="D2525" s="1"/>
      <c r="E2525" s="1"/>
      <c r="F2525" s="1"/>
      <c r="G2525" s="1"/>
      <c r="H2525" s="1"/>
      <c r="I2525" s="1"/>
      <c r="J2525" s="1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</row>
    <row r="2526" spans="2:73" s="38" customFormat="1">
      <c r="B2526" s="1"/>
      <c r="C2526" s="1"/>
      <c r="D2526" s="1"/>
      <c r="E2526" s="1"/>
      <c r="F2526" s="1"/>
      <c r="G2526" s="1"/>
      <c r="H2526" s="1"/>
      <c r="I2526" s="1"/>
      <c r="J2526" s="1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</row>
    <row r="2527" spans="2:73" s="38" customFormat="1">
      <c r="B2527" s="1"/>
      <c r="C2527" s="1"/>
      <c r="D2527" s="1"/>
      <c r="E2527" s="1"/>
      <c r="F2527" s="1"/>
      <c r="G2527" s="1"/>
      <c r="H2527" s="1"/>
      <c r="I2527" s="1"/>
      <c r="J2527" s="1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</row>
    <row r="2528" spans="2:73" s="38" customFormat="1">
      <c r="B2528" s="1"/>
      <c r="C2528" s="1"/>
      <c r="D2528" s="1"/>
      <c r="E2528" s="1"/>
      <c r="F2528" s="1"/>
      <c r="G2528" s="1"/>
      <c r="H2528" s="1"/>
      <c r="I2528" s="1"/>
      <c r="J2528" s="1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</row>
    <row r="2529" spans="2:73" s="38" customFormat="1">
      <c r="B2529" s="1"/>
      <c r="C2529" s="1"/>
      <c r="D2529" s="1"/>
      <c r="E2529" s="1"/>
      <c r="F2529" s="1"/>
      <c r="G2529" s="1"/>
      <c r="H2529" s="1"/>
      <c r="I2529" s="1"/>
      <c r="J2529" s="1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</row>
    <row r="2530" spans="2:73" s="38" customFormat="1">
      <c r="B2530" s="1"/>
      <c r="C2530" s="1"/>
      <c r="D2530" s="1"/>
      <c r="E2530" s="1"/>
      <c r="F2530" s="1"/>
      <c r="G2530" s="1"/>
      <c r="H2530" s="1"/>
      <c r="I2530" s="1"/>
      <c r="J2530" s="1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</row>
    <row r="2531" spans="2:73" s="38" customFormat="1">
      <c r="B2531" s="1"/>
      <c r="C2531" s="1"/>
      <c r="D2531" s="1"/>
      <c r="E2531" s="1"/>
      <c r="F2531" s="1"/>
      <c r="G2531" s="1"/>
      <c r="H2531" s="1"/>
      <c r="I2531" s="1"/>
      <c r="J2531" s="1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</row>
    <row r="2532" spans="2:73" s="38" customFormat="1">
      <c r="B2532" s="1"/>
      <c r="C2532" s="1"/>
      <c r="D2532" s="1"/>
      <c r="E2532" s="1"/>
      <c r="F2532" s="1"/>
      <c r="G2532" s="1"/>
      <c r="H2532" s="1"/>
      <c r="I2532" s="1"/>
      <c r="J2532" s="1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</row>
    <row r="2533" spans="2:73" s="38" customFormat="1">
      <c r="B2533" s="1"/>
      <c r="C2533" s="1"/>
      <c r="D2533" s="1"/>
      <c r="E2533" s="1"/>
      <c r="F2533" s="1"/>
      <c r="G2533" s="1"/>
      <c r="H2533" s="1"/>
      <c r="I2533" s="1"/>
      <c r="J2533" s="1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</row>
    <row r="2534" spans="2:73" s="38" customFormat="1">
      <c r="B2534" s="1"/>
      <c r="C2534" s="1"/>
      <c r="D2534" s="1"/>
      <c r="E2534" s="1"/>
      <c r="F2534" s="1"/>
      <c r="G2534" s="1"/>
      <c r="H2534" s="1"/>
      <c r="I2534" s="1"/>
      <c r="J2534" s="1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</row>
    <row r="2535" spans="2:73" s="38" customFormat="1">
      <c r="B2535" s="1"/>
      <c r="C2535" s="1"/>
      <c r="D2535" s="1"/>
      <c r="E2535" s="1"/>
      <c r="F2535" s="1"/>
      <c r="G2535" s="1"/>
      <c r="H2535" s="1"/>
      <c r="I2535" s="1"/>
      <c r="J2535" s="1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</row>
    <row r="2536" spans="2:73" s="38" customFormat="1">
      <c r="B2536" s="1"/>
      <c r="C2536" s="1"/>
      <c r="D2536" s="1"/>
      <c r="E2536" s="1"/>
      <c r="F2536" s="1"/>
      <c r="G2536" s="1"/>
      <c r="H2536" s="1"/>
      <c r="I2536" s="1"/>
      <c r="J2536" s="1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</row>
    <row r="2537" spans="2:73" s="38" customFormat="1">
      <c r="B2537" s="1"/>
      <c r="C2537" s="1"/>
      <c r="D2537" s="1"/>
      <c r="E2537" s="1"/>
      <c r="F2537" s="1"/>
      <c r="G2537" s="1"/>
      <c r="H2537" s="1"/>
      <c r="I2537" s="1"/>
      <c r="J2537" s="1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</row>
    <row r="2538" spans="2:73" s="38" customFormat="1">
      <c r="B2538" s="1"/>
      <c r="C2538" s="1"/>
      <c r="D2538" s="1"/>
      <c r="E2538" s="1"/>
      <c r="F2538" s="1"/>
      <c r="G2538" s="1"/>
      <c r="H2538" s="1"/>
      <c r="I2538" s="1"/>
      <c r="J2538" s="1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</row>
    <row r="2539" spans="2:73" s="38" customFormat="1">
      <c r="B2539" s="1"/>
      <c r="C2539" s="1"/>
      <c r="D2539" s="1"/>
      <c r="E2539" s="1"/>
      <c r="F2539" s="1"/>
      <c r="G2539" s="1"/>
      <c r="H2539" s="1"/>
      <c r="I2539" s="1"/>
      <c r="J2539" s="1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</row>
    <row r="2540" spans="2:73" s="38" customFormat="1">
      <c r="B2540" s="1"/>
      <c r="C2540" s="1"/>
      <c r="D2540" s="1"/>
      <c r="E2540" s="1"/>
      <c r="F2540" s="1"/>
      <c r="G2540" s="1"/>
      <c r="H2540" s="1"/>
      <c r="I2540" s="1"/>
      <c r="J2540" s="1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</row>
    <row r="2541" spans="2:73" s="38" customFormat="1">
      <c r="B2541" s="1"/>
      <c r="C2541" s="1"/>
      <c r="D2541" s="1"/>
      <c r="E2541" s="1"/>
      <c r="F2541" s="1"/>
      <c r="G2541" s="1"/>
      <c r="H2541" s="1"/>
      <c r="I2541" s="1"/>
      <c r="J2541" s="1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</row>
    <row r="2542" spans="2:73" s="38" customFormat="1">
      <c r="B2542" s="1"/>
      <c r="C2542" s="1"/>
      <c r="D2542" s="1"/>
      <c r="E2542" s="1"/>
      <c r="F2542" s="1"/>
      <c r="G2542" s="1"/>
      <c r="H2542" s="1"/>
      <c r="I2542" s="1"/>
      <c r="J2542" s="1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</row>
    <row r="2543" spans="2:73" s="38" customFormat="1">
      <c r="B2543" s="1"/>
      <c r="C2543" s="1"/>
      <c r="D2543" s="1"/>
      <c r="E2543" s="1"/>
      <c r="F2543" s="1"/>
      <c r="G2543" s="1"/>
      <c r="H2543" s="1"/>
      <c r="I2543" s="1"/>
      <c r="J2543" s="1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</row>
    <row r="2544" spans="2:73" s="38" customFormat="1">
      <c r="B2544" s="1"/>
      <c r="C2544" s="1"/>
      <c r="D2544" s="1"/>
      <c r="E2544" s="1"/>
      <c r="F2544" s="1"/>
      <c r="G2544" s="1"/>
      <c r="H2544" s="1"/>
      <c r="I2544" s="1"/>
      <c r="J2544" s="1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</row>
    <row r="2545" spans="2:73" s="38" customFormat="1">
      <c r="B2545" s="1"/>
      <c r="C2545" s="1"/>
      <c r="D2545" s="1"/>
      <c r="E2545" s="1"/>
      <c r="F2545" s="1"/>
      <c r="G2545" s="1"/>
      <c r="H2545" s="1"/>
      <c r="I2545" s="1"/>
      <c r="J2545" s="1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</row>
    <row r="2546" spans="2:73" s="38" customFormat="1">
      <c r="B2546" s="1"/>
      <c r="C2546" s="1"/>
      <c r="D2546" s="1"/>
      <c r="E2546" s="1"/>
      <c r="F2546" s="1"/>
      <c r="G2546" s="1"/>
      <c r="H2546" s="1"/>
      <c r="I2546" s="1"/>
      <c r="J2546" s="1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</row>
    <row r="2547" spans="2:73" s="38" customFormat="1">
      <c r="B2547" s="1"/>
      <c r="C2547" s="1"/>
      <c r="D2547" s="1"/>
      <c r="E2547" s="1"/>
      <c r="F2547" s="1"/>
      <c r="G2547" s="1"/>
      <c r="H2547" s="1"/>
      <c r="I2547" s="1"/>
      <c r="J2547" s="1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</row>
    <row r="2548" spans="2:73" s="38" customFormat="1">
      <c r="B2548" s="1"/>
      <c r="C2548" s="1"/>
      <c r="D2548" s="1"/>
      <c r="E2548" s="1"/>
      <c r="F2548" s="1"/>
      <c r="G2548" s="1"/>
      <c r="H2548" s="1"/>
      <c r="I2548" s="1"/>
      <c r="J2548" s="1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</row>
    <row r="2549" spans="2:73" s="38" customFormat="1">
      <c r="B2549" s="1"/>
      <c r="C2549" s="1"/>
      <c r="D2549" s="1"/>
      <c r="E2549" s="1"/>
      <c r="F2549" s="1"/>
      <c r="G2549" s="1"/>
      <c r="H2549" s="1"/>
      <c r="I2549" s="1"/>
      <c r="J2549" s="1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</row>
    <row r="2550" spans="2:73" s="38" customFormat="1">
      <c r="B2550" s="1"/>
      <c r="C2550" s="1"/>
      <c r="D2550" s="1"/>
      <c r="E2550" s="1"/>
      <c r="F2550" s="1"/>
      <c r="G2550" s="1"/>
      <c r="H2550" s="1"/>
      <c r="I2550" s="1"/>
      <c r="J2550" s="1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</row>
    <row r="2551" spans="2:73" s="38" customFormat="1">
      <c r="B2551" s="1"/>
      <c r="C2551" s="1"/>
      <c r="D2551" s="1"/>
      <c r="E2551" s="1"/>
      <c r="F2551" s="1"/>
      <c r="G2551" s="1"/>
      <c r="H2551" s="1"/>
      <c r="I2551" s="1"/>
      <c r="J2551" s="1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</row>
    <row r="2552" spans="2:73" s="38" customFormat="1">
      <c r="B2552" s="1"/>
      <c r="C2552" s="1"/>
      <c r="D2552" s="1"/>
      <c r="E2552" s="1"/>
      <c r="F2552" s="1"/>
      <c r="G2552" s="1"/>
      <c r="H2552" s="1"/>
      <c r="I2552" s="1"/>
      <c r="J2552" s="1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</row>
    <row r="2553" spans="2:73" s="38" customFormat="1">
      <c r="B2553" s="1"/>
      <c r="C2553" s="1"/>
      <c r="D2553" s="1"/>
      <c r="E2553" s="1"/>
      <c r="F2553" s="1"/>
      <c r="G2553" s="1"/>
      <c r="H2553" s="1"/>
      <c r="I2553" s="1"/>
      <c r="J2553" s="1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</row>
    <row r="2554" spans="2:73" s="38" customFormat="1">
      <c r="B2554" s="1"/>
      <c r="C2554" s="1"/>
      <c r="D2554" s="1"/>
      <c r="E2554" s="1"/>
      <c r="F2554" s="1"/>
      <c r="G2554" s="1"/>
      <c r="H2554" s="1"/>
      <c r="I2554" s="1"/>
      <c r="J2554" s="1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</row>
    <row r="2555" spans="2:73" s="38" customFormat="1">
      <c r="B2555" s="1"/>
      <c r="C2555" s="1"/>
      <c r="D2555" s="1"/>
      <c r="E2555" s="1"/>
      <c r="F2555" s="1"/>
      <c r="G2555" s="1"/>
      <c r="H2555" s="1"/>
      <c r="I2555" s="1"/>
      <c r="J2555" s="1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</row>
    <row r="2556" spans="2:73" s="38" customFormat="1">
      <c r="B2556" s="1"/>
      <c r="C2556" s="1"/>
      <c r="D2556" s="1"/>
      <c r="E2556" s="1"/>
      <c r="F2556" s="1"/>
      <c r="G2556" s="1"/>
      <c r="H2556" s="1"/>
      <c r="I2556" s="1"/>
      <c r="J2556" s="1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</row>
    <row r="2557" spans="2:73" s="38" customFormat="1">
      <c r="B2557" s="1"/>
      <c r="C2557" s="1"/>
      <c r="D2557" s="1"/>
      <c r="E2557" s="1"/>
      <c r="F2557" s="1"/>
      <c r="G2557" s="1"/>
      <c r="H2557" s="1"/>
      <c r="I2557" s="1"/>
      <c r="J2557" s="1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</row>
    <row r="2558" spans="2:73" s="38" customFormat="1">
      <c r="B2558" s="1"/>
      <c r="C2558" s="1"/>
      <c r="D2558" s="1"/>
      <c r="E2558" s="1"/>
      <c r="F2558" s="1"/>
      <c r="G2558" s="1"/>
      <c r="H2558" s="1"/>
      <c r="I2558" s="1"/>
      <c r="J2558" s="1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</row>
    <row r="2559" spans="2:73" s="38" customFormat="1">
      <c r="B2559" s="1"/>
      <c r="C2559" s="1"/>
      <c r="D2559" s="1"/>
      <c r="E2559" s="1"/>
      <c r="F2559" s="1"/>
      <c r="G2559" s="1"/>
      <c r="H2559" s="1"/>
      <c r="I2559" s="1"/>
      <c r="J2559" s="1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</row>
    <row r="2560" spans="2:73" s="38" customFormat="1">
      <c r="B2560" s="1"/>
      <c r="C2560" s="1"/>
      <c r="D2560" s="1"/>
      <c r="E2560" s="1"/>
      <c r="F2560" s="1"/>
      <c r="G2560" s="1"/>
      <c r="H2560" s="1"/>
      <c r="I2560" s="1"/>
      <c r="J2560" s="1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</row>
    <row r="2561" spans="2:73" s="38" customFormat="1">
      <c r="B2561" s="1"/>
      <c r="C2561" s="1"/>
      <c r="D2561" s="1"/>
      <c r="E2561" s="1"/>
      <c r="F2561" s="1"/>
      <c r="G2561" s="1"/>
      <c r="H2561" s="1"/>
      <c r="I2561" s="1"/>
      <c r="J2561" s="1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</row>
    <row r="2562" spans="2:73" s="38" customFormat="1">
      <c r="B2562" s="1"/>
      <c r="C2562" s="1"/>
      <c r="D2562" s="1"/>
      <c r="E2562" s="1"/>
      <c r="F2562" s="1"/>
      <c r="G2562" s="1"/>
      <c r="H2562" s="1"/>
      <c r="I2562" s="1"/>
      <c r="J2562" s="1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</row>
    <row r="2563" spans="2:73" s="38" customFormat="1">
      <c r="B2563" s="1"/>
      <c r="C2563" s="1"/>
      <c r="D2563" s="1"/>
      <c r="E2563" s="1"/>
      <c r="F2563" s="1"/>
      <c r="G2563" s="1"/>
      <c r="H2563" s="1"/>
      <c r="I2563" s="1"/>
      <c r="J2563" s="1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</row>
    <row r="2564" spans="2:73" s="38" customFormat="1">
      <c r="B2564" s="1"/>
      <c r="C2564" s="1"/>
      <c r="D2564" s="1"/>
      <c r="E2564" s="1"/>
      <c r="F2564" s="1"/>
      <c r="G2564" s="1"/>
      <c r="H2564" s="1"/>
      <c r="I2564" s="1"/>
      <c r="J2564" s="1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</row>
    <row r="2565" spans="2:73" s="38" customFormat="1">
      <c r="B2565" s="1"/>
      <c r="C2565" s="1"/>
      <c r="D2565" s="1"/>
      <c r="E2565" s="1"/>
      <c r="F2565" s="1"/>
      <c r="G2565" s="1"/>
      <c r="H2565" s="1"/>
      <c r="I2565" s="1"/>
      <c r="J2565" s="1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</row>
    <row r="2566" spans="2:73" s="38" customFormat="1">
      <c r="B2566" s="1"/>
      <c r="C2566" s="1"/>
      <c r="D2566" s="1"/>
      <c r="E2566" s="1"/>
      <c r="F2566" s="1"/>
      <c r="G2566" s="1"/>
      <c r="H2566" s="1"/>
      <c r="I2566" s="1"/>
      <c r="J2566" s="1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</row>
    <row r="2567" spans="2:73" s="38" customFormat="1">
      <c r="B2567" s="1"/>
      <c r="C2567" s="1"/>
      <c r="D2567" s="1"/>
      <c r="E2567" s="1"/>
      <c r="F2567" s="1"/>
      <c r="G2567" s="1"/>
      <c r="H2567" s="1"/>
      <c r="I2567" s="1"/>
      <c r="J2567" s="1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</row>
    <row r="2568" spans="2:73" s="38" customFormat="1">
      <c r="B2568" s="1"/>
      <c r="C2568" s="1"/>
      <c r="D2568" s="1"/>
      <c r="E2568" s="1"/>
      <c r="F2568" s="1"/>
      <c r="G2568" s="1"/>
      <c r="H2568" s="1"/>
      <c r="I2568" s="1"/>
      <c r="J2568" s="1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</row>
    <row r="2569" spans="2:73" s="38" customFormat="1">
      <c r="B2569" s="1"/>
      <c r="C2569" s="1"/>
      <c r="D2569" s="1"/>
      <c r="E2569" s="1"/>
      <c r="F2569" s="1"/>
      <c r="G2569" s="1"/>
      <c r="H2569" s="1"/>
      <c r="I2569" s="1"/>
      <c r="J2569" s="1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</row>
    <row r="2570" spans="2:73" s="38" customFormat="1">
      <c r="B2570" s="1"/>
      <c r="C2570" s="1"/>
      <c r="D2570" s="1"/>
      <c r="E2570" s="1"/>
      <c r="F2570" s="1"/>
      <c r="G2570" s="1"/>
      <c r="H2570" s="1"/>
      <c r="I2570" s="1"/>
      <c r="J2570" s="1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</row>
    <row r="2571" spans="2:73" s="38" customFormat="1">
      <c r="B2571" s="1"/>
      <c r="C2571" s="1"/>
      <c r="D2571" s="1"/>
      <c r="E2571" s="1"/>
      <c r="F2571" s="1"/>
      <c r="G2571" s="1"/>
      <c r="H2571" s="1"/>
      <c r="I2571" s="1"/>
      <c r="J2571" s="1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</row>
    <row r="2572" spans="2:73" s="38" customFormat="1">
      <c r="B2572" s="1"/>
      <c r="C2572" s="1"/>
      <c r="D2572" s="1"/>
      <c r="E2572" s="1"/>
      <c r="F2572" s="1"/>
      <c r="G2572" s="1"/>
      <c r="H2572" s="1"/>
      <c r="I2572" s="1"/>
      <c r="J2572" s="1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</row>
    <row r="2573" spans="2:73" s="38" customFormat="1">
      <c r="B2573" s="1"/>
      <c r="C2573" s="1"/>
      <c r="D2573" s="1"/>
      <c r="E2573" s="1"/>
      <c r="F2573" s="1"/>
      <c r="G2573" s="1"/>
      <c r="H2573" s="1"/>
      <c r="I2573" s="1"/>
      <c r="J2573" s="1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</row>
    <row r="2574" spans="2:73" s="38" customFormat="1">
      <c r="B2574" s="1"/>
      <c r="C2574" s="1"/>
      <c r="D2574" s="1"/>
      <c r="E2574" s="1"/>
      <c r="F2574" s="1"/>
      <c r="G2574" s="1"/>
      <c r="H2574" s="1"/>
      <c r="I2574" s="1"/>
      <c r="J2574" s="1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</row>
    <row r="2575" spans="2:73" s="38" customFormat="1">
      <c r="B2575" s="1"/>
      <c r="C2575" s="1"/>
      <c r="D2575" s="1"/>
      <c r="E2575" s="1"/>
      <c r="F2575" s="1"/>
      <c r="G2575" s="1"/>
      <c r="H2575" s="1"/>
      <c r="I2575" s="1"/>
      <c r="J2575" s="1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</row>
    <row r="2576" spans="2:73" s="38" customFormat="1">
      <c r="B2576" s="1"/>
      <c r="C2576" s="1"/>
      <c r="D2576" s="1"/>
      <c r="E2576" s="1"/>
      <c r="F2576" s="1"/>
      <c r="G2576" s="1"/>
      <c r="H2576" s="1"/>
      <c r="I2576" s="1"/>
      <c r="J2576" s="1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</row>
    <row r="2577" spans="2:73" s="38" customFormat="1">
      <c r="B2577" s="1"/>
      <c r="C2577" s="1"/>
      <c r="D2577" s="1"/>
      <c r="E2577" s="1"/>
      <c r="F2577" s="1"/>
      <c r="G2577" s="1"/>
      <c r="H2577" s="1"/>
      <c r="I2577" s="1"/>
      <c r="J2577" s="1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</row>
    <row r="2578" spans="2:73" s="38" customFormat="1">
      <c r="B2578" s="1"/>
      <c r="C2578" s="1"/>
      <c r="D2578" s="1"/>
      <c r="E2578" s="1"/>
      <c r="F2578" s="1"/>
      <c r="G2578" s="1"/>
      <c r="H2578" s="1"/>
      <c r="I2578" s="1"/>
      <c r="J2578" s="1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</row>
    <row r="2579" spans="2:73" s="38" customFormat="1">
      <c r="B2579" s="1"/>
      <c r="C2579" s="1"/>
      <c r="D2579" s="1"/>
      <c r="E2579" s="1"/>
      <c r="F2579" s="1"/>
      <c r="G2579" s="1"/>
      <c r="H2579" s="1"/>
      <c r="I2579" s="1"/>
      <c r="J2579" s="1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</row>
    <row r="2580" spans="2:73" s="38" customFormat="1">
      <c r="B2580" s="1"/>
      <c r="C2580" s="1"/>
      <c r="D2580" s="1"/>
      <c r="E2580" s="1"/>
      <c r="F2580" s="1"/>
      <c r="G2580" s="1"/>
      <c r="H2580" s="1"/>
      <c r="I2580" s="1"/>
      <c r="J2580" s="1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</row>
    <row r="2581" spans="2:73" s="38" customFormat="1">
      <c r="B2581" s="1"/>
      <c r="C2581" s="1"/>
      <c r="D2581" s="1"/>
      <c r="E2581" s="1"/>
      <c r="F2581" s="1"/>
      <c r="G2581" s="1"/>
      <c r="H2581" s="1"/>
      <c r="I2581" s="1"/>
      <c r="J2581" s="1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</row>
    <row r="2582" spans="2:73" s="38" customFormat="1">
      <c r="B2582" s="1"/>
      <c r="C2582" s="1"/>
      <c r="D2582" s="1"/>
      <c r="E2582" s="1"/>
      <c r="F2582" s="1"/>
      <c r="G2582" s="1"/>
      <c r="H2582" s="1"/>
      <c r="I2582" s="1"/>
      <c r="J2582" s="1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</row>
    <row r="2583" spans="2:73" s="38" customFormat="1">
      <c r="B2583" s="1"/>
      <c r="C2583" s="1"/>
      <c r="D2583" s="1"/>
      <c r="E2583" s="1"/>
      <c r="F2583" s="1"/>
      <c r="G2583" s="1"/>
      <c r="H2583" s="1"/>
      <c r="I2583" s="1"/>
      <c r="J2583" s="1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</row>
    <row r="2584" spans="2:73" s="38" customFormat="1">
      <c r="B2584" s="1"/>
      <c r="C2584" s="1"/>
      <c r="D2584" s="1"/>
      <c r="E2584" s="1"/>
      <c r="F2584" s="1"/>
      <c r="G2584" s="1"/>
      <c r="H2584" s="1"/>
      <c r="I2584" s="1"/>
      <c r="J2584" s="1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</row>
    <row r="2585" spans="2:73" s="38" customFormat="1">
      <c r="B2585" s="1"/>
      <c r="C2585" s="1"/>
      <c r="D2585" s="1"/>
      <c r="E2585" s="1"/>
      <c r="F2585" s="1"/>
      <c r="G2585" s="1"/>
      <c r="H2585" s="1"/>
      <c r="I2585" s="1"/>
      <c r="J2585" s="1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</row>
    <row r="2586" spans="2:73" s="38" customFormat="1">
      <c r="B2586" s="1"/>
      <c r="C2586" s="1"/>
      <c r="D2586" s="1"/>
      <c r="E2586" s="1"/>
      <c r="F2586" s="1"/>
      <c r="G2586" s="1"/>
      <c r="H2586" s="1"/>
      <c r="I2586" s="1"/>
      <c r="J2586" s="1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</row>
    <row r="2587" spans="2:73" s="38" customFormat="1">
      <c r="B2587" s="1"/>
      <c r="C2587" s="1"/>
      <c r="D2587" s="1"/>
      <c r="E2587" s="1"/>
      <c r="F2587" s="1"/>
      <c r="G2587" s="1"/>
      <c r="H2587" s="1"/>
      <c r="I2587" s="1"/>
      <c r="J2587" s="1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</row>
    <row r="2588" spans="2:73" s="38" customFormat="1">
      <c r="B2588" s="1"/>
      <c r="C2588" s="1"/>
      <c r="D2588" s="1"/>
      <c r="E2588" s="1"/>
      <c r="F2588" s="1"/>
      <c r="G2588" s="1"/>
      <c r="H2588" s="1"/>
      <c r="I2588" s="1"/>
      <c r="J2588" s="1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</row>
    <row r="2589" spans="2:73" s="38" customFormat="1">
      <c r="B2589" s="1"/>
      <c r="C2589" s="1"/>
      <c r="D2589" s="1"/>
      <c r="E2589" s="1"/>
      <c r="F2589" s="1"/>
      <c r="G2589" s="1"/>
      <c r="H2589" s="1"/>
      <c r="I2589" s="1"/>
      <c r="J2589" s="1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</row>
    <row r="2590" spans="2:73" s="38" customFormat="1">
      <c r="B2590" s="1"/>
      <c r="C2590" s="1"/>
      <c r="D2590" s="1"/>
      <c r="E2590" s="1"/>
      <c r="F2590" s="1"/>
      <c r="G2590" s="1"/>
      <c r="H2590" s="1"/>
      <c r="I2590" s="1"/>
      <c r="J2590" s="1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</row>
    <row r="2591" spans="2:73" s="38" customFormat="1">
      <c r="B2591" s="1"/>
      <c r="C2591" s="1"/>
      <c r="D2591" s="1"/>
      <c r="E2591" s="1"/>
      <c r="F2591" s="1"/>
      <c r="G2591" s="1"/>
      <c r="H2591" s="1"/>
      <c r="I2591" s="1"/>
      <c r="J2591" s="1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</row>
    <row r="2592" spans="2:73" s="38" customFormat="1">
      <c r="B2592" s="1"/>
      <c r="C2592" s="1"/>
      <c r="D2592" s="1"/>
      <c r="E2592" s="1"/>
      <c r="F2592" s="1"/>
      <c r="G2592" s="1"/>
      <c r="H2592" s="1"/>
      <c r="I2592" s="1"/>
      <c r="J2592" s="1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</row>
    <row r="2593" spans="2:73" s="38" customFormat="1">
      <c r="B2593" s="1"/>
      <c r="C2593" s="1"/>
      <c r="D2593" s="1"/>
      <c r="E2593" s="1"/>
      <c r="F2593" s="1"/>
      <c r="G2593" s="1"/>
      <c r="H2593" s="1"/>
      <c r="I2593" s="1"/>
      <c r="J2593" s="1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</row>
    <row r="2594" spans="2:73" s="38" customFormat="1">
      <c r="B2594" s="1"/>
      <c r="C2594" s="1"/>
      <c r="D2594" s="1"/>
      <c r="E2594" s="1"/>
      <c r="F2594" s="1"/>
      <c r="G2594" s="1"/>
      <c r="H2594" s="1"/>
      <c r="I2594" s="1"/>
      <c r="J2594" s="1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</row>
    <row r="2595" spans="2:73" s="38" customFormat="1">
      <c r="B2595" s="1"/>
      <c r="C2595" s="1"/>
      <c r="D2595" s="1"/>
      <c r="E2595" s="1"/>
      <c r="F2595" s="1"/>
      <c r="G2595" s="1"/>
      <c r="H2595" s="1"/>
      <c r="I2595" s="1"/>
      <c r="J2595" s="1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</row>
    <row r="2596" spans="2:73" s="38" customFormat="1">
      <c r="B2596" s="1"/>
      <c r="C2596" s="1"/>
      <c r="D2596" s="1"/>
      <c r="E2596" s="1"/>
      <c r="F2596" s="1"/>
      <c r="G2596" s="1"/>
      <c r="H2596" s="1"/>
      <c r="I2596" s="1"/>
      <c r="J2596" s="1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</row>
    <row r="2597" spans="2:73" s="38" customFormat="1">
      <c r="B2597" s="1"/>
      <c r="C2597" s="1"/>
      <c r="D2597" s="1"/>
      <c r="E2597" s="1"/>
      <c r="F2597" s="1"/>
      <c r="G2597" s="1"/>
      <c r="H2597" s="1"/>
      <c r="I2597" s="1"/>
      <c r="J2597" s="1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</row>
    <row r="2598" spans="2:73" s="38" customFormat="1">
      <c r="B2598" s="1"/>
      <c r="C2598" s="1"/>
      <c r="D2598" s="1"/>
      <c r="E2598" s="1"/>
      <c r="F2598" s="1"/>
      <c r="G2598" s="1"/>
      <c r="H2598" s="1"/>
      <c r="I2598" s="1"/>
      <c r="J2598" s="1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</row>
    <row r="2599" spans="2:73" s="38" customFormat="1">
      <c r="B2599" s="1"/>
      <c r="C2599" s="1"/>
      <c r="D2599" s="1"/>
      <c r="E2599" s="1"/>
      <c r="F2599" s="1"/>
      <c r="G2599" s="1"/>
      <c r="H2599" s="1"/>
      <c r="I2599" s="1"/>
      <c r="J2599" s="1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</row>
    <row r="2600" spans="2:73" s="38" customFormat="1">
      <c r="B2600" s="1"/>
      <c r="C2600" s="1"/>
      <c r="D2600" s="1"/>
      <c r="E2600" s="1"/>
      <c r="F2600" s="1"/>
      <c r="G2600" s="1"/>
      <c r="H2600" s="1"/>
      <c r="I2600" s="1"/>
      <c r="J2600" s="1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</row>
    <row r="2601" spans="2:73" s="38" customFormat="1">
      <c r="B2601" s="1"/>
      <c r="C2601" s="1"/>
      <c r="D2601" s="1"/>
      <c r="E2601" s="1"/>
      <c r="F2601" s="1"/>
      <c r="G2601" s="1"/>
      <c r="H2601" s="1"/>
      <c r="I2601" s="1"/>
      <c r="J2601" s="1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</row>
    <row r="2602" spans="2:73" s="38" customFormat="1">
      <c r="B2602" s="1"/>
      <c r="C2602" s="1"/>
      <c r="D2602" s="1"/>
      <c r="E2602" s="1"/>
      <c r="F2602" s="1"/>
      <c r="G2602" s="1"/>
      <c r="H2602" s="1"/>
      <c r="I2602" s="1"/>
      <c r="J2602" s="1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</row>
    <row r="2603" spans="2:73" s="38" customFormat="1">
      <c r="B2603" s="1"/>
      <c r="C2603" s="1"/>
      <c r="D2603" s="1"/>
      <c r="E2603" s="1"/>
      <c r="F2603" s="1"/>
      <c r="G2603" s="1"/>
      <c r="H2603" s="1"/>
      <c r="I2603" s="1"/>
      <c r="J2603" s="1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</row>
    <row r="2604" spans="2:73" s="38" customFormat="1">
      <c r="B2604" s="1"/>
      <c r="C2604" s="1"/>
      <c r="D2604" s="1"/>
      <c r="E2604" s="1"/>
      <c r="F2604" s="1"/>
      <c r="G2604" s="1"/>
      <c r="H2604" s="1"/>
      <c r="I2604" s="1"/>
      <c r="J2604" s="1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</row>
    <row r="2605" spans="2:73" s="38" customFormat="1">
      <c r="B2605" s="1"/>
      <c r="C2605" s="1"/>
      <c r="D2605" s="1"/>
      <c r="E2605" s="1"/>
      <c r="F2605" s="1"/>
      <c r="G2605" s="1"/>
      <c r="H2605" s="1"/>
      <c r="I2605" s="1"/>
      <c r="J2605" s="1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</row>
    <row r="2606" spans="2:73" s="38" customFormat="1">
      <c r="B2606" s="1"/>
      <c r="C2606" s="1"/>
      <c r="D2606" s="1"/>
      <c r="E2606" s="1"/>
      <c r="F2606" s="1"/>
      <c r="G2606" s="1"/>
      <c r="H2606" s="1"/>
      <c r="I2606" s="1"/>
      <c r="J2606" s="1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</row>
    <row r="2607" spans="2:73" s="38" customFormat="1">
      <c r="B2607" s="1"/>
      <c r="C2607" s="1"/>
      <c r="D2607" s="1"/>
      <c r="E2607" s="1"/>
      <c r="F2607" s="1"/>
      <c r="G2607" s="1"/>
      <c r="H2607" s="1"/>
      <c r="I2607" s="1"/>
      <c r="J2607" s="1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</row>
    <row r="2608" spans="2:73" s="38" customFormat="1">
      <c r="B2608" s="1"/>
      <c r="C2608" s="1"/>
      <c r="D2608" s="1"/>
      <c r="E2608" s="1"/>
      <c r="F2608" s="1"/>
      <c r="G2608" s="1"/>
      <c r="H2608" s="1"/>
      <c r="I2608" s="1"/>
      <c r="J2608" s="1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</row>
    <row r="2609" spans="2:73" s="38" customFormat="1">
      <c r="B2609" s="1"/>
      <c r="C2609" s="1"/>
      <c r="D2609" s="1"/>
      <c r="E2609" s="1"/>
      <c r="F2609" s="1"/>
      <c r="G2609" s="1"/>
      <c r="H2609" s="1"/>
      <c r="I2609" s="1"/>
      <c r="J2609" s="1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</row>
    <row r="2610" spans="2:73" s="38" customFormat="1">
      <c r="B2610" s="1"/>
      <c r="C2610" s="1"/>
      <c r="D2610" s="1"/>
      <c r="E2610" s="1"/>
      <c r="F2610" s="1"/>
      <c r="G2610" s="1"/>
      <c r="H2610" s="1"/>
      <c r="I2610" s="1"/>
      <c r="J2610" s="1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</row>
    <row r="2611" spans="2:73" s="38" customFormat="1">
      <c r="B2611" s="1"/>
      <c r="C2611" s="1"/>
      <c r="D2611" s="1"/>
      <c r="E2611" s="1"/>
      <c r="F2611" s="1"/>
      <c r="G2611" s="1"/>
      <c r="H2611" s="1"/>
      <c r="I2611" s="1"/>
      <c r="J2611" s="1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</row>
    <row r="2612" spans="2:73" s="38" customFormat="1">
      <c r="B2612" s="1"/>
      <c r="C2612" s="1"/>
      <c r="D2612" s="1"/>
      <c r="E2612" s="1"/>
      <c r="F2612" s="1"/>
      <c r="G2612" s="1"/>
      <c r="H2612" s="1"/>
      <c r="I2612" s="1"/>
      <c r="J2612" s="1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</row>
    <row r="2613" spans="2:73" s="38" customFormat="1">
      <c r="B2613" s="1"/>
      <c r="C2613" s="1"/>
      <c r="D2613" s="1"/>
      <c r="E2613" s="1"/>
      <c r="F2613" s="1"/>
      <c r="G2613" s="1"/>
      <c r="H2613" s="1"/>
      <c r="I2613" s="1"/>
      <c r="J2613" s="1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</row>
    <row r="2614" spans="2:73" s="38" customFormat="1">
      <c r="B2614" s="1"/>
      <c r="C2614" s="1"/>
      <c r="D2614" s="1"/>
      <c r="E2614" s="1"/>
      <c r="F2614" s="1"/>
      <c r="G2614" s="1"/>
      <c r="H2614" s="1"/>
      <c r="I2614" s="1"/>
      <c r="J2614" s="1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</row>
    <row r="2615" spans="2:73" s="38" customFormat="1">
      <c r="B2615" s="1"/>
      <c r="C2615" s="1"/>
      <c r="D2615" s="1"/>
      <c r="E2615" s="1"/>
      <c r="F2615" s="1"/>
      <c r="G2615" s="1"/>
      <c r="H2615" s="1"/>
      <c r="I2615" s="1"/>
      <c r="J2615" s="1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</row>
    <row r="2616" spans="2:73" s="38" customFormat="1">
      <c r="B2616" s="1"/>
      <c r="C2616" s="1"/>
      <c r="D2616" s="1"/>
      <c r="E2616" s="1"/>
      <c r="F2616" s="1"/>
      <c r="G2616" s="1"/>
      <c r="H2616" s="1"/>
      <c r="I2616" s="1"/>
      <c r="J2616" s="1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</row>
    <row r="2617" spans="2:73" s="38" customFormat="1">
      <c r="B2617" s="1"/>
      <c r="C2617" s="1"/>
      <c r="D2617" s="1"/>
      <c r="E2617" s="1"/>
      <c r="F2617" s="1"/>
      <c r="G2617" s="1"/>
      <c r="H2617" s="1"/>
      <c r="I2617" s="1"/>
      <c r="J2617" s="1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</row>
    <row r="2618" spans="2:73" s="38" customFormat="1">
      <c r="B2618" s="1"/>
      <c r="C2618" s="1"/>
      <c r="D2618" s="1"/>
      <c r="E2618" s="1"/>
      <c r="F2618" s="1"/>
      <c r="G2618" s="1"/>
      <c r="H2618" s="1"/>
      <c r="I2618" s="1"/>
      <c r="J2618" s="1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</row>
    <row r="2619" spans="2:73" s="38" customFormat="1">
      <c r="B2619" s="1"/>
      <c r="C2619" s="1"/>
      <c r="D2619" s="1"/>
      <c r="E2619" s="1"/>
      <c r="F2619" s="1"/>
      <c r="G2619" s="1"/>
      <c r="H2619" s="1"/>
      <c r="I2619" s="1"/>
      <c r="J2619" s="1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</row>
    <row r="2620" spans="2:73" s="38" customFormat="1">
      <c r="B2620" s="1"/>
      <c r="C2620" s="1"/>
      <c r="D2620" s="1"/>
      <c r="E2620" s="1"/>
      <c r="F2620" s="1"/>
      <c r="G2620" s="1"/>
      <c r="H2620" s="1"/>
      <c r="I2620" s="1"/>
      <c r="J2620" s="1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</row>
    <row r="2621" spans="2:73" s="38" customFormat="1">
      <c r="B2621" s="1"/>
      <c r="C2621" s="1"/>
      <c r="D2621" s="1"/>
      <c r="E2621" s="1"/>
      <c r="F2621" s="1"/>
      <c r="G2621" s="1"/>
      <c r="H2621" s="1"/>
      <c r="I2621" s="1"/>
      <c r="J2621" s="1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</row>
    <row r="2622" spans="2:73" s="38" customFormat="1">
      <c r="B2622" s="1"/>
      <c r="C2622" s="1"/>
      <c r="D2622" s="1"/>
      <c r="E2622" s="1"/>
      <c r="F2622" s="1"/>
      <c r="G2622" s="1"/>
      <c r="H2622" s="1"/>
      <c r="I2622" s="1"/>
      <c r="J2622" s="1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</row>
    <row r="2623" spans="2:73" s="38" customFormat="1">
      <c r="B2623" s="1"/>
      <c r="C2623" s="1"/>
      <c r="D2623" s="1"/>
      <c r="E2623" s="1"/>
      <c r="F2623" s="1"/>
      <c r="G2623" s="1"/>
      <c r="H2623" s="1"/>
      <c r="I2623" s="1"/>
      <c r="J2623" s="1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</row>
    <row r="2624" spans="2:73" s="38" customFormat="1">
      <c r="B2624" s="1"/>
      <c r="C2624" s="1"/>
      <c r="D2624" s="1"/>
      <c r="E2624" s="1"/>
      <c r="F2624" s="1"/>
      <c r="G2624" s="1"/>
      <c r="H2624" s="1"/>
      <c r="I2624" s="1"/>
      <c r="J2624" s="1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</row>
    <row r="2625" spans="2:73" s="38" customFormat="1">
      <c r="B2625" s="1"/>
      <c r="C2625" s="1"/>
      <c r="D2625" s="1"/>
      <c r="E2625" s="1"/>
      <c r="F2625" s="1"/>
      <c r="G2625" s="1"/>
      <c r="H2625" s="1"/>
      <c r="I2625" s="1"/>
      <c r="J2625" s="1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</row>
    <row r="2626" spans="2:73" s="38" customFormat="1">
      <c r="B2626" s="1"/>
      <c r="C2626" s="1"/>
      <c r="D2626" s="1"/>
      <c r="E2626" s="1"/>
      <c r="F2626" s="1"/>
      <c r="G2626" s="1"/>
      <c r="H2626" s="1"/>
      <c r="I2626" s="1"/>
      <c r="J2626" s="1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</row>
    <row r="2627" spans="2:73" s="38" customFormat="1">
      <c r="B2627" s="1"/>
      <c r="C2627" s="1"/>
      <c r="D2627" s="1"/>
      <c r="E2627" s="1"/>
      <c r="F2627" s="1"/>
      <c r="G2627" s="1"/>
      <c r="H2627" s="1"/>
      <c r="I2627" s="1"/>
      <c r="J2627" s="1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</row>
    <row r="2628" spans="2:73" s="38" customFormat="1">
      <c r="B2628" s="1"/>
      <c r="C2628" s="1"/>
      <c r="D2628" s="1"/>
      <c r="E2628" s="1"/>
      <c r="F2628" s="1"/>
      <c r="G2628" s="1"/>
      <c r="H2628" s="1"/>
      <c r="I2628" s="1"/>
      <c r="J2628" s="1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</row>
    <row r="2629" spans="2:73" s="38" customFormat="1">
      <c r="B2629" s="1"/>
      <c r="C2629" s="1"/>
      <c r="D2629" s="1"/>
      <c r="E2629" s="1"/>
      <c r="F2629" s="1"/>
      <c r="G2629" s="1"/>
      <c r="H2629" s="1"/>
      <c r="I2629" s="1"/>
      <c r="J2629" s="1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</row>
    <row r="2630" spans="2:73" s="38" customFormat="1">
      <c r="B2630" s="1"/>
      <c r="C2630" s="1"/>
      <c r="D2630" s="1"/>
      <c r="E2630" s="1"/>
      <c r="F2630" s="1"/>
      <c r="G2630" s="1"/>
      <c r="H2630" s="1"/>
      <c r="I2630" s="1"/>
      <c r="J2630" s="1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</row>
    <row r="2631" spans="2:73" s="38" customFormat="1">
      <c r="B2631" s="1"/>
      <c r="C2631" s="1"/>
      <c r="D2631" s="1"/>
      <c r="E2631" s="1"/>
      <c r="F2631" s="1"/>
      <c r="G2631" s="1"/>
      <c r="H2631" s="1"/>
      <c r="I2631" s="1"/>
      <c r="J2631" s="1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</row>
    <row r="2632" spans="2:73" s="38" customFormat="1">
      <c r="B2632" s="1"/>
      <c r="C2632" s="1"/>
      <c r="D2632" s="1"/>
      <c r="E2632" s="1"/>
      <c r="F2632" s="1"/>
      <c r="G2632" s="1"/>
      <c r="H2632" s="1"/>
      <c r="I2632" s="1"/>
      <c r="J2632" s="1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</row>
    <row r="2633" spans="2:73" s="38" customFormat="1">
      <c r="B2633" s="1"/>
      <c r="C2633" s="1"/>
      <c r="D2633" s="1"/>
      <c r="E2633" s="1"/>
      <c r="F2633" s="1"/>
      <c r="G2633" s="1"/>
      <c r="H2633" s="1"/>
      <c r="I2633" s="1"/>
      <c r="J2633" s="1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</row>
    <row r="2634" spans="2:73" s="38" customFormat="1">
      <c r="B2634" s="1"/>
      <c r="C2634" s="1"/>
      <c r="D2634" s="1"/>
      <c r="E2634" s="1"/>
      <c r="F2634" s="1"/>
      <c r="G2634" s="1"/>
      <c r="H2634" s="1"/>
      <c r="I2634" s="1"/>
      <c r="J2634" s="1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</row>
    <row r="2635" spans="2:73" s="38" customFormat="1">
      <c r="B2635" s="1"/>
      <c r="C2635" s="1"/>
      <c r="D2635" s="1"/>
      <c r="E2635" s="1"/>
      <c r="F2635" s="1"/>
      <c r="G2635" s="1"/>
      <c r="H2635" s="1"/>
      <c r="I2635" s="1"/>
      <c r="J2635" s="1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</row>
    <row r="2636" spans="2:73" s="38" customFormat="1">
      <c r="B2636" s="1"/>
      <c r="C2636" s="1"/>
      <c r="D2636" s="1"/>
      <c r="E2636" s="1"/>
      <c r="F2636" s="1"/>
      <c r="G2636" s="1"/>
      <c r="H2636" s="1"/>
      <c r="I2636" s="1"/>
      <c r="J2636" s="1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</row>
    <row r="2637" spans="2:73" s="38" customFormat="1">
      <c r="B2637" s="1"/>
      <c r="C2637" s="1"/>
      <c r="D2637" s="1"/>
      <c r="E2637" s="1"/>
      <c r="F2637" s="1"/>
      <c r="G2637" s="1"/>
      <c r="H2637" s="1"/>
      <c r="I2637" s="1"/>
      <c r="J2637" s="1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</row>
    <row r="2638" spans="2:73" s="38" customFormat="1">
      <c r="B2638" s="1"/>
      <c r="C2638" s="1"/>
      <c r="D2638" s="1"/>
      <c r="E2638" s="1"/>
      <c r="F2638" s="1"/>
      <c r="G2638" s="1"/>
      <c r="H2638" s="1"/>
      <c r="I2638" s="1"/>
      <c r="J2638" s="1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</row>
    <row r="2639" spans="2:73" s="38" customFormat="1">
      <c r="B2639" s="1"/>
      <c r="C2639" s="1"/>
      <c r="D2639" s="1"/>
      <c r="E2639" s="1"/>
      <c r="F2639" s="1"/>
      <c r="G2639" s="1"/>
      <c r="H2639" s="1"/>
      <c r="I2639" s="1"/>
      <c r="J2639" s="1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</row>
    <row r="2640" spans="2:73" s="38" customFormat="1">
      <c r="B2640" s="1"/>
      <c r="C2640" s="1"/>
      <c r="D2640" s="1"/>
      <c r="E2640" s="1"/>
      <c r="F2640" s="1"/>
      <c r="G2640" s="1"/>
      <c r="H2640" s="1"/>
      <c r="I2640" s="1"/>
      <c r="J2640" s="1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</row>
    <row r="2641" spans="2:73" s="38" customFormat="1">
      <c r="B2641" s="1"/>
      <c r="C2641" s="1"/>
      <c r="D2641" s="1"/>
      <c r="E2641" s="1"/>
      <c r="F2641" s="1"/>
      <c r="G2641" s="1"/>
      <c r="H2641" s="1"/>
      <c r="I2641" s="1"/>
      <c r="J2641" s="1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</row>
    <row r="2642" spans="2:73" s="38" customFormat="1">
      <c r="B2642" s="1"/>
      <c r="C2642" s="1"/>
      <c r="D2642" s="1"/>
      <c r="E2642" s="1"/>
      <c r="F2642" s="1"/>
      <c r="G2642" s="1"/>
      <c r="H2642" s="1"/>
      <c r="I2642" s="1"/>
      <c r="J2642" s="1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</row>
    <row r="2643" spans="2:73" s="38" customFormat="1">
      <c r="B2643" s="1"/>
      <c r="C2643" s="1"/>
      <c r="D2643" s="1"/>
      <c r="E2643" s="1"/>
      <c r="F2643" s="1"/>
      <c r="G2643" s="1"/>
      <c r="H2643" s="1"/>
      <c r="I2643" s="1"/>
      <c r="J2643" s="1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</row>
    <row r="2644" spans="2:73" s="38" customFormat="1">
      <c r="B2644" s="1"/>
      <c r="C2644" s="1"/>
      <c r="D2644" s="1"/>
      <c r="E2644" s="1"/>
      <c r="F2644" s="1"/>
      <c r="G2644" s="1"/>
      <c r="H2644" s="1"/>
      <c r="I2644" s="1"/>
      <c r="J2644" s="1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</row>
    <row r="2645" spans="2:73" s="38" customFormat="1">
      <c r="B2645" s="1"/>
      <c r="C2645" s="1"/>
      <c r="D2645" s="1"/>
      <c r="E2645" s="1"/>
      <c r="F2645" s="1"/>
      <c r="G2645" s="1"/>
      <c r="H2645" s="1"/>
      <c r="I2645" s="1"/>
      <c r="J2645" s="1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</row>
    <row r="2646" spans="2:73" s="38" customFormat="1">
      <c r="B2646" s="1"/>
      <c r="C2646" s="1"/>
      <c r="D2646" s="1"/>
      <c r="E2646" s="1"/>
      <c r="F2646" s="1"/>
      <c r="G2646" s="1"/>
      <c r="H2646" s="1"/>
      <c r="I2646" s="1"/>
      <c r="J2646" s="1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</row>
    <row r="2647" spans="2:73" s="38" customFormat="1">
      <c r="B2647" s="1"/>
      <c r="C2647" s="1"/>
      <c r="D2647" s="1"/>
      <c r="E2647" s="1"/>
      <c r="F2647" s="1"/>
      <c r="G2647" s="1"/>
      <c r="H2647" s="1"/>
      <c r="I2647" s="1"/>
      <c r="J2647" s="1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</row>
    <row r="2648" spans="2:73" s="38" customFormat="1">
      <c r="B2648" s="1"/>
      <c r="C2648" s="1"/>
      <c r="D2648" s="1"/>
      <c r="E2648" s="1"/>
      <c r="F2648" s="1"/>
      <c r="G2648" s="1"/>
      <c r="H2648" s="1"/>
      <c r="I2648" s="1"/>
      <c r="J2648" s="1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</row>
    <row r="2649" spans="2:73" s="38" customFormat="1">
      <c r="B2649" s="1"/>
      <c r="C2649" s="1"/>
      <c r="D2649" s="1"/>
      <c r="E2649" s="1"/>
      <c r="F2649" s="1"/>
      <c r="G2649" s="1"/>
      <c r="H2649" s="1"/>
      <c r="I2649" s="1"/>
      <c r="J2649" s="1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</row>
    <row r="2650" spans="2:73" s="38" customFormat="1">
      <c r="B2650" s="1"/>
      <c r="C2650" s="1"/>
      <c r="D2650" s="1"/>
      <c r="E2650" s="1"/>
      <c r="F2650" s="1"/>
      <c r="G2650" s="1"/>
      <c r="H2650" s="1"/>
      <c r="I2650" s="1"/>
      <c r="J2650" s="1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</row>
    <row r="2651" spans="2:73" s="38" customFormat="1">
      <c r="B2651" s="1"/>
      <c r="C2651" s="1"/>
      <c r="D2651" s="1"/>
      <c r="E2651" s="1"/>
      <c r="F2651" s="1"/>
      <c r="G2651" s="1"/>
      <c r="H2651" s="1"/>
      <c r="I2651" s="1"/>
      <c r="J2651" s="1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</row>
    <row r="2652" spans="2:73" s="38" customFormat="1">
      <c r="B2652" s="1"/>
      <c r="C2652" s="1"/>
      <c r="D2652" s="1"/>
      <c r="E2652" s="1"/>
      <c r="F2652" s="1"/>
      <c r="G2652" s="1"/>
      <c r="H2652" s="1"/>
      <c r="I2652" s="1"/>
      <c r="J2652" s="1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</row>
    <row r="2653" spans="2:73" s="38" customFormat="1">
      <c r="B2653" s="1"/>
      <c r="C2653" s="1"/>
      <c r="D2653" s="1"/>
      <c r="E2653" s="1"/>
      <c r="F2653" s="1"/>
      <c r="G2653" s="1"/>
      <c r="H2653" s="1"/>
      <c r="I2653" s="1"/>
      <c r="J2653" s="1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</row>
    <row r="2654" spans="2:73" s="38" customFormat="1">
      <c r="B2654" s="1"/>
      <c r="C2654" s="1"/>
      <c r="D2654" s="1"/>
      <c r="E2654" s="1"/>
      <c r="F2654" s="1"/>
      <c r="G2654" s="1"/>
      <c r="H2654" s="1"/>
      <c r="I2654" s="1"/>
      <c r="J2654" s="1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</row>
    <row r="2655" spans="2:73" s="38" customFormat="1">
      <c r="B2655" s="1"/>
      <c r="C2655" s="1"/>
      <c r="D2655" s="1"/>
      <c r="E2655" s="1"/>
      <c r="F2655" s="1"/>
      <c r="G2655" s="1"/>
      <c r="H2655" s="1"/>
      <c r="I2655" s="1"/>
      <c r="J2655" s="1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</row>
    <row r="2656" spans="2:73" s="38" customFormat="1">
      <c r="B2656" s="1"/>
      <c r="C2656" s="1"/>
      <c r="D2656" s="1"/>
      <c r="E2656" s="1"/>
      <c r="F2656" s="1"/>
      <c r="G2656" s="1"/>
      <c r="H2656" s="1"/>
      <c r="I2656" s="1"/>
      <c r="J2656" s="1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</row>
    <row r="2657" spans="2:73" s="38" customFormat="1">
      <c r="B2657" s="1"/>
      <c r="C2657" s="1"/>
      <c r="D2657" s="1"/>
      <c r="E2657" s="1"/>
      <c r="F2657" s="1"/>
      <c r="G2657" s="1"/>
      <c r="H2657" s="1"/>
      <c r="I2657" s="1"/>
      <c r="J2657" s="1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</row>
    <row r="2658" spans="2:73" s="38" customFormat="1">
      <c r="B2658" s="1"/>
      <c r="C2658" s="1"/>
      <c r="D2658" s="1"/>
      <c r="E2658" s="1"/>
      <c r="F2658" s="1"/>
      <c r="G2658" s="1"/>
      <c r="H2658" s="1"/>
      <c r="I2658" s="1"/>
      <c r="J2658" s="1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</row>
    <row r="2659" spans="2:73" s="38" customFormat="1">
      <c r="B2659" s="1"/>
      <c r="C2659" s="1"/>
      <c r="D2659" s="1"/>
      <c r="E2659" s="1"/>
      <c r="F2659" s="1"/>
      <c r="G2659" s="1"/>
      <c r="H2659" s="1"/>
      <c r="I2659" s="1"/>
      <c r="J2659" s="1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</row>
    <row r="2660" spans="2:73" s="38" customFormat="1">
      <c r="B2660" s="1"/>
      <c r="C2660" s="1"/>
      <c r="D2660" s="1"/>
      <c r="E2660" s="1"/>
      <c r="F2660" s="1"/>
      <c r="G2660" s="1"/>
      <c r="H2660" s="1"/>
      <c r="I2660" s="1"/>
      <c r="J2660" s="1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</row>
    <row r="2661" spans="2:73" s="38" customFormat="1">
      <c r="B2661" s="1"/>
      <c r="C2661" s="1"/>
      <c r="D2661" s="1"/>
      <c r="E2661" s="1"/>
      <c r="F2661" s="1"/>
      <c r="G2661" s="1"/>
      <c r="H2661" s="1"/>
      <c r="I2661" s="1"/>
      <c r="J2661" s="1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</row>
    <row r="2662" spans="2:73" s="38" customFormat="1">
      <c r="B2662" s="1"/>
      <c r="C2662" s="1"/>
      <c r="D2662" s="1"/>
      <c r="E2662" s="1"/>
      <c r="F2662" s="1"/>
      <c r="G2662" s="1"/>
      <c r="H2662" s="1"/>
      <c r="I2662" s="1"/>
      <c r="J2662" s="1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</row>
    <row r="2663" spans="2:73" s="38" customFormat="1">
      <c r="B2663" s="1"/>
      <c r="C2663" s="1"/>
      <c r="D2663" s="1"/>
      <c r="E2663" s="1"/>
      <c r="F2663" s="1"/>
      <c r="G2663" s="1"/>
      <c r="H2663" s="1"/>
      <c r="I2663" s="1"/>
      <c r="J2663" s="1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</row>
    <row r="2664" spans="2:73" s="38" customFormat="1">
      <c r="B2664" s="1"/>
      <c r="C2664" s="1"/>
      <c r="D2664" s="1"/>
      <c r="E2664" s="1"/>
      <c r="F2664" s="1"/>
      <c r="G2664" s="1"/>
      <c r="H2664" s="1"/>
      <c r="I2664" s="1"/>
      <c r="J2664" s="1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</row>
    <row r="2665" spans="2:73" s="38" customFormat="1">
      <c r="B2665" s="1"/>
      <c r="C2665" s="1"/>
      <c r="D2665" s="1"/>
      <c r="E2665" s="1"/>
      <c r="F2665" s="1"/>
      <c r="G2665" s="1"/>
      <c r="H2665" s="1"/>
      <c r="I2665" s="1"/>
      <c r="J2665" s="1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</row>
    <row r="2666" spans="2:73" s="38" customFormat="1">
      <c r="B2666" s="1"/>
      <c r="C2666" s="1"/>
      <c r="D2666" s="1"/>
      <c r="E2666" s="1"/>
      <c r="F2666" s="1"/>
      <c r="G2666" s="1"/>
      <c r="H2666" s="1"/>
      <c r="I2666" s="1"/>
      <c r="J2666" s="1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</row>
    <row r="2667" spans="2:73" s="38" customFormat="1">
      <c r="B2667" s="1"/>
      <c r="C2667" s="1"/>
      <c r="D2667" s="1"/>
      <c r="E2667" s="1"/>
      <c r="F2667" s="1"/>
      <c r="G2667" s="1"/>
      <c r="H2667" s="1"/>
      <c r="I2667" s="1"/>
      <c r="J2667" s="1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</row>
    <row r="2668" spans="2:73" s="38" customFormat="1">
      <c r="B2668" s="1"/>
      <c r="C2668" s="1"/>
      <c r="D2668" s="1"/>
      <c r="E2668" s="1"/>
      <c r="F2668" s="1"/>
      <c r="G2668" s="1"/>
      <c r="H2668" s="1"/>
      <c r="I2668" s="1"/>
      <c r="J2668" s="1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</row>
    <row r="2669" spans="2:73" s="38" customFormat="1">
      <c r="B2669" s="1"/>
      <c r="C2669" s="1"/>
      <c r="D2669" s="1"/>
      <c r="E2669" s="1"/>
      <c r="F2669" s="1"/>
      <c r="G2669" s="1"/>
      <c r="H2669" s="1"/>
      <c r="I2669" s="1"/>
      <c r="J2669" s="1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</row>
    <row r="2670" spans="2:73" s="38" customFormat="1">
      <c r="B2670" s="1"/>
      <c r="C2670" s="1"/>
      <c r="D2670" s="1"/>
      <c r="E2670" s="1"/>
      <c r="F2670" s="1"/>
      <c r="G2670" s="1"/>
      <c r="H2670" s="1"/>
      <c r="I2670" s="1"/>
      <c r="J2670" s="1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</row>
    <row r="2671" spans="2:73" s="38" customFormat="1">
      <c r="B2671" s="1"/>
      <c r="C2671" s="1"/>
      <c r="D2671" s="1"/>
      <c r="E2671" s="1"/>
      <c r="F2671" s="1"/>
      <c r="G2671" s="1"/>
      <c r="H2671" s="1"/>
      <c r="I2671" s="1"/>
      <c r="J2671" s="1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</row>
    <row r="2672" spans="2:73" s="38" customFormat="1">
      <c r="B2672" s="1"/>
      <c r="C2672" s="1"/>
      <c r="D2672" s="1"/>
      <c r="E2672" s="1"/>
      <c r="F2672" s="1"/>
      <c r="G2672" s="1"/>
      <c r="H2672" s="1"/>
      <c r="I2672" s="1"/>
      <c r="J2672" s="1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</row>
    <row r="2673" spans="2:73" s="38" customFormat="1">
      <c r="B2673" s="1"/>
      <c r="C2673" s="1"/>
      <c r="D2673" s="1"/>
      <c r="E2673" s="1"/>
      <c r="F2673" s="1"/>
      <c r="G2673" s="1"/>
      <c r="H2673" s="1"/>
      <c r="I2673" s="1"/>
      <c r="J2673" s="1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</row>
    <row r="2674" spans="2:73" s="38" customFormat="1">
      <c r="B2674" s="1"/>
      <c r="C2674" s="1"/>
      <c r="D2674" s="1"/>
      <c r="E2674" s="1"/>
      <c r="F2674" s="1"/>
      <c r="G2674" s="1"/>
      <c r="H2674" s="1"/>
      <c r="I2674" s="1"/>
      <c r="J2674" s="1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</row>
    <row r="2675" spans="2:73" s="38" customFormat="1">
      <c r="B2675" s="1"/>
      <c r="C2675" s="1"/>
      <c r="D2675" s="1"/>
      <c r="E2675" s="1"/>
      <c r="F2675" s="1"/>
      <c r="G2675" s="1"/>
      <c r="H2675" s="1"/>
      <c r="I2675" s="1"/>
      <c r="J2675" s="1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</row>
    <row r="2676" spans="2:73" s="38" customFormat="1">
      <c r="B2676" s="1"/>
      <c r="C2676" s="1"/>
      <c r="D2676" s="1"/>
      <c r="E2676" s="1"/>
      <c r="F2676" s="1"/>
      <c r="G2676" s="1"/>
      <c r="H2676" s="1"/>
      <c r="I2676" s="1"/>
      <c r="J2676" s="1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</row>
    <row r="2677" spans="2:73" s="38" customFormat="1">
      <c r="B2677" s="1"/>
      <c r="C2677" s="1"/>
      <c r="D2677" s="1"/>
      <c r="E2677" s="1"/>
      <c r="F2677" s="1"/>
      <c r="G2677" s="1"/>
      <c r="H2677" s="1"/>
      <c r="I2677" s="1"/>
      <c r="J2677" s="1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</row>
    <row r="2678" spans="2:73" s="38" customFormat="1">
      <c r="B2678" s="1"/>
      <c r="C2678" s="1"/>
      <c r="D2678" s="1"/>
      <c r="E2678" s="1"/>
      <c r="F2678" s="1"/>
      <c r="G2678" s="1"/>
      <c r="H2678" s="1"/>
      <c r="I2678" s="1"/>
      <c r="J2678" s="1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</row>
    <row r="2679" spans="2:73" s="38" customFormat="1">
      <c r="B2679" s="1"/>
      <c r="C2679" s="1"/>
      <c r="D2679" s="1"/>
      <c r="E2679" s="1"/>
      <c r="F2679" s="1"/>
      <c r="G2679" s="1"/>
      <c r="H2679" s="1"/>
      <c r="I2679" s="1"/>
      <c r="J2679" s="1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</row>
    <row r="2680" spans="2:73" s="38" customFormat="1">
      <c r="B2680" s="1"/>
      <c r="C2680" s="1"/>
      <c r="D2680" s="1"/>
      <c r="E2680" s="1"/>
      <c r="F2680" s="1"/>
      <c r="G2680" s="1"/>
      <c r="H2680" s="1"/>
      <c r="I2680" s="1"/>
      <c r="J2680" s="1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</row>
    <row r="2681" spans="2:73" s="38" customFormat="1">
      <c r="B2681" s="1"/>
      <c r="C2681" s="1"/>
      <c r="D2681" s="1"/>
      <c r="E2681" s="1"/>
      <c r="F2681" s="1"/>
      <c r="G2681" s="1"/>
      <c r="H2681" s="1"/>
      <c r="I2681" s="1"/>
      <c r="J2681" s="1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</row>
    <row r="2682" spans="2:73" s="38" customFormat="1">
      <c r="B2682" s="1"/>
      <c r="C2682" s="1"/>
      <c r="D2682" s="1"/>
      <c r="E2682" s="1"/>
      <c r="F2682" s="1"/>
      <c r="G2682" s="1"/>
      <c r="H2682" s="1"/>
      <c r="I2682" s="1"/>
      <c r="J2682" s="1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</row>
    <row r="2683" spans="2:73" s="38" customFormat="1">
      <c r="B2683" s="1"/>
      <c r="C2683" s="1"/>
      <c r="D2683" s="1"/>
      <c r="E2683" s="1"/>
      <c r="F2683" s="1"/>
      <c r="G2683" s="1"/>
      <c r="H2683" s="1"/>
      <c r="I2683" s="1"/>
      <c r="J2683" s="1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</row>
    <row r="2684" spans="2:73" s="38" customFormat="1">
      <c r="B2684" s="1"/>
      <c r="C2684" s="1"/>
      <c r="D2684" s="1"/>
      <c r="E2684" s="1"/>
      <c r="F2684" s="1"/>
      <c r="G2684" s="1"/>
      <c r="H2684" s="1"/>
      <c r="I2684" s="1"/>
      <c r="J2684" s="1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</row>
    <row r="2685" spans="2:73" s="38" customFormat="1">
      <c r="B2685" s="1"/>
      <c r="C2685" s="1"/>
      <c r="D2685" s="1"/>
      <c r="E2685" s="1"/>
      <c r="F2685" s="1"/>
      <c r="G2685" s="1"/>
      <c r="H2685" s="1"/>
      <c r="I2685" s="1"/>
      <c r="J2685" s="1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</row>
    <row r="2686" spans="2:73" s="38" customFormat="1">
      <c r="B2686" s="1"/>
      <c r="C2686" s="1"/>
      <c r="D2686" s="1"/>
      <c r="E2686" s="1"/>
      <c r="F2686" s="1"/>
      <c r="G2686" s="1"/>
      <c r="H2686" s="1"/>
      <c r="I2686" s="1"/>
      <c r="J2686" s="1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</row>
    <row r="2687" spans="2:73" s="38" customFormat="1">
      <c r="B2687" s="1"/>
      <c r="C2687" s="1"/>
      <c r="D2687" s="1"/>
      <c r="E2687" s="1"/>
      <c r="F2687" s="1"/>
      <c r="G2687" s="1"/>
      <c r="H2687" s="1"/>
      <c r="I2687" s="1"/>
      <c r="J2687" s="1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</row>
    <row r="2688" spans="2:73" s="38" customFormat="1">
      <c r="B2688" s="1"/>
      <c r="C2688" s="1"/>
      <c r="D2688" s="1"/>
      <c r="E2688" s="1"/>
      <c r="F2688" s="1"/>
      <c r="G2688" s="1"/>
      <c r="H2688" s="1"/>
      <c r="I2688" s="1"/>
      <c r="J2688" s="1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</row>
    <row r="2689" spans="2:73" s="38" customFormat="1">
      <c r="B2689" s="1"/>
      <c r="C2689" s="1"/>
      <c r="D2689" s="1"/>
      <c r="E2689" s="1"/>
      <c r="F2689" s="1"/>
      <c r="G2689" s="1"/>
      <c r="H2689" s="1"/>
      <c r="I2689" s="1"/>
      <c r="J2689" s="1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</row>
    <row r="2690" spans="2:73" s="38" customFormat="1">
      <c r="B2690" s="1"/>
      <c r="C2690" s="1"/>
      <c r="D2690" s="1"/>
      <c r="E2690" s="1"/>
      <c r="F2690" s="1"/>
      <c r="G2690" s="1"/>
      <c r="H2690" s="1"/>
      <c r="I2690" s="1"/>
      <c r="J2690" s="1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</row>
    <row r="2691" spans="2:73" s="38" customFormat="1">
      <c r="B2691" s="1"/>
      <c r="C2691" s="1"/>
      <c r="D2691" s="1"/>
      <c r="E2691" s="1"/>
      <c r="F2691" s="1"/>
      <c r="G2691" s="1"/>
      <c r="H2691" s="1"/>
      <c r="I2691" s="1"/>
      <c r="J2691" s="1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</row>
    <row r="2692" spans="2:73" s="38" customFormat="1">
      <c r="B2692" s="1"/>
      <c r="C2692" s="1"/>
      <c r="D2692" s="1"/>
      <c r="E2692" s="1"/>
      <c r="F2692" s="1"/>
      <c r="G2692" s="1"/>
      <c r="H2692" s="1"/>
      <c r="I2692" s="1"/>
      <c r="J2692" s="1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</row>
    <row r="2693" spans="2:73" s="38" customFormat="1">
      <c r="B2693" s="1"/>
      <c r="C2693" s="1"/>
      <c r="D2693" s="1"/>
      <c r="E2693" s="1"/>
      <c r="F2693" s="1"/>
      <c r="G2693" s="1"/>
      <c r="H2693" s="1"/>
      <c r="I2693" s="1"/>
      <c r="J2693" s="1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</row>
    <row r="2694" spans="2:73" s="38" customFormat="1">
      <c r="B2694" s="1"/>
      <c r="C2694" s="1"/>
      <c r="D2694" s="1"/>
      <c r="E2694" s="1"/>
      <c r="F2694" s="1"/>
      <c r="G2694" s="1"/>
      <c r="H2694" s="1"/>
      <c r="I2694" s="1"/>
      <c r="J2694" s="1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</row>
    <row r="2695" spans="2:73" s="38" customFormat="1">
      <c r="B2695" s="1"/>
      <c r="C2695" s="1"/>
      <c r="D2695" s="1"/>
      <c r="E2695" s="1"/>
      <c r="F2695" s="1"/>
      <c r="G2695" s="1"/>
      <c r="H2695" s="1"/>
      <c r="I2695" s="1"/>
      <c r="J2695" s="1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</row>
    <row r="2696" spans="2:73" s="38" customFormat="1">
      <c r="B2696" s="1"/>
      <c r="C2696" s="1"/>
      <c r="D2696" s="1"/>
      <c r="E2696" s="1"/>
      <c r="F2696" s="1"/>
      <c r="G2696" s="1"/>
      <c r="H2696" s="1"/>
      <c r="I2696" s="1"/>
      <c r="J2696" s="1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</row>
    <row r="2697" spans="2:73" s="38" customFormat="1">
      <c r="B2697" s="1"/>
      <c r="C2697" s="1"/>
      <c r="D2697" s="1"/>
      <c r="E2697" s="1"/>
      <c r="F2697" s="1"/>
      <c r="G2697" s="1"/>
      <c r="H2697" s="1"/>
      <c r="I2697" s="1"/>
      <c r="J2697" s="1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</row>
    <row r="2698" spans="2:73" s="38" customFormat="1">
      <c r="B2698" s="1"/>
      <c r="C2698" s="1"/>
      <c r="D2698" s="1"/>
      <c r="E2698" s="1"/>
      <c r="F2698" s="1"/>
      <c r="G2698" s="1"/>
      <c r="H2698" s="1"/>
      <c r="I2698" s="1"/>
      <c r="J2698" s="1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</row>
    <row r="2699" spans="2:73" s="38" customFormat="1">
      <c r="B2699" s="1"/>
      <c r="C2699" s="1"/>
      <c r="D2699" s="1"/>
      <c r="E2699" s="1"/>
      <c r="F2699" s="1"/>
      <c r="G2699" s="1"/>
      <c r="H2699" s="1"/>
      <c r="I2699" s="1"/>
      <c r="J2699" s="1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</row>
    <row r="2700" spans="2:73" s="38" customFormat="1">
      <c r="B2700" s="1"/>
      <c r="C2700" s="1"/>
      <c r="D2700" s="1"/>
      <c r="E2700" s="1"/>
      <c r="F2700" s="1"/>
      <c r="G2700" s="1"/>
      <c r="H2700" s="1"/>
      <c r="I2700" s="1"/>
      <c r="J2700" s="1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</row>
    <row r="2701" spans="2:73" s="38" customFormat="1">
      <c r="B2701" s="1"/>
      <c r="C2701" s="1"/>
      <c r="D2701" s="1"/>
      <c r="E2701" s="1"/>
      <c r="F2701" s="1"/>
      <c r="G2701" s="1"/>
      <c r="H2701" s="1"/>
      <c r="I2701" s="1"/>
      <c r="J2701" s="1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</row>
    <row r="2702" spans="2:73" s="38" customFormat="1">
      <c r="B2702" s="1"/>
      <c r="C2702" s="1"/>
      <c r="D2702" s="1"/>
      <c r="E2702" s="1"/>
      <c r="F2702" s="1"/>
      <c r="G2702" s="1"/>
      <c r="H2702" s="1"/>
      <c r="I2702" s="1"/>
      <c r="J2702" s="1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</row>
    <row r="2703" spans="2:73" s="38" customFormat="1">
      <c r="B2703" s="1"/>
      <c r="C2703" s="1"/>
      <c r="D2703" s="1"/>
      <c r="E2703" s="1"/>
      <c r="F2703" s="1"/>
      <c r="G2703" s="1"/>
      <c r="H2703" s="1"/>
      <c r="I2703" s="1"/>
      <c r="J2703" s="1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</row>
    <row r="2704" spans="2:73" s="38" customFormat="1">
      <c r="B2704" s="1"/>
      <c r="C2704" s="1"/>
      <c r="D2704" s="1"/>
      <c r="E2704" s="1"/>
      <c r="F2704" s="1"/>
      <c r="G2704" s="1"/>
      <c r="H2704" s="1"/>
      <c r="I2704" s="1"/>
      <c r="J2704" s="1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</row>
    <row r="2705" spans="2:73" s="38" customFormat="1">
      <c r="B2705" s="1"/>
      <c r="C2705" s="1"/>
      <c r="D2705" s="1"/>
      <c r="E2705" s="1"/>
      <c r="F2705" s="1"/>
      <c r="G2705" s="1"/>
      <c r="H2705" s="1"/>
      <c r="I2705" s="1"/>
      <c r="J2705" s="1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</row>
    <row r="2706" spans="2:73" s="38" customFormat="1">
      <c r="B2706" s="1"/>
      <c r="C2706" s="1"/>
      <c r="D2706" s="1"/>
      <c r="E2706" s="1"/>
      <c r="F2706" s="1"/>
      <c r="G2706" s="1"/>
      <c r="H2706" s="1"/>
      <c r="I2706" s="1"/>
      <c r="J2706" s="1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</row>
    <row r="2707" spans="2:73" s="38" customFormat="1">
      <c r="B2707" s="1"/>
      <c r="C2707" s="1"/>
      <c r="D2707" s="1"/>
      <c r="E2707" s="1"/>
      <c r="F2707" s="1"/>
      <c r="G2707" s="1"/>
      <c r="H2707" s="1"/>
      <c r="I2707" s="1"/>
      <c r="J2707" s="1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</row>
    <row r="2708" spans="2:73" s="38" customFormat="1">
      <c r="B2708" s="1"/>
      <c r="C2708" s="1"/>
      <c r="D2708" s="1"/>
      <c r="E2708" s="1"/>
      <c r="F2708" s="1"/>
      <c r="G2708" s="1"/>
      <c r="H2708" s="1"/>
      <c r="I2708" s="1"/>
      <c r="J2708" s="1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</row>
    <row r="2709" spans="2:73" s="38" customFormat="1">
      <c r="B2709" s="1"/>
      <c r="C2709" s="1"/>
      <c r="D2709" s="1"/>
      <c r="E2709" s="1"/>
      <c r="F2709" s="1"/>
      <c r="G2709" s="1"/>
      <c r="H2709" s="1"/>
      <c r="I2709" s="1"/>
      <c r="J2709" s="1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</row>
    <row r="2710" spans="2:73" s="38" customFormat="1">
      <c r="B2710" s="1"/>
      <c r="C2710" s="1"/>
      <c r="D2710" s="1"/>
      <c r="E2710" s="1"/>
      <c r="F2710" s="1"/>
      <c r="G2710" s="1"/>
      <c r="H2710" s="1"/>
      <c r="I2710" s="1"/>
      <c r="J2710" s="1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</row>
    <row r="2711" spans="2:73" s="38" customFormat="1">
      <c r="B2711" s="1"/>
      <c r="C2711" s="1"/>
      <c r="D2711" s="1"/>
      <c r="E2711" s="1"/>
      <c r="F2711" s="1"/>
      <c r="G2711" s="1"/>
      <c r="H2711" s="1"/>
      <c r="I2711" s="1"/>
      <c r="J2711" s="1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</row>
    <row r="2712" spans="2:73" s="38" customFormat="1">
      <c r="B2712" s="1"/>
      <c r="C2712" s="1"/>
      <c r="D2712" s="1"/>
      <c r="E2712" s="1"/>
      <c r="F2712" s="1"/>
      <c r="G2712" s="1"/>
      <c r="H2712" s="1"/>
      <c r="I2712" s="1"/>
      <c r="J2712" s="1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</row>
    <row r="2713" spans="2:73" s="38" customFormat="1">
      <c r="B2713" s="1"/>
      <c r="C2713" s="1"/>
      <c r="D2713" s="1"/>
      <c r="E2713" s="1"/>
      <c r="F2713" s="1"/>
      <c r="G2713" s="1"/>
      <c r="H2713" s="1"/>
      <c r="I2713" s="1"/>
      <c r="J2713" s="1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</row>
    <row r="2714" spans="2:73" s="38" customFormat="1">
      <c r="B2714" s="1"/>
      <c r="C2714" s="1"/>
      <c r="D2714" s="1"/>
      <c r="E2714" s="1"/>
      <c r="F2714" s="1"/>
      <c r="G2714" s="1"/>
      <c r="H2714" s="1"/>
      <c r="I2714" s="1"/>
      <c r="J2714" s="1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</row>
    <row r="2715" spans="2:73" s="38" customFormat="1">
      <c r="B2715" s="1"/>
      <c r="C2715" s="1"/>
      <c r="D2715" s="1"/>
      <c r="E2715" s="1"/>
      <c r="F2715" s="1"/>
      <c r="G2715" s="1"/>
      <c r="H2715" s="1"/>
      <c r="I2715" s="1"/>
      <c r="J2715" s="1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</row>
    <row r="2716" spans="2:73" s="38" customFormat="1">
      <c r="B2716" s="1"/>
      <c r="C2716" s="1"/>
      <c r="D2716" s="1"/>
      <c r="E2716" s="1"/>
      <c r="F2716" s="1"/>
      <c r="G2716" s="1"/>
      <c r="H2716" s="1"/>
      <c r="I2716" s="1"/>
      <c r="J2716" s="1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</row>
    <row r="2717" spans="2:73" s="38" customFormat="1">
      <c r="B2717" s="1"/>
      <c r="C2717" s="1"/>
      <c r="D2717" s="1"/>
      <c r="E2717" s="1"/>
      <c r="F2717" s="1"/>
      <c r="G2717" s="1"/>
      <c r="H2717" s="1"/>
      <c r="I2717" s="1"/>
      <c r="J2717" s="1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</row>
    <row r="2718" spans="2:73" s="38" customFormat="1">
      <c r="B2718" s="1"/>
      <c r="C2718" s="1"/>
      <c r="D2718" s="1"/>
      <c r="E2718" s="1"/>
      <c r="F2718" s="1"/>
      <c r="G2718" s="1"/>
      <c r="H2718" s="1"/>
      <c r="I2718" s="1"/>
      <c r="J2718" s="1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</row>
    <row r="2719" spans="2:73" s="38" customFormat="1">
      <c r="B2719" s="1"/>
      <c r="C2719" s="1"/>
      <c r="D2719" s="1"/>
      <c r="E2719" s="1"/>
      <c r="F2719" s="1"/>
      <c r="G2719" s="1"/>
      <c r="H2719" s="1"/>
      <c r="I2719" s="1"/>
      <c r="J2719" s="1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</row>
    <row r="2720" spans="2:73" s="38" customFormat="1">
      <c r="B2720" s="1"/>
      <c r="C2720" s="1"/>
      <c r="D2720" s="1"/>
      <c r="E2720" s="1"/>
      <c r="F2720" s="1"/>
      <c r="G2720" s="1"/>
      <c r="H2720" s="1"/>
      <c r="I2720" s="1"/>
      <c r="J2720" s="1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</row>
    <row r="2721" spans="2:73" s="38" customFormat="1">
      <c r="B2721" s="1"/>
      <c r="C2721" s="1"/>
      <c r="D2721" s="1"/>
      <c r="E2721" s="1"/>
      <c r="F2721" s="1"/>
      <c r="G2721" s="1"/>
      <c r="H2721" s="1"/>
      <c r="I2721" s="1"/>
      <c r="J2721" s="1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</row>
    <row r="2722" spans="2:73" s="38" customFormat="1">
      <c r="B2722" s="1"/>
      <c r="C2722" s="1"/>
      <c r="D2722" s="1"/>
      <c r="E2722" s="1"/>
      <c r="F2722" s="1"/>
      <c r="G2722" s="1"/>
      <c r="H2722" s="1"/>
      <c r="I2722" s="1"/>
      <c r="J2722" s="1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</row>
    <row r="2723" spans="2:73" s="38" customFormat="1">
      <c r="B2723" s="1"/>
      <c r="C2723" s="1"/>
      <c r="D2723" s="1"/>
      <c r="E2723" s="1"/>
      <c r="F2723" s="1"/>
      <c r="G2723" s="1"/>
      <c r="H2723" s="1"/>
      <c r="I2723" s="1"/>
      <c r="J2723" s="1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</row>
    <row r="2724" spans="2:73" s="38" customFormat="1">
      <c r="B2724" s="1"/>
      <c r="C2724" s="1"/>
      <c r="D2724" s="1"/>
      <c r="E2724" s="1"/>
      <c r="F2724" s="1"/>
      <c r="G2724" s="1"/>
      <c r="H2724" s="1"/>
      <c r="I2724" s="1"/>
      <c r="J2724" s="1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</row>
    <row r="2725" spans="2:73" s="38" customFormat="1">
      <c r="B2725" s="1"/>
      <c r="C2725" s="1"/>
      <c r="D2725" s="1"/>
      <c r="E2725" s="1"/>
      <c r="F2725" s="1"/>
      <c r="G2725" s="1"/>
      <c r="H2725" s="1"/>
      <c r="I2725" s="1"/>
      <c r="J2725" s="1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</row>
    <row r="2726" spans="2:73" s="38" customFormat="1">
      <c r="B2726" s="1"/>
      <c r="C2726" s="1"/>
      <c r="D2726" s="1"/>
      <c r="E2726" s="1"/>
      <c r="F2726" s="1"/>
      <c r="G2726" s="1"/>
      <c r="H2726" s="1"/>
      <c r="I2726" s="1"/>
      <c r="J2726" s="1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</row>
    <row r="2727" spans="2:73" s="38" customFormat="1">
      <c r="B2727" s="1"/>
      <c r="C2727" s="1"/>
      <c r="D2727" s="1"/>
      <c r="E2727" s="1"/>
      <c r="F2727" s="1"/>
      <c r="G2727" s="1"/>
      <c r="H2727" s="1"/>
      <c r="I2727" s="1"/>
      <c r="J2727" s="1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</row>
    <row r="2728" spans="2:73" s="38" customFormat="1">
      <c r="B2728" s="1"/>
      <c r="C2728" s="1"/>
      <c r="D2728" s="1"/>
      <c r="E2728" s="1"/>
      <c r="F2728" s="1"/>
      <c r="G2728" s="1"/>
      <c r="H2728" s="1"/>
      <c r="I2728" s="1"/>
      <c r="J2728" s="1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</row>
    <row r="2729" spans="2:73" s="38" customFormat="1">
      <c r="B2729" s="1"/>
      <c r="C2729" s="1"/>
      <c r="D2729" s="1"/>
      <c r="E2729" s="1"/>
      <c r="F2729" s="1"/>
      <c r="G2729" s="1"/>
      <c r="H2729" s="1"/>
      <c r="I2729" s="1"/>
      <c r="J2729" s="1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</row>
    <row r="2730" spans="2:73" s="38" customFormat="1">
      <c r="B2730" s="1"/>
      <c r="C2730" s="1"/>
      <c r="D2730" s="1"/>
      <c r="E2730" s="1"/>
      <c r="F2730" s="1"/>
      <c r="G2730" s="1"/>
      <c r="H2730" s="1"/>
      <c r="I2730" s="1"/>
      <c r="J2730" s="1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</row>
    <row r="2731" spans="2:73" s="38" customFormat="1">
      <c r="B2731" s="1"/>
      <c r="C2731" s="1"/>
      <c r="D2731" s="1"/>
      <c r="E2731" s="1"/>
      <c r="F2731" s="1"/>
      <c r="G2731" s="1"/>
      <c r="H2731" s="1"/>
      <c r="I2731" s="1"/>
      <c r="J2731" s="1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</row>
    <row r="2732" spans="2:73" s="38" customFormat="1">
      <c r="B2732" s="1"/>
      <c r="C2732" s="1"/>
      <c r="D2732" s="1"/>
      <c r="E2732" s="1"/>
      <c r="F2732" s="1"/>
      <c r="G2732" s="1"/>
      <c r="H2732" s="1"/>
      <c r="I2732" s="1"/>
      <c r="J2732" s="1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</row>
    <row r="2733" spans="2:73" s="38" customFormat="1">
      <c r="B2733" s="1"/>
      <c r="C2733" s="1"/>
      <c r="D2733" s="1"/>
      <c r="E2733" s="1"/>
      <c r="F2733" s="1"/>
      <c r="G2733" s="1"/>
      <c r="H2733" s="1"/>
      <c r="I2733" s="1"/>
      <c r="J2733" s="1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</row>
    <row r="2734" spans="2:73" s="38" customFormat="1">
      <c r="B2734" s="1"/>
      <c r="C2734" s="1"/>
      <c r="D2734" s="1"/>
      <c r="E2734" s="1"/>
      <c r="F2734" s="1"/>
      <c r="G2734" s="1"/>
      <c r="H2734" s="1"/>
      <c r="I2734" s="1"/>
      <c r="J2734" s="1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</row>
    <row r="2735" spans="2:73" s="38" customFormat="1">
      <c r="B2735" s="1"/>
      <c r="C2735" s="1"/>
      <c r="D2735" s="1"/>
      <c r="E2735" s="1"/>
      <c r="F2735" s="1"/>
      <c r="G2735" s="1"/>
      <c r="H2735" s="1"/>
      <c r="I2735" s="1"/>
      <c r="J2735" s="1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</row>
    <row r="2736" spans="2:73" s="38" customFormat="1">
      <c r="B2736" s="1"/>
      <c r="C2736" s="1"/>
      <c r="D2736" s="1"/>
      <c r="E2736" s="1"/>
      <c r="F2736" s="1"/>
      <c r="G2736" s="1"/>
      <c r="H2736" s="1"/>
      <c r="I2736" s="1"/>
      <c r="J2736" s="1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</row>
    <row r="2737" spans="2:73" s="38" customFormat="1">
      <c r="B2737" s="1"/>
      <c r="C2737" s="1"/>
      <c r="D2737" s="1"/>
      <c r="E2737" s="1"/>
      <c r="F2737" s="1"/>
      <c r="G2737" s="1"/>
      <c r="H2737" s="1"/>
      <c r="I2737" s="1"/>
      <c r="J2737" s="1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</row>
    <row r="2738" spans="2:73" s="38" customFormat="1">
      <c r="B2738" s="1"/>
      <c r="C2738" s="1"/>
      <c r="D2738" s="1"/>
      <c r="E2738" s="1"/>
      <c r="F2738" s="1"/>
      <c r="G2738" s="1"/>
      <c r="H2738" s="1"/>
      <c r="I2738" s="1"/>
      <c r="J2738" s="1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</row>
    <row r="2739" spans="2:73" s="38" customFormat="1">
      <c r="B2739" s="1"/>
      <c r="C2739" s="1"/>
      <c r="D2739" s="1"/>
      <c r="E2739" s="1"/>
      <c r="F2739" s="1"/>
      <c r="G2739" s="1"/>
      <c r="H2739" s="1"/>
      <c r="I2739" s="1"/>
      <c r="J2739" s="1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</row>
    <row r="2740" spans="2:73" s="38" customFormat="1">
      <c r="B2740" s="1"/>
      <c r="C2740" s="1"/>
      <c r="D2740" s="1"/>
      <c r="E2740" s="1"/>
      <c r="F2740" s="1"/>
      <c r="G2740" s="1"/>
      <c r="H2740" s="1"/>
      <c r="I2740" s="1"/>
      <c r="J2740" s="1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</row>
    <row r="2741" spans="2:73" s="38" customFormat="1">
      <c r="B2741" s="1"/>
      <c r="C2741" s="1"/>
      <c r="D2741" s="1"/>
      <c r="E2741" s="1"/>
      <c r="F2741" s="1"/>
      <c r="G2741" s="1"/>
      <c r="H2741" s="1"/>
      <c r="I2741" s="1"/>
      <c r="J2741" s="1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</row>
    <row r="2742" spans="2:73" s="38" customFormat="1">
      <c r="B2742" s="1"/>
      <c r="C2742" s="1"/>
      <c r="D2742" s="1"/>
      <c r="E2742" s="1"/>
      <c r="F2742" s="1"/>
      <c r="G2742" s="1"/>
      <c r="H2742" s="1"/>
      <c r="I2742" s="1"/>
      <c r="J2742" s="1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</row>
    <row r="2743" spans="2:73" s="38" customFormat="1">
      <c r="B2743" s="1"/>
      <c r="C2743" s="1"/>
      <c r="D2743" s="1"/>
      <c r="E2743" s="1"/>
      <c r="F2743" s="1"/>
      <c r="G2743" s="1"/>
      <c r="H2743" s="1"/>
      <c r="I2743" s="1"/>
      <c r="J2743" s="1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</row>
    <row r="2744" spans="2:73" s="38" customFormat="1">
      <c r="B2744" s="1"/>
      <c r="C2744" s="1"/>
      <c r="D2744" s="1"/>
      <c r="E2744" s="1"/>
      <c r="F2744" s="1"/>
      <c r="G2744" s="1"/>
      <c r="H2744" s="1"/>
      <c r="I2744" s="1"/>
      <c r="J2744" s="1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</row>
    <row r="2745" spans="2:73" s="38" customFormat="1">
      <c r="B2745" s="1"/>
      <c r="C2745" s="1"/>
      <c r="D2745" s="1"/>
      <c r="E2745" s="1"/>
      <c r="F2745" s="1"/>
      <c r="G2745" s="1"/>
      <c r="H2745" s="1"/>
      <c r="I2745" s="1"/>
      <c r="J2745" s="1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</row>
    <row r="2746" spans="2:73" s="38" customFormat="1">
      <c r="B2746" s="1"/>
      <c r="C2746" s="1"/>
      <c r="D2746" s="1"/>
      <c r="E2746" s="1"/>
      <c r="F2746" s="1"/>
      <c r="G2746" s="1"/>
      <c r="H2746" s="1"/>
      <c r="I2746" s="1"/>
      <c r="J2746" s="1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</row>
    <row r="2747" spans="2:73" s="38" customFormat="1">
      <c r="B2747" s="1"/>
      <c r="C2747" s="1"/>
      <c r="D2747" s="1"/>
      <c r="E2747" s="1"/>
      <c r="F2747" s="1"/>
      <c r="G2747" s="1"/>
      <c r="H2747" s="1"/>
      <c r="I2747" s="1"/>
      <c r="J2747" s="1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</row>
    <row r="2748" spans="2:73" s="38" customFormat="1">
      <c r="B2748" s="1"/>
      <c r="C2748" s="1"/>
      <c r="D2748" s="1"/>
      <c r="E2748" s="1"/>
      <c r="F2748" s="1"/>
      <c r="G2748" s="1"/>
      <c r="H2748" s="1"/>
      <c r="I2748" s="1"/>
      <c r="J2748" s="1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</row>
    <row r="2749" spans="2:73" s="38" customFormat="1">
      <c r="B2749" s="1"/>
      <c r="C2749" s="1"/>
      <c r="D2749" s="1"/>
      <c r="E2749" s="1"/>
      <c r="F2749" s="1"/>
      <c r="G2749" s="1"/>
      <c r="H2749" s="1"/>
      <c r="I2749" s="1"/>
      <c r="J2749" s="1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</row>
    <row r="2750" spans="2:73" s="38" customFormat="1">
      <c r="B2750" s="1"/>
      <c r="C2750" s="1"/>
      <c r="D2750" s="1"/>
      <c r="E2750" s="1"/>
      <c r="F2750" s="1"/>
      <c r="G2750" s="1"/>
      <c r="H2750" s="1"/>
      <c r="I2750" s="1"/>
      <c r="J2750" s="1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</row>
    <row r="2751" spans="2:73" s="38" customFormat="1">
      <c r="B2751" s="1"/>
      <c r="C2751" s="1"/>
      <c r="D2751" s="1"/>
      <c r="E2751" s="1"/>
      <c r="F2751" s="1"/>
      <c r="G2751" s="1"/>
      <c r="H2751" s="1"/>
      <c r="I2751" s="1"/>
      <c r="J2751" s="1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</row>
    <row r="2752" spans="2:73" s="38" customFormat="1">
      <c r="B2752" s="1"/>
      <c r="C2752" s="1"/>
      <c r="D2752" s="1"/>
      <c r="E2752" s="1"/>
      <c r="F2752" s="1"/>
      <c r="G2752" s="1"/>
      <c r="H2752" s="1"/>
      <c r="I2752" s="1"/>
      <c r="J2752" s="1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</row>
    <row r="2753" spans="2:73" s="38" customFormat="1">
      <c r="B2753" s="1"/>
      <c r="C2753" s="1"/>
      <c r="D2753" s="1"/>
      <c r="E2753" s="1"/>
      <c r="F2753" s="1"/>
      <c r="G2753" s="1"/>
      <c r="H2753" s="1"/>
      <c r="I2753" s="1"/>
      <c r="J2753" s="1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</row>
    <row r="2754" spans="2:73" s="38" customFormat="1">
      <c r="B2754" s="1"/>
      <c r="C2754" s="1"/>
      <c r="D2754" s="1"/>
      <c r="E2754" s="1"/>
      <c r="F2754" s="1"/>
      <c r="G2754" s="1"/>
      <c r="H2754" s="1"/>
      <c r="I2754" s="1"/>
      <c r="J2754" s="1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</row>
    <row r="2755" spans="2:73" s="38" customFormat="1">
      <c r="B2755" s="1"/>
      <c r="C2755" s="1"/>
      <c r="D2755" s="1"/>
      <c r="E2755" s="1"/>
      <c r="F2755" s="1"/>
      <c r="G2755" s="1"/>
      <c r="H2755" s="1"/>
      <c r="I2755" s="1"/>
      <c r="J2755" s="1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</row>
    <row r="2756" spans="2:73" s="38" customFormat="1">
      <c r="B2756" s="1"/>
      <c r="C2756" s="1"/>
      <c r="D2756" s="1"/>
      <c r="E2756" s="1"/>
      <c r="F2756" s="1"/>
      <c r="G2756" s="1"/>
      <c r="H2756" s="1"/>
      <c r="I2756" s="1"/>
      <c r="J2756" s="1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</row>
    <row r="2757" spans="2:73" s="38" customFormat="1">
      <c r="B2757" s="1"/>
      <c r="C2757" s="1"/>
      <c r="D2757" s="1"/>
      <c r="E2757" s="1"/>
      <c r="F2757" s="1"/>
      <c r="G2757" s="1"/>
      <c r="H2757" s="1"/>
      <c r="I2757" s="1"/>
      <c r="J2757" s="1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</row>
    <row r="2758" spans="2:73" s="38" customFormat="1">
      <c r="B2758" s="1"/>
      <c r="C2758" s="1"/>
      <c r="D2758" s="1"/>
      <c r="E2758" s="1"/>
      <c r="F2758" s="1"/>
      <c r="G2758" s="1"/>
      <c r="H2758" s="1"/>
      <c r="I2758" s="1"/>
      <c r="J2758" s="1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</row>
    <row r="2759" spans="2:73" s="38" customFormat="1">
      <c r="B2759" s="1"/>
      <c r="C2759" s="1"/>
      <c r="D2759" s="1"/>
      <c r="E2759" s="1"/>
      <c r="F2759" s="1"/>
      <c r="G2759" s="1"/>
      <c r="H2759" s="1"/>
      <c r="I2759" s="1"/>
      <c r="J2759" s="1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</row>
    <row r="2760" spans="2:73" s="38" customFormat="1">
      <c r="B2760" s="1"/>
      <c r="C2760" s="1"/>
      <c r="D2760" s="1"/>
      <c r="E2760" s="1"/>
      <c r="F2760" s="1"/>
      <c r="G2760" s="1"/>
      <c r="H2760" s="1"/>
      <c r="I2760" s="1"/>
      <c r="J2760" s="1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</row>
    <row r="2761" spans="2:73" s="38" customFormat="1">
      <c r="B2761" s="1"/>
      <c r="C2761" s="1"/>
      <c r="D2761" s="1"/>
      <c r="E2761" s="1"/>
      <c r="F2761" s="1"/>
      <c r="G2761" s="1"/>
      <c r="H2761" s="1"/>
      <c r="I2761" s="1"/>
      <c r="J2761" s="1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</row>
    <row r="2762" spans="2:73" s="38" customFormat="1">
      <c r="B2762" s="1"/>
      <c r="C2762" s="1"/>
      <c r="D2762" s="1"/>
      <c r="E2762" s="1"/>
      <c r="F2762" s="1"/>
      <c r="G2762" s="1"/>
      <c r="H2762" s="1"/>
      <c r="I2762" s="1"/>
      <c r="J2762" s="1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</row>
    <row r="2763" spans="2:73" s="38" customFormat="1">
      <c r="B2763" s="1"/>
      <c r="C2763" s="1"/>
      <c r="D2763" s="1"/>
      <c r="E2763" s="1"/>
      <c r="F2763" s="1"/>
      <c r="G2763" s="1"/>
      <c r="H2763" s="1"/>
      <c r="I2763" s="1"/>
      <c r="J2763" s="1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</row>
    <row r="2764" spans="2:73" s="38" customFormat="1">
      <c r="B2764" s="1"/>
      <c r="C2764" s="1"/>
      <c r="D2764" s="1"/>
      <c r="E2764" s="1"/>
      <c r="F2764" s="1"/>
      <c r="G2764" s="1"/>
      <c r="H2764" s="1"/>
      <c r="I2764" s="1"/>
      <c r="J2764" s="1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</row>
    <row r="2765" spans="2:73" s="38" customFormat="1">
      <c r="B2765" s="1"/>
      <c r="C2765" s="1"/>
      <c r="D2765" s="1"/>
      <c r="E2765" s="1"/>
      <c r="F2765" s="1"/>
      <c r="G2765" s="1"/>
      <c r="H2765" s="1"/>
      <c r="I2765" s="1"/>
      <c r="J2765" s="1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</row>
    <row r="2766" spans="2:73" s="38" customFormat="1">
      <c r="B2766" s="1"/>
      <c r="C2766" s="1"/>
      <c r="D2766" s="1"/>
      <c r="E2766" s="1"/>
      <c r="F2766" s="1"/>
      <c r="G2766" s="1"/>
      <c r="H2766" s="1"/>
      <c r="I2766" s="1"/>
      <c r="J2766" s="1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</row>
    <row r="2767" spans="2:73" s="38" customFormat="1">
      <c r="B2767" s="1"/>
      <c r="C2767" s="1"/>
      <c r="D2767" s="1"/>
      <c r="E2767" s="1"/>
      <c r="F2767" s="1"/>
      <c r="G2767" s="1"/>
      <c r="H2767" s="1"/>
      <c r="I2767" s="1"/>
      <c r="J2767" s="1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</row>
    <row r="2768" spans="2:73" s="38" customFormat="1">
      <c r="B2768" s="1"/>
      <c r="C2768" s="1"/>
      <c r="D2768" s="1"/>
      <c r="E2768" s="1"/>
      <c r="F2768" s="1"/>
      <c r="G2768" s="1"/>
      <c r="H2768" s="1"/>
      <c r="I2768" s="1"/>
      <c r="J2768" s="1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</row>
    <row r="2769" spans="2:73" s="38" customFormat="1">
      <c r="B2769" s="1"/>
      <c r="C2769" s="1"/>
      <c r="D2769" s="1"/>
      <c r="E2769" s="1"/>
      <c r="F2769" s="1"/>
      <c r="G2769" s="1"/>
      <c r="H2769" s="1"/>
      <c r="I2769" s="1"/>
      <c r="J2769" s="1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</row>
    <row r="2770" spans="2:73" s="38" customFormat="1">
      <c r="B2770" s="1"/>
      <c r="C2770" s="1"/>
      <c r="D2770" s="1"/>
      <c r="E2770" s="1"/>
      <c r="F2770" s="1"/>
      <c r="G2770" s="1"/>
      <c r="H2770" s="1"/>
      <c r="I2770" s="1"/>
      <c r="J2770" s="1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</row>
    <row r="2771" spans="2:73" s="38" customFormat="1">
      <c r="B2771" s="1"/>
      <c r="C2771" s="1"/>
      <c r="D2771" s="1"/>
      <c r="E2771" s="1"/>
      <c r="F2771" s="1"/>
      <c r="G2771" s="1"/>
      <c r="H2771" s="1"/>
      <c r="I2771" s="1"/>
      <c r="J2771" s="1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</row>
    <row r="2772" spans="2:73" s="38" customFormat="1">
      <c r="B2772" s="1"/>
      <c r="C2772" s="1"/>
      <c r="D2772" s="1"/>
      <c r="E2772" s="1"/>
      <c r="F2772" s="1"/>
      <c r="G2772" s="1"/>
      <c r="H2772" s="1"/>
      <c r="I2772" s="1"/>
      <c r="J2772" s="1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</row>
    <row r="2773" spans="2:73" s="38" customFormat="1">
      <c r="B2773" s="1"/>
      <c r="C2773" s="1"/>
      <c r="D2773" s="1"/>
      <c r="E2773" s="1"/>
      <c r="F2773" s="1"/>
      <c r="G2773" s="1"/>
      <c r="H2773" s="1"/>
      <c r="I2773" s="1"/>
      <c r="J2773" s="1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</row>
    <row r="2774" spans="2:73" s="38" customFormat="1">
      <c r="B2774" s="1"/>
      <c r="C2774" s="1"/>
      <c r="D2774" s="1"/>
      <c r="E2774" s="1"/>
      <c r="F2774" s="1"/>
      <c r="G2774" s="1"/>
      <c r="H2774" s="1"/>
      <c r="I2774" s="1"/>
      <c r="J2774" s="1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</row>
    <row r="2775" spans="2:73" s="38" customFormat="1">
      <c r="B2775" s="1"/>
      <c r="C2775" s="1"/>
      <c r="D2775" s="1"/>
      <c r="E2775" s="1"/>
      <c r="F2775" s="1"/>
      <c r="G2775" s="1"/>
      <c r="H2775" s="1"/>
      <c r="I2775" s="1"/>
      <c r="J2775" s="1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</row>
    <row r="2776" spans="2:73" s="38" customFormat="1">
      <c r="B2776" s="1"/>
      <c r="C2776" s="1"/>
      <c r="D2776" s="1"/>
      <c r="E2776" s="1"/>
      <c r="F2776" s="1"/>
      <c r="G2776" s="1"/>
      <c r="H2776" s="1"/>
      <c r="I2776" s="1"/>
      <c r="J2776" s="1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</row>
    <row r="2777" spans="2:73" s="38" customFormat="1">
      <c r="B2777" s="1"/>
      <c r="C2777" s="1"/>
      <c r="D2777" s="1"/>
      <c r="E2777" s="1"/>
      <c r="F2777" s="1"/>
      <c r="G2777" s="1"/>
      <c r="H2777" s="1"/>
      <c r="I2777" s="1"/>
      <c r="J2777" s="1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</row>
    <row r="2778" spans="2:73" s="38" customFormat="1">
      <c r="B2778" s="1"/>
      <c r="C2778" s="1"/>
      <c r="D2778" s="1"/>
      <c r="E2778" s="1"/>
      <c r="F2778" s="1"/>
      <c r="G2778" s="1"/>
      <c r="H2778" s="1"/>
      <c r="I2778" s="1"/>
      <c r="J2778" s="1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</row>
    <row r="2779" spans="2:73" s="38" customFormat="1">
      <c r="B2779" s="1"/>
      <c r="C2779" s="1"/>
      <c r="D2779" s="1"/>
      <c r="E2779" s="1"/>
      <c r="F2779" s="1"/>
      <c r="G2779" s="1"/>
      <c r="H2779" s="1"/>
      <c r="I2779" s="1"/>
      <c r="J2779" s="1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</row>
    <row r="2780" spans="2:73" s="38" customFormat="1">
      <c r="B2780" s="1"/>
      <c r="C2780" s="1"/>
      <c r="D2780" s="1"/>
      <c r="E2780" s="1"/>
      <c r="F2780" s="1"/>
      <c r="G2780" s="1"/>
      <c r="H2780" s="1"/>
      <c r="I2780" s="1"/>
      <c r="J2780" s="1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</row>
    <row r="2781" spans="2:73" s="38" customFormat="1">
      <c r="B2781" s="1"/>
      <c r="C2781" s="1"/>
      <c r="D2781" s="1"/>
      <c r="E2781" s="1"/>
      <c r="F2781" s="1"/>
      <c r="G2781" s="1"/>
      <c r="H2781" s="1"/>
      <c r="I2781" s="1"/>
      <c r="J2781" s="1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</row>
    <row r="2782" spans="2:73" s="38" customFormat="1">
      <c r="B2782" s="1"/>
      <c r="C2782" s="1"/>
      <c r="D2782" s="1"/>
      <c r="E2782" s="1"/>
      <c r="F2782" s="1"/>
      <c r="G2782" s="1"/>
      <c r="H2782" s="1"/>
      <c r="I2782" s="1"/>
      <c r="J2782" s="1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</row>
    <row r="2783" spans="2:73" s="38" customFormat="1">
      <c r="B2783" s="1"/>
      <c r="C2783" s="1"/>
      <c r="D2783" s="1"/>
      <c r="E2783" s="1"/>
      <c r="F2783" s="1"/>
      <c r="G2783" s="1"/>
      <c r="H2783" s="1"/>
      <c r="I2783" s="1"/>
      <c r="J2783" s="1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</row>
    <row r="2784" spans="2:73" s="38" customFormat="1">
      <c r="B2784" s="1"/>
      <c r="C2784" s="1"/>
      <c r="D2784" s="1"/>
      <c r="E2784" s="1"/>
      <c r="F2784" s="1"/>
      <c r="G2784" s="1"/>
      <c r="H2784" s="1"/>
      <c r="I2784" s="1"/>
      <c r="J2784" s="1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</row>
    <row r="2785" spans="2:73" s="38" customFormat="1">
      <c r="B2785" s="1"/>
      <c r="C2785" s="1"/>
      <c r="D2785" s="1"/>
      <c r="E2785" s="1"/>
      <c r="F2785" s="1"/>
      <c r="G2785" s="1"/>
      <c r="H2785" s="1"/>
      <c r="I2785" s="1"/>
      <c r="J2785" s="1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</row>
    <row r="2786" spans="2:73" s="38" customFormat="1">
      <c r="B2786" s="1"/>
      <c r="C2786" s="1"/>
      <c r="D2786" s="1"/>
      <c r="E2786" s="1"/>
      <c r="F2786" s="1"/>
      <c r="G2786" s="1"/>
      <c r="H2786" s="1"/>
      <c r="I2786" s="1"/>
      <c r="J2786" s="1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</row>
    <row r="2787" spans="2:73" s="38" customFormat="1">
      <c r="B2787" s="1"/>
      <c r="C2787" s="1"/>
      <c r="D2787" s="1"/>
      <c r="E2787" s="1"/>
      <c r="F2787" s="1"/>
      <c r="G2787" s="1"/>
      <c r="H2787" s="1"/>
      <c r="I2787" s="1"/>
      <c r="J2787" s="1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</row>
    <row r="2788" spans="2:73" s="38" customFormat="1">
      <c r="B2788" s="1"/>
      <c r="C2788" s="1"/>
      <c r="D2788" s="1"/>
      <c r="E2788" s="1"/>
      <c r="F2788" s="1"/>
      <c r="G2788" s="1"/>
      <c r="H2788" s="1"/>
      <c r="I2788" s="1"/>
      <c r="J2788" s="1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</row>
    <row r="2789" spans="2:73" s="38" customFormat="1">
      <c r="B2789" s="1"/>
      <c r="C2789" s="1"/>
      <c r="D2789" s="1"/>
      <c r="E2789" s="1"/>
      <c r="F2789" s="1"/>
      <c r="G2789" s="1"/>
      <c r="H2789" s="1"/>
      <c r="I2789" s="1"/>
      <c r="J2789" s="1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</row>
    <row r="2790" spans="2:73" s="38" customFormat="1">
      <c r="B2790" s="1"/>
      <c r="C2790" s="1"/>
      <c r="D2790" s="1"/>
      <c r="E2790" s="1"/>
      <c r="F2790" s="1"/>
      <c r="G2790" s="1"/>
      <c r="H2790" s="1"/>
      <c r="I2790" s="1"/>
      <c r="J2790" s="1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</row>
    <row r="2791" spans="2:73" s="38" customFormat="1">
      <c r="B2791" s="1"/>
      <c r="C2791" s="1"/>
      <c r="D2791" s="1"/>
      <c r="E2791" s="1"/>
      <c r="F2791" s="1"/>
      <c r="G2791" s="1"/>
      <c r="H2791" s="1"/>
      <c r="I2791" s="1"/>
      <c r="J2791" s="1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</row>
    <row r="2792" spans="2:73" s="38" customFormat="1">
      <c r="B2792" s="1"/>
      <c r="C2792" s="1"/>
      <c r="D2792" s="1"/>
      <c r="E2792" s="1"/>
      <c r="F2792" s="1"/>
      <c r="G2792" s="1"/>
      <c r="H2792" s="1"/>
      <c r="I2792" s="1"/>
      <c r="J2792" s="1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</row>
    <row r="2793" spans="2:73" s="38" customFormat="1">
      <c r="B2793" s="1"/>
      <c r="C2793" s="1"/>
      <c r="D2793" s="1"/>
      <c r="E2793" s="1"/>
      <c r="F2793" s="1"/>
      <c r="G2793" s="1"/>
      <c r="H2793" s="1"/>
      <c r="I2793" s="1"/>
      <c r="J2793" s="1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</row>
    <row r="2794" spans="2:73" s="38" customFormat="1">
      <c r="B2794" s="1"/>
      <c r="C2794" s="1"/>
      <c r="D2794" s="1"/>
      <c r="E2794" s="1"/>
      <c r="F2794" s="1"/>
      <c r="G2794" s="1"/>
      <c r="H2794" s="1"/>
      <c r="I2794" s="1"/>
      <c r="J2794" s="1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</row>
    <row r="2795" spans="2:73" s="38" customFormat="1">
      <c r="B2795" s="1"/>
      <c r="C2795" s="1"/>
      <c r="D2795" s="1"/>
      <c r="E2795" s="1"/>
      <c r="F2795" s="1"/>
      <c r="G2795" s="1"/>
      <c r="H2795" s="1"/>
      <c r="I2795" s="1"/>
      <c r="J2795" s="1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</row>
    <row r="2796" spans="2:73" s="38" customFormat="1">
      <c r="B2796" s="1"/>
      <c r="C2796" s="1"/>
      <c r="D2796" s="1"/>
      <c r="E2796" s="1"/>
      <c r="F2796" s="1"/>
      <c r="G2796" s="1"/>
      <c r="H2796" s="1"/>
      <c r="I2796" s="1"/>
      <c r="J2796" s="1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</row>
    <row r="2797" spans="2:73" s="38" customFormat="1">
      <c r="B2797" s="1"/>
      <c r="C2797" s="1"/>
      <c r="D2797" s="1"/>
      <c r="E2797" s="1"/>
      <c r="F2797" s="1"/>
      <c r="G2797" s="1"/>
      <c r="H2797" s="1"/>
      <c r="I2797" s="1"/>
      <c r="J2797" s="1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</row>
    <row r="2798" spans="2:73" s="38" customFormat="1">
      <c r="B2798" s="1"/>
      <c r="C2798" s="1"/>
      <c r="D2798" s="1"/>
      <c r="E2798" s="1"/>
      <c r="F2798" s="1"/>
      <c r="G2798" s="1"/>
      <c r="H2798" s="1"/>
      <c r="I2798" s="1"/>
      <c r="J2798" s="1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</row>
    <row r="2799" spans="2:73" s="38" customFormat="1">
      <c r="B2799" s="1"/>
      <c r="C2799" s="1"/>
      <c r="D2799" s="1"/>
      <c r="E2799" s="1"/>
      <c r="F2799" s="1"/>
      <c r="G2799" s="1"/>
      <c r="H2799" s="1"/>
      <c r="I2799" s="1"/>
      <c r="J2799" s="1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</row>
    <row r="2800" spans="2:73" s="38" customFormat="1">
      <c r="B2800" s="1"/>
      <c r="C2800" s="1"/>
      <c r="D2800" s="1"/>
      <c r="E2800" s="1"/>
      <c r="F2800" s="1"/>
      <c r="G2800" s="1"/>
      <c r="H2800" s="1"/>
      <c r="I2800" s="1"/>
      <c r="J2800" s="1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</row>
    <row r="2801" spans="2:73" s="38" customFormat="1">
      <c r="B2801" s="1"/>
      <c r="C2801" s="1"/>
      <c r="D2801" s="1"/>
      <c r="E2801" s="1"/>
      <c r="F2801" s="1"/>
      <c r="G2801" s="1"/>
      <c r="H2801" s="1"/>
      <c r="I2801" s="1"/>
      <c r="J2801" s="1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</row>
    <row r="2802" spans="2:73" s="38" customFormat="1">
      <c r="B2802" s="1"/>
      <c r="C2802" s="1"/>
      <c r="D2802" s="1"/>
      <c r="E2802" s="1"/>
      <c r="F2802" s="1"/>
      <c r="G2802" s="1"/>
      <c r="H2802" s="1"/>
      <c r="I2802" s="1"/>
      <c r="J2802" s="1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</row>
    <row r="2803" spans="2:73" s="38" customFormat="1">
      <c r="B2803" s="1"/>
      <c r="C2803" s="1"/>
      <c r="D2803" s="1"/>
      <c r="E2803" s="1"/>
      <c r="F2803" s="1"/>
      <c r="G2803" s="1"/>
      <c r="H2803" s="1"/>
      <c r="I2803" s="1"/>
      <c r="J2803" s="1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</row>
    <row r="2804" spans="2:73" s="38" customFormat="1">
      <c r="B2804" s="1"/>
      <c r="C2804" s="1"/>
      <c r="D2804" s="1"/>
      <c r="E2804" s="1"/>
      <c r="F2804" s="1"/>
      <c r="G2804" s="1"/>
      <c r="H2804" s="1"/>
      <c r="I2804" s="1"/>
      <c r="J2804" s="1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</row>
    <row r="2805" spans="2:73" s="38" customFormat="1">
      <c r="B2805" s="1"/>
      <c r="C2805" s="1"/>
      <c r="D2805" s="1"/>
      <c r="E2805" s="1"/>
      <c r="F2805" s="1"/>
      <c r="G2805" s="1"/>
      <c r="H2805" s="1"/>
      <c r="I2805" s="1"/>
      <c r="J2805" s="1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</row>
    <row r="2806" spans="2:73" s="38" customFormat="1">
      <c r="B2806" s="1"/>
      <c r="C2806" s="1"/>
      <c r="D2806" s="1"/>
      <c r="E2806" s="1"/>
      <c r="F2806" s="1"/>
      <c r="G2806" s="1"/>
      <c r="H2806" s="1"/>
      <c r="I2806" s="1"/>
      <c r="J2806" s="1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</row>
    <row r="2807" spans="2:73" s="38" customFormat="1">
      <c r="B2807" s="1"/>
      <c r="C2807" s="1"/>
      <c r="D2807" s="1"/>
      <c r="E2807" s="1"/>
      <c r="F2807" s="1"/>
      <c r="G2807" s="1"/>
      <c r="H2807" s="1"/>
      <c r="I2807" s="1"/>
      <c r="J2807" s="1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</row>
    <row r="2808" spans="2:73" s="38" customFormat="1">
      <c r="B2808" s="1"/>
      <c r="C2808" s="1"/>
      <c r="D2808" s="1"/>
      <c r="E2808" s="1"/>
      <c r="F2808" s="1"/>
      <c r="G2808" s="1"/>
      <c r="H2808" s="1"/>
      <c r="I2808" s="1"/>
      <c r="J2808" s="1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</row>
    <row r="2809" spans="2:73" s="38" customFormat="1">
      <c r="B2809" s="1"/>
      <c r="C2809" s="1"/>
      <c r="D2809" s="1"/>
      <c r="E2809" s="1"/>
      <c r="F2809" s="1"/>
      <c r="G2809" s="1"/>
      <c r="H2809" s="1"/>
      <c r="I2809" s="1"/>
      <c r="J2809" s="1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</row>
    <row r="2810" spans="2:73" s="38" customFormat="1">
      <c r="B2810" s="1"/>
      <c r="C2810" s="1"/>
      <c r="D2810" s="1"/>
      <c r="E2810" s="1"/>
      <c r="F2810" s="1"/>
      <c r="G2810" s="1"/>
      <c r="H2810" s="1"/>
      <c r="I2810" s="1"/>
      <c r="J2810" s="1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</row>
    <row r="2811" spans="2:73" s="38" customFormat="1">
      <c r="B2811" s="1"/>
      <c r="C2811" s="1"/>
      <c r="D2811" s="1"/>
      <c r="E2811" s="1"/>
      <c r="F2811" s="1"/>
      <c r="G2811" s="1"/>
      <c r="H2811" s="1"/>
      <c r="I2811" s="1"/>
      <c r="J2811" s="1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</row>
    <row r="2812" spans="2:73" s="38" customFormat="1">
      <c r="B2812" s="1"/>
      <c r="C2812" s="1"/>
      <c r="D2812" s="1"/>
      <c r="E2812" s="1"/>
      <c r="F2812" s="1"/>
      <c r="G2812" s="1"/>
      <c r="H2812" s="1"/>
      <c r="I2812" s="1"/>
      <c r="J2812" s="1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</row>
    <row r="2813" spans="2:73" s="38" customFormat="1">
      <c r="B2813" s="1"/>
      <c r="C2813" s="1"/>
      <c r="D2813" s="1"/>
      <c r="E2813" s="1"/>
      <c r="F2813" s="1"/>
      <c r="G2813" s="1"/>
      <c r="H2813" s="1"/>
      <c r="I2813" s="1"/>
      <c r="J2813" s="1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</row>
    <row r="2814" spans="2:73" s="38" customFormat="1">
      <c r="B2814" s="1"/>
      <c r="C2814" s="1"/>
      <c r="D2814" s="1"/>
      <c r="E2814" s="1"/>
      <c r="F2814" s="1"/>
      <c r="G2814" s="1"/>
      <c r="H2814" s="1"/>
      <c r="I2814" s="1"/>
      <c r="J2814" s="1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</row>
    <row r="2815" spans="2:73" s="38" customFormat="1">
      <c r="B2815" s="1"/>
      <c r="C2815" s="1"/>
      <c r="D2815" s="1"/>
      <c r="E2815" s="1"/>
      <c r="F2815" s="1"/>
      <c r="G2815" s="1"/>
      <c r="H2815" s="1"/>
      <c r="I2815" s="1"/>
      <c r="J2815" s="1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</row>
    <row r="2816" spans="2:73" s="38" customFormat="1">
      <c r="B2816" s="1"/>
      <c r="C2816" s="1"/>
      <c r="D2816" s="1"/>
      <c r="E2816" s="1"/>
      <c r="F2816" s="1"/>
      <c r="G2816" s="1"/>
      <c r="H2816" s="1"/>
      <c r="I2816" s="1"/>
      <c r="J2816" s="1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</row>
    <row r="2817" spans="2:73" s="38" customFormat="1">
      <c r="B2817" s="1"/>
      <c r="C2817" s="1"/>
      <c r="D2817" s="1"/>
      <c r="E2817" s="1"/>
      <c r="F2817" s="1"/>
      <c r="G2817" s="1"/>
      <c r="H2817" s="1"/>
      <c r="I2817" s="1"/>
      <c r="J2817" s="1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</row>
    <row r="2818" spans="2:73" s="38" customFormat="1">
      <c r="B2818" s="1"/>
      <c r="C2818" s="1"/>
      <c r="D2818" s="1"/>
      <c r="E2818" s="1"/>
      <c r="F2818" s="1"/>
      <c r="G2818" s="1"/>
      <c r="H2818" s="1"/>
      <c r="I2818" s="1"/>
      <c r="J2818" s="1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</row>
    <row r="2819" spans="2:73" s="38" customFormat="1">
      <c r="B2819" s="1"/>
      <c r="C2819" s="1"/>
      <c r="D2819" s="1"/>
      <c r="E2819" s="1"/>
      <c r="F2819" s="1"/>
      <c r="G2819" s="1"/>
      <c r="H2819" s="1"/>
      <c r="I2819" s="1"/>
      <c r="J2819" s="1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</row>
    <row r="2820" spans="2:73" s="38" customFormat="1">
      <c r="B2820" s="1"/>
      <c r="C2820" s="1"/>
      <c r="D2820" s="1"/>
      <c r="E2820" s="1"/>
      <c r="F2820" s="1"/>
      <c r="G2820" s="1"/>
      <c r="H2820" s="1"/>
      <c r="I2820" s="1"/>
      <c r="J2820" s="1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</row>
    <row r="2821" spans="2:73" s="38" customFormat="1">
      <c r="B2821" s="1"/>
      <c r="C2821" s="1"/>
      <c r="D2821" s="1"/>
      <c r="E2821" s="1"/>
      <c r="F2821" s="1"/>
      <c r="G2821" s="1"/>
      <c r="H2821" s="1"/>
      <c r="I2821" s="1"/>
      <c r="J2821" s="1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</row>
    <row r="2822" spans="2:73" s="38" customFormat="1">
      <c r="B2822" s="1"/>
      <c r="C2822" s="1"/>
      <c r="D2822" s="1"/>
      <c r="E2822" s="1"/>
      <c r="F2822" s="1"/>
      <c r="G2822" s="1"/>
      <c r="H2822" s="1"/>
      <c r="I2822" s="1"/>
      <c r="J2822" s="1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</row>
    <row r="2823" spans="2:73" s="38" customFormat="1">
      <c r="B2823" s="1"/>
      <c r="C2823" s="1"/>
      <c r="D2823" s="1"/>
      <c r="E2823" s="1"/>
      <c r="F2823" s="1"/>
      <c r="G2823" s="1"/>
      <c r="H2823" s="1"/>
      <c r="I2823" s="1"/>
      <c r="J2823" s="1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</row>
    <row r="2824" spans="2:73" s="38" customFormat="1">
      <c r="B2824" s="1"/>
      <c r="C2824" s="1"/>
      <c r="D2824" s="1"/>
      <c r="E2824" s="1"/>
      <c r="F2824" s="1"/>
      <c r="G2824" s="1"/>
      <c r="H2824" s="1"/>
      <c r="I2824" s="1"/>
      <c r="J2824" s="1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</row>
    <row r="2825" spans="2:73" s="38" customFormat="1">
      <c r="B2825" s="1"/>
      <c r="C2825" s="1"/>
      <c r="D2825" s="1"/>
      <c r="E2825" s="1"/>
      <c r="F2825" s="1"/>
      <c r="G2825" s="1"/>
      <c r="H2825" s="1"/>
      <c r="I2825" s="1"/>
      <c r="J2825" s="1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</row>
    <row r="2826" spans="2:73" s="38" customFormat="1">
      <c r="B2826" s="1"/>
      <c r="C2826" s="1"/>
      <c r="D2826" s="1"/>
      <c r="E2826" s="1"/>
      <c r="F2826" s="1"/>
      <c r="G2826" s="1"/>
      <c r="H2826" s="1"/>
      <c r="I2826" s="1"/>
      <c r="J2826" s="1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</row>
    <row r="2827" spans="2:73" s="38" customFormat="1">
      <c r="B2827" s="1"/>
      <c r="C2827" s="1"/>
      <c r="D2827" s="1"/>
      <c r="E2827" s="1"/>
      <c r="F2827" s="1"/>
      <c r="G2827" s="1"/>
      <c r="H2827" s="1"/>
      <c r="I2827" s="1"/>
      <c r="J2827" s="1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</row>
    <row r="2828" spans="2:73" s="38" customFormat="1">
      <c r="B2828" s="1"/>
      <c r="C2828" s="1"/>
      <c r="D2828" s="1"/>
      <c r="E2828" s="1"/>
      <c r="F2828" s="1"/>
      <c r="G2828" s="1"/>
      <c r="H2828" s="1"/>
      <c r="I2828" s="1"/>
      <c r="J2828" s="1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</row>
    <row r="2829" spans="2:73" s="38" customFormat="1">
      <c r="B2829" s="1"/>
      <c r="C2829" s="1"/>
      <c r="D2829" s="1"/>
      <c r="E2829" s="1"/>
      <c r="F2829" s="1"/>
      <c r="G2829" s="1"/>
      <c r="H2829" s="1"/>
      <c r="I2829" s="1"/>
      <c r="J2829" s="1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</row>
    <row r="2830" spans="2:73" s="38" customFormat="1">
      <c r="B2830" s="1"/>
      <c r="C2830" s="1"/>
      <c r="D2830" s="1"/>
      <c r="E2830" s="1"/>
      <c r="F2830" s="1"/>
      <c r="G2830" s="1"/>
      <c r="H2830" s="1"/>
      <c r="I2830" s="1"/>
      <c r="J2830" s="1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</row>
    <row r="2831" spans="2:73" s="38" customFormat="1">
      <c r="B2831" s="1"/>
      <c r="C2831" s="1"/>
      <c r="D2831" s="1"/>
      <c r="E2831" s="1"/>
      <c r="F2831" s="1"/>
      <c r="G2831" s="1"/>
      <c r="H2831" s="1"/>
      <c r="I2831" s="1"/>
      <c r="J2831" s="1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</row>
    <row r="2832" spans="2:73" s="38" customFormat="1">
      <c r="B2832" s="1"/>
      <c r="C2832" s="1"/>
      <c r="D2832" s="1"/>
      <c r="E2832" s="1"/>
      <c r="F2832" s="1"/>
      <c r="G2832" s="1"/>
      <c r="H2832" s="1"/>
      <c r="I2832" s="1"/>
      <c r="J2832" s="1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</row>
    <row r="2833" spans="2:73" s="38" customFormat="1">
      <c r="B2833" s="1"/>
      <c r="C2833" s="1"/>
      <c r="D2833" s="1"/>
      <c r="E2833" s="1"/>
      <c r="F2833" s="1"/>
      <c r="G2833" s="1"/>
      <c r="H2833" s="1"/>
      <c r="I2833" s="1"/>
      <c r="J2833" s="1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</row>
    <row r="2834" spans="2:73" s="38" customFormat="1">
      <c r="B2834" s="1"/>
      <c r="C2834" s="1"/>
      <c r="D2834" s="1"/>
      <c r="E2834" s="1"/>
      <c r="F2834" s="1"/>
      <c r="G2834" s="1"/>
      <c r="H2834" s="1"/>
      <c r="I2834" s="1"/>
      <c r="J2834" s="1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</row>
    <row r="2835" spans="2:73" s="38" customFormat="1">
      <c r="B2835" s="1"/>
      <c r="C2835" s="1"/>
      <c r="D2835" s="1"/>
      <c r="E2835" s="1"/>
      <c r="F2835" s="1"/>
      <c r="G2835" s="1"/>
      <c r="H2835" s="1"/>
      <c r="I2835" s="1"/>
      <c r="J2835" s="1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</row>
    <row r="2836" spans="2:73" s="38" customFormat="1">
      <c r="B2836" s="1"/>
      <c r="C2836" s="1"/>
      <c r="D2836" s="1"/>
      <c r="E2836" s="1"/>
      <c r="F2836" s="1"/>
      <c r="G2836" s="1"/>
      <c r="H2836" s="1"/>
      <c r="I2836" s="1"/>
      <c r="J2836" s="1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</row>
    <row r="2837" spans="2:73" s="38" customFormat="1">
      <c r="B2837" s="1"/>
      <c r="C2837" s="1"/>
      <c r="D2837" s="1"/>
      <c r="E2837" s="1"/>
      <c r="F2837" s="1"/>
      <c r="G2837" s="1"/>
      <c r="H2837" s="1"/>
      <c r="I2837" s="1"/>
      <c r="J2837" s="1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</row>
    <row r="2838" spans="2:73" s="38" customFormat="1">
      <c r="B2838" s="1"/>
      <c r="C2838" s="1"/>
      <c r="D2838" s="1"/>
      <c r="E2838" s="1"/>
      <c r="F2838" s="1"/>
      <c r="G2838" s="1"/>
      <c r="H2838" s="1"/>
      <c r="I2838" s="1"/>
      <c r="J2838" s="1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</row>
    <row r="2839" spans="2:73" s="38" customFormat="1">
      <c r="B2839" s="1"/>
      <c r="C2839" s="1"/>
      <c r="D2839" s="1"/>
      <c r="E2839" s="1"/>
      <c r="F2839" s="1"/>
      <c r="G2839" s="1"/>
      <c r="H2839" s="1"/>
      <c r="I2839" s="1"/>
      <c r="J2839" s="1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</row>
    <row r="2840" spans="2:73" s="38" customFormat="1">
      <c r="B2840" s="1"/>
      <c r="C2840" s="1"/>
      <c r="D2840" s="1"/>
      <c r="E2840" s="1"/>
      <c r="F2840" s="1"/>
      <c r="G2840" s="1"/>
      <c r="H2840" s="1"/>
      <c r="I2840" s="1"/>
      <c r="J2840" s="1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</row>
    <row r="2841" spans="2:73" s="38" customFormat="1">
      <c r="B2841" s="1"/>
      <c r="C2841" s="1"/>
      <c r="D2841" s="1"/>
      <c r="E2841" s="1"/>
      <c r="F2841" s="1"/>
      <c r="G2841" s="1"/>
      <c r="H2841" s="1"/>
      <c r="I2841" s="1"/>
      <c r="J2841" s="1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</row>
    <row r="2842" spans="2:73" s="38" customFormat="1">
      <c r="B2842" s="1"/>
      <c r="C2842" s="1"/>
      <c r="D2842" s="1"/>
      <c r="E2842" s="1"/>
      <c r="F2842" s="1"/>
      <c r="G2842" s="1"/>
      <c r="H2842" s="1"/>
      <c r="I2842" s="1"/>
      <c r="J2842" s="1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</row>
    <row r="2843" spans="2:73" s="38" customFormat="1">
      <c r="B2843" s="1"/>
      <c r="C2843" s="1"/>
      <c r="D2843" s="1"/>
      <c r="E2843" s="1"/>
      <c r="F2843" s="1"/>
      <c r="G2843" s="1"/>
      <c r="H2843" s="1"/>
      <c r="I2843" s="1"/>
      <c r="J2843" s="1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</row>
    <row r="2844" spans="2:73" s="38" customFormat="1">
      <c r="B2844" s="1"/>
      <c r="C2844" s="1"/>
      <c r="D2844" s="1"/>
      <c r="E2844" s="1"/>
      <c r="F2844" s="1"/>
      <c r="G2844" s="1"/>
      <c r="H2844" s="1"/>
      <c r="I2844" s="1"/>
      <c r="J2844" s="1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</row>
    <row r="2845" spans="2:73" s="38" customFormat="1">
      <c r="B2845" s="1"/>
      <c r="C2845" s="1"/>
      <c r="D2845" s="1"/>
      <c r="E2845" s="1"/>
      <c r="F2845" s="1"/>
      <c r="G2845" s="1"/>
      <c r="H2845" s="1"/>
      <c r="I2845" s="1"/>
      <c r="J2845" s="1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</row>
    <row r="2846" spans="2:73" s="38" customFormat="1">
      <c r="B2846" s="1"/>
      <c r="C2846" s="1"/>
      <c r="D2846" s="1"/>
      <c r="E2846" s="1"/>
      <c r="F2846" s="1"/>
      <c r="G2846" s="1"/>
      <c r="H2846" s="1"/>
      <c r="I2846" s="1"/>
      <c r="J2846" s="1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</row>
    <row r="2847" spans="2:73" s="38" customFormat="1">
      <c r="B2847" s="1"/>
      <c r="C2847" s="1"/>
      <c r="D2847" s="1"/>
      <c r="E2847" s="1"/>
      <c r="F2847" s="1"/>
      <c r="G2847" s="1"/>
      <c r="H2847" s="1"/>
      <c r="I2847" s="1"/>
      <c r="J2847" s="1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</row>
    <row r="2848" spans="2:73" s="38" customFormat="1">
      <c r="B2848" s="1"/>
      <c r="C2848" s="1"/>
      <c r="D2848" s="1"/>
      <c r="E2848" s="1"/>
      <c r="F2848" s="1"/>
      <c r="G2848" s="1"/>
      <c r="H2848" s="1"/>
      <c r="I2848" s="1"/>
      <c r="J2848" s="1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</row>
    <row r="2849" spans="2:73" s="38" customFormat="1">
      <c r="B2849" s="1"/>
      <c r="C2849" s="1"/>
      <c r="D2849" s="1"/>
      <c r="E2849" s="1"/>
      <c r="F2849" s="1"/>
      <c r="G2849" s="1"/>
      <c r="H2849" s="1"/>
      <c r="I2849" s="1"/>
      <c r="J2849" s="1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</row>
    <row r="2850" spans="2:73" s="38" customFormat="1">
      <c r="B2850" s="1"/>
      <c r="C2850" s="1"/>
      <c r="D2850" s="1"/>
      <c r="E2850" s="1"/>
      <c r="F2850" s="1"/>
      <c r="G2850" s="1"/>
      <c r="H2850" s="1"/>
      <c r="I2850" s="1"/>
      <c r="J2850" s="1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</row>
    <row r="2851" spans="2:73" s="38" customFormat="1">
      <c r="B2851" s="1"/>
      <c r="C2851" s="1"/>
      <c r="D2851" s="1"/>
      <c r="E2851" s="1"/>
      <c r="F2851" s="1"/>
      <c r="G2851" s="1"/>
      <c r="H2851" s="1"/>
      <c r="I2851" s="1"/>
      <c r="J2851" s="1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</row>
    <row r="2852" spans="2:73" s="38" customFormat="1">
      <c r="B2852" s="1"/>
      <c r="C2852" s="1"/>
      <c r="D2852" s="1"/>
      <c r="E2852" s="1"/>
      <c r="F2852" s="1"/>
      <c r="G2852" s="1"/>
      <c r="H2852" s="1"/>
      <c r="I2852" s="1"/>
      <c r="J2852" s="1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</row>
    <row r="2853" spans="2:73" s="38" customFormat="1">
      <c r="B2853" s="1"/>
      <c r="C2853" s="1"/>
      <c r="D2853" s="1"/>
      <c r="E2853" s="1"/>
      <c r="F2853" s="1"/>
      <c r="G2853" s="1"/>
      <c r="H2853" s="1"/>
      <c r="I2853" s="1"/>
      <c r="J2853" s="1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</row>
    <row r="2854" spans="2:73" s="38" customFormat="1">
      <c r="B2854" s="1"/>
      <c r="C2854" s="1"/>
      <c r="D2854" s="1"/>
      <c r="E2854" s="1"/>
      <c r="F2854" s="1"/>
      <c r="G2854" s="1"/>
      <c r="H2854" s="1"/>
      <c r="I2854" s="1"/>
      <c r="J2854" s="1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</row>
    <row r="2855" spans="2:73" s="38" customFormat="1">
      <c r="B2855" s="1"/>
      <c r="C2855" s="1"/>
      <c r="D2855" s="1"/>
      <c r="E2855" s="1"/>
      <c r="F2855" s="1"/>
      <c r="G2855" s="1"/>
      <c r="H2855" s="1"/>
      <c r="I2855" s="1"/>
      <c r="J2855" s="1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</row>
    <row r="2856" spans="2:73" s="38" customFormat="1">
      <c r="B2856" s="1"/>
      <c r="C2856" s="1"/>
      <c r="D2856" s="1"/>
      <c r="E2856" s="1"/>
      <c r="F2856" s="1"/>
      <c r="G2856" s="1"/>
      <c r="H2856" s="1"/>
      <c r="I2856" s="1"/>
      <c r="J2856" s="1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</row>
    <row r="2857" spans="2:73" s="38" customFormat="1">
      <c r="B2857" s="1"/>
      <c r="C2857" s="1"/>
      <c r="D2857" s="1"/>
      <c r="E2857" s="1"/>
      <c r="F2857" s="1"/>
      <c r="G2857" s="1"/>
      <c r="H2857" s="1"/>
      <c r="I2857" s="1"/>
      <c r="J2857" s="1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</row>
    <row r="2858" spans="2:73" s="38" customFormat="1">
      <c r="B2858" s="1"/>
      <c r="C2858" s="1"/>
      <c r="D2858" s="1"/>
      <c r="E2858" s="1"/>
      <c r="F2858" s="1"/>
      <c r="G2858" s="1"/>
      <c r="H2858" s="1"/>
      <c r="I2858" s="1"/>
      <c r="J2858" s="1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</row>
    <row r="2859" spans="2:73" s="38" customFormat="1">
      <c r="B2859" s="1"/>
      <c r="C2859" s="1"/>
      <c r="D2859" s="1"/>
      <c r="E2859" s="1"/>
      <c r="F2859" s="1"/>
      <c r="G2859" s="1"/>
      <c r="H2859" s="1"/>
      <c r="I2859" s="1"/>
      <c r="J2859" s="1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</row>
    <row r="2860" spans="2:73" s="38" customFormat="1">
      <c r="B2860" s="1"/>
      <c r="C2860" s="1"/>
      <c r="D2860" s="1"/>
      <c r="E2860" s="1"/>
      <c r="F2860" s="1"/>
      <c r="G2860" s="1"/>
      <c r="H2860" s="1"/>
      <c r="I2860" s="1"/>
      <c r="J2860" s="1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</row>
    <row r="2861" spans="2:73" s="38" customFormat="1">
      <c r="B2861" s="1"/>
      <c r="C2861" s="1"/>
      <c r="D2861" s="1"/>
      <c r="E2861" s="1"/>
      <c r="F2861" s="1"/>
      <c r="G2861" s="1"/>
      <c r="H2861" s="1"/>
      <c r="I2861" s="1"/>
      <c r="J2861" s="1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</row>
    <row r="2862" spans="2:73" s="38" customFormat="1">
      <c r="B2862" s="1"/>
      <c r="C2862" s="1"/>
      <c r="D2862" s="1"/>
      <c r="E2862" s="1"/>
      <c r="F2862" s="1"/>
      <c r="G2862" s="1"/>
      <c r="H2862" s="1"/>
      <c r="I2862" s="1"/>
      <c r="J2862" s="1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</row>
    <row r="2863" spans="2:73" s="38" customFormat="1">
      <c r="B2863" s="1"/>
      <c r="C2863" s="1"/>
      <c r="D2863" s="1"/>
      <c r="E2863" s="1"/>
      <c r="F2863" s="1"/>
      <c r="G2863" s="1"/>
      <c r="H2863" s="1"/>
      <c r="I2863" s="1"/>
      <c r="J2863" s="1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</row>
    <row r="2864" spans="2:73" s="38" customFormat="1">
      <c r="B2864" s="1"/>
      <c r="C2864" s="1"/>
      <c r="D2864" s="1"/>
      <c r="E2864" s="1"/>
      <c r="F2864" s="1"/>
      <c r="G2864" s="1"/>
      <c r="H2864" s="1"/>
      <c r="I2864" s="1"/>
      <c r="J2864" s="1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</row>
    <row r="2865" spans="2:73" s="38" customFormat="1">
      <c r="B2865" s="1"/>
      <c r="C2865" s="1"/>
      <c r="D2865" s="1"/>
      <c r="E2865" s="1"/>
      <c r="F2865" s="1"/>
      <c r="G2865" s="1"/>
      <c r="H2865" s="1"/>
      <c r="I2865" s="1"/>
      <c r="J2865" s="1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</row>
    <row r="2866" spans="2:73" s="38" customFormat="1">
      <c r="B2866" s="1"/>
      <c r="C2866" s="1"/>
      <c r="D2866" s="1"/>
      <c r="E2866" s="1"/>
      <c r="F2866" s="1"/>
      <c r="G2866" s="1"/>
      <c r="H2866" s="1"/>
      <c r="I2866" s="1"/>
      <c r="J2866" s="1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</row>
    <row r="2867" spans="2:73" s="38" customFormat="1">
      <c r="B2867" s="1"/>
      <c r="C2867" s="1"/>
      <c r="D2867" s="1"/>
      <c r="E2867" s="1"/>
      <c r="F2867" s="1"/>
      <c r="G2867" s="1"/>
      <c r="H2867" s="1"/>
      <c r="I2867" s="1"/>
      <c r="J2867" s="1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</row>
    <row r="2868" spans="2:73" s="38" customFormat="1">
      <c r="B2868" s="1"/>
      <c r="C2868" s="1"/>
      <c r="D2868" s="1"/>
      <c r="E2868" s="1"/>
      <c r="F2868" s="1"/>
      <c r="G2868" s="1"/>
      <c r="H2868" s="1"/>
      <c r="I2868" s="1"/>
      <c r="J2868" s="1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</row>
    <row r="2869" spans="2:73" s="38" customFormat="1">
      <c r="B2869" s="1"/>
      <c r="C2869" s="1"/>
      <c r="D2869" s="1"/>
      <c r="E2869" s="1"/>
      <c r="F2869" s="1"/>
      <c r="G2869" s="1"/>
      <c r="H2869" s="1"/>
      <c r="I2869" s="1"/>
      <c r="J2869" s="1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</row>
    <row r="2870" spans="2:73" s="38" customFormat="1">
      <c r="B2870" s="1"/>
      <c r="C2870" s="1"/>
      <c r="D2870" s="1"/>
      <c r="E2870" s="1"/>
      <c r="F2870" s="1"/>
      <c r="G2870" s="1"/>
      <c r="H2870" s="1"/>
      <c r="I2870" s="1"/>
      <c r="J2870" s="1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</row>
    <row r="2871" spans="2:73" s="38" customFormat="1">
      <c r="B2871" s="1"/>
      <c r="C2871" s="1"/>
      <c r="D2871" s="1"/>
      <c r="E2871" s="1"/>
      <c r="F2871" s="1"/>
      <c r="G2871" s="1"/>
      <c r="H2871" s="1"/>
      <c r="I2871" s="1"/>
      <c r="J2871" s="1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</row>
    <row r="2872" spans="2:73" s="38" customFormat="1">
      <c r="B2872" s="1"/>
      <c r="C2872" s="1"/>
      <c r="D2872" s="1"/>
      <c r="E2872" s="1"/>
      <c r="F2872" s="1"/>
      <c r="G2872" s="1"/>
      <c r="H2872" s="1"/>
      <c r="I2872" s="1"/>
      <c r="J2872" s="1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</row>
    <row r="2873" spans="2:73" s="38" customFormat="1">
      <c r="B2873" s="1"/>
      <c r="C2873" s="1"/>
      <c r="D2873" s="1"/>
      <c r="E2873" s="1"/>
      <c r="F2873" s="1"/>
      <c r="G2873" s="1"/>
      <c r="H2873" s="1"/>
      <c r="I2873" s="1"/>
      <c r="J2873" s="1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</row>
    <row r="2874" spans="2:73" s="38" customFormat="1">
      <c r="B2874" s="1"/>
      <c r="C2874" s="1"/>
      <c r="D2874" s="1"/>
      <c r="E2874" s="1"/>
      <c r="F2874" s="1"/>
      <c r="G2874" s="1"/>
      <c r="H2874" s="1"/>
      <c r="I2874" s="1"/>
      <c r="J2874" s="1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</row>
    <row r="2875" spans="2:73" s="38" customFormat="1">
      <c r="B2875" s="1"/>
      <c r="C2875" s="1"/>
      <c r="D2875" s="1"/>
      <c r="E2875" s="1"/>
      <c r="F2875" s="1"/>
      <c r="G2875" s="1"/>
      <c r="H2875" s="1"/>
      <c r="I2875" s="1"/>
      <c r="J2875" s="1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</row>
    <row r="2876" spans="2:73" s="38" customFormat="1">
      <c r="B2876" s="1"/>
      <c r="C2876" s="1"/>
      <c r="D2876" s="1"/>
      <c r="E2876" s="1"/>
      <c r="F2876" s="1"/>
      <c r="G2876" s="1"/>
      <c r="H2876" s="1"/>
      <c r="I2876" s="1"/>
      <c r="J2876" s="1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</row>
    <row r="2877" spans="2:73" s="38" customFormat="1">
      <c r="B2877" s="1"/>
      <c r="C2877" s="1"/>
      <c r="D2877" s="1"/>
      <c r="E2877" s="1"/>
      <c r="F2877" s="1"/>
      <c r="G2877" s="1"/>
      <c r="H2877" s="1"/>
      <c r="I2877" s="1"/>
      <c r="J2877" s="1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</row>
    <row r="2878" spans="2:73" s="38" customFormat="1">
      <c r="B2878" s="1"/>
      <c r="C2878" s="1"/>
      <c r="D2878" s="1"/>
      <c r="E2878" s="1"/>
      <c r="F2878" s="1"/>
      <c r="G2878" s="1"/>
      <c r="H2878" s="1"/>
      <c r="I2878" s="1"/>
      <c r="J2878" s="1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</row>
    <row r="2879" spans="2:73" s="38" customFormat="1">
      <c r="B2879" s="1"/>
      <c r="C2879" s="1"/>
      <c r="D2879" s="1"/>
      <c r="E2879" s="1"/>
      <c r="F2879" s="1"/>
      <c r="G2879" s="1"/>
      <c r="H2879" s="1"/>
      <c r="I2879" s="1"/>
      <c r="J2879" s="1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</row>
    <row r="2880" spans="2:73" s="38" customFormat="1">
      <c r="B2880" s="1"/>
      <c r="C2880" s="1"/>
      <c r="D2880" s="1"/>
      <c r="E2880" s="1"/>
      <c r="F2880" s="1"/>
      <c r="G2880" s="1"/>
      <c r="H2880" s="1"/>
      <c r="I2880" s="1"/>
      <c r="J2880" s="1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</row>
    <row r="2881" spans="2:73" s="38" customFormat="1">
      <c r="B2881" s="1"/>
      <c r="C2881" s="1"/>
      <c r="D2881" s="1"/>
      <c r="E2881" s="1"/>
      <c r="F2881" s="1"/>
      <c r="G2881" s="1"/>
      <c r="H2881" s="1"/>
      <c r="I2881" s="1"/>
      <c r="J2881" s="1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</row>
    <row r="2882" spans="2:73" s="38" customFormat="1">
      <c r="B2882" s="1"/>
      <c r="C2882" s="1"/>
      <c r="D2882" s="1"/>
      <c r="E2882" s="1"/>
      <c r="F2882" s="1"/>
      <c r="G2882" s="1"/>
      <c r="H2882" s="1"/>
      <c r="I2882" s="1"/>
      <c r="J2882" s="1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</row>
    <row r="2883" spans="2:73" s="38" customFormat="1">
      <c r="B2883" s="1"/>
      <c r="C2883" s="1"/>
      <c r="D2883" s="1"/>
      <c r="E2883" s="1"/>
      <c r="F2883" s="1"/>
      <c r="G2883" s="1"/>
      <c r="H2883" s="1"/>
      <c r="I2883" s="1"/>
      <c r="J2883" s="1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</row>
    <row r="2884" spans="2:73" s="38" customFormat="1">
      <c r="B2884" s="1"/>
      <c r="C2884" s="1"/>
      <c r="D2884" s="1"/>
      <c r="E2884" s="1"/>
      <c r="F2884" s="1"/>
      <c r="G2884" s="1"/>
      <c r="H2884" s="1"/>
      <c r="I2884" s="1"/>
      <c r="J2884" s="1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</row>
    <row r="2885" spans="2:73" s="38" customFormat="1">
      <c r="B2885" s="1"/>
      <c r="C2885" s="1"/>
      <c r="D2885" s="1"/>
      <c r="E2885" s="1"/>
      <c r="F2885" s="1"/>
      <c r="G2885" s="1"/>
      <c r="H2885" s="1"/>
      <c r="I2885" s="1"/>
      <c r="J2885" s="1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</row>
    <row r="2886" spans="2:73" s="38" customFormat="1">
      <c r="B2886" s="1"/>
      <c r="C2886" s="1"/>
      <c r="D2886" s="1"/>
      <c r="E2886" s="1"/>
      <c r="F2886" s="1"/>
      <c r="G2886" s="1"/>
      <c r="H2886" s="1"/>
      <c r="I2886" s="1"/>
      <c r="J2886" s="1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</row>
    <row r="2887" spans="2:73" s="38" customFormat="1">
      <c r="B2887" s="1"/>
      <c r="C2887" s="1"/>
      <c r="D2887" s="1"/>
      <c r="E2887" s="1"/>
      <c r="F2887" s="1"/>
      <c r="G2887" s="1"/>
      <c r="H2887" s="1"/>
      <c r="I2887" s="1"/>
      <c r="J2887" s="1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</row>
    <row r="2888" spans="2:73" s="38" customFormat="1">
      <c r="B2888" s="1"/>
      <c r="C2888" s="1"/>
      <c r="D2888" s="1"/>
      <c r="E2888" s="1"/>
      <c r="F2888" s="1"/>
      <c r="G2888" s="1"/>
      <c r="H2888" s="1"/>
      <c r="I2888" s="1"/>
      <c r="J2888" s="1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</row>
    <row r="2889" spans="2:73" s="38" customFormat="1">
      <c r="B2889" s="1"/>
      <c r="C2889" s="1"/>
      <c r="D2889" s="1"/>
      <c r="E2889" s="1"/>
      <c r="F2889" s="1"/>
      <c r="G2889" s="1"/>
      <c r="H2889" s="1"/>
      <c r="I2889" s="1"/>
      <c r="J2889" s="1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</row>
    <row r="2890" spans="2:73" s="38" customFormat="1">
      <c r="B2890" s="1"/>
      <c r="C2890" s="1"/>
      <c r="D2890" s="1"/>
      <c r="E2890" s="1"/>
      <c r="F2890" s="1"/>
      <c r="G2890" s="1"/>
      <c r="H2890" s="1"/>
      <c r="I2890" s="1"/>
      <c r="J2890" s="1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</row>
    <row r="2891" spans="2:73" s="38" customFormat="1">
      <c r="B2891" s="1"/>
      <c r="C2891" s="1"/>
      <c r="D2891" s="1"/>
      <c r="E2891" s="1"/>
      <c r="F2891" s="1"/>
      <c r="G2891" s="1"/>
      <c r="H2891" s="1"/>
      <c r="I2891" s="1"/>
      <c r="J2891" s="1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</row>
    <row r="2892" spans="2:73" s="38" customFormat="1">
      <c r="B2892" s="1"/>
      <c r="C2892" s="1"/>
      <c r="D2892" s="1"/>
      <c r="E2892" s="1"/>
      <c r="F2892" s="1"/>
      <c r="G2892" s="1"/>
      <c r="H2892" s="1"/>
      <c r="I2892" s="1"/>
      <c r="J2892" s="1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</row>
    <row r="2893" spans="2:73" s="38" customFormat="1">
      <c r="B2893" s="1"/>
      <c r="C2893" s="1"/>
      <c r="D2893" s="1"/>
      <c r="E2893" s="1"/>
      <c r="F2893" s="1"/>
      <c r="G2893" s="1"/>
      <c r="H2893" s="1"/>
      <c r="I2893" s="1"/>
      <c r="J2893" s="1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</row>
    <row r="2894" spans="2:73" s="38" customFormat="1">
      <c r="B2894" s="1"/>
      <c r="C2894" s="1"/>
      <c r="D2894" s="1"/>
      <c r="E2894" s="1"/>
      <c r="F2894" s="1"/>
      <c r="G2894" s="1"/>
      <c r="H2894" s="1"/>
      <c r="I2894" s="1"/>
      <c r="J2894" s="1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</row>
    <row r="2895" spans="2:73" s="38" customFormat="1">
      <c r="B2895" s="1"/>
      <c r="C2895" s="1"/>
      <c r="D2895" s="1"/>
      <c r="E2895" s="1"/>
      <c r="F2895" s="1"/>
      <c r="G2895" s="1"/>
      <c r="H2895" s="1"/>
      <c r="I2895" s="1"/>
      <c r="J2895" s="1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</row>
    <row r="2896" spans="2:73" s="38" customFormat="1">
      <c r="B2896" s="1"/>
      <c r="C2896" s="1"/>
      <c r="D2896" s="1"/>
      <c r="E2896" s="1"/>
      <c r="F2896" s="1"/>
      <c r="G2896" s="1"/>
      <c r="H2896" s="1"/>
      <c r="I2896" s="1"/>
      <c r="J2896" s="1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</row>
    <row r="2897" spans="2:73" s="38" customFormat="1">
      <c r="B2897" s="1"/>
      <c r="C2897" s="1"/>
      <c r="D2897" s="1"/>
      <c r="E2897" s="1"/>
      <c r="F2897" s="1"/>
      <c r="G2897" s="1"/>
      <c r="H2897" s="1"/>
      <c r="I2897" s="1"/>
      <c r="J2897" s="1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</row>
    <row r="2898" spans="2:73" s="38" customFormat="1">
      <c r="B2898" s="1"/>
      <c r="C2898" s="1"/>
      <c r="D2898" s="1"/>
      <c r="E2898" s="1"/>
      <c r="F2898" s="1"/>
      <c r="G2898" s="1"/>
      <c r="H2898" s="1"/>
      <c r="I2898" s="1"/>
      <c r="J2898" s="1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</row>
    <row r="2899" spans="2:73" s="38" customFormat="1">
      <c r="B2899" s="1"/>
      <c r="C2899" s="1"/>
      <c r="D2899" s="1"/>
      <c r="E2899" s="1"/>
      <c r="F2899" s="1"/>
      <c r="G2899" s="1"/>
      <c r="H2899" s="1"/>
      <c r="I2899" s="1"/>
      <c r="J2899" s="1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</row>
    <row r="2900" spans="2:73" s="38" customFormat="1">
      <c r="B2900" s="1"/>
      <c r="C2900" s="1"/>
      <c r="D2900" s="1"/>
      <c r="E2900" s="1"/>
      <c r="F2900" s="1"/>
      <c r="G2900" s="1"/>
      <c r="H2900" s="1"/>
      <c r="I2900" s="1"/>
      <c r="J2900" s="1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</row>
    <row r="2901" spans="2:73" s="38" customFormat="1">
      <c r="B2901" s="1"/>
      <c r="C2901" s="1"/>
      <c r="D2901" s="1"/>
      <c r="E2901" s="1"/>
      <c r="F2901" s="1"/>
      <c r="G2901" s="1"/>
      <c r="H2901" s="1"/>
      <c r="I2901" s="1"/>
      <c r="J2901" s="1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</row>
    <row r="2902" spans="2:73" s="38" customFormat="1">
      <c r="B2902" s="1"/>
      <c r="C2902" s="1"/>
      <c r="D2902" s="1"/>
      <c r="E2902" s="1"/>
      <c r="F2902" s="1"/>
      <c r="G2902" s="1"/>
      <c r="H2902" s="1"/>
      <c r="I2902" s="1"/>
      <c r="J2902" s="1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</row>
    <row r="2903" spans="2:73" s="38" customFormat="1">
      <c r="B2903" s="1"/>
      <c r="C2903" s="1"/>
      <c r="D2903" s="1"/>
      <c r="E2903" s="1"/>
      <c r="F2903" s="1"/>
      <c r="G2903" s="1"/>
      <c r="H2903" s="1"/>
      <c r="I2903" s="1"/>
      <c r="J2903" s="1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</row>
    <row r="2904" spans="2:73" s="38" customFormat="1">
      <c r="B2904" s="1"/>
      <c r="C2904" s="1"/>
      <c r="D2904" s="1"/>
      <c r="E2904" s="1"/>
      <c r="F2904" s="1"/>
      <c r="G2904" s="1"/>
      <c r="H2904" s="1"/>
      <c r="I2904" s="1"/>
      <c r="J2904" s="1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</row>
    <row r="2905" spans="2:73" s="38" customFormat="1">
      <c r="B2905" s="1"/>
      <c r="C2905" s="1"/>
      <c r="D2905" s="1"/>
      <c r="E2905" s="1"/>
      <c r="F2905" s="1"/>
      <c r="G2905" s="1"/>
      <c r="H2905" s="1"/>
      <c r="I2905" s="1"/>
      <c r="J2905" s="1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</row>
    <row r="2906" spans="2:73" s="38" customFormat="1">
      <c r="B2906" s="1"/>
      <c r="C2906" s="1"/>
      <c r="D2906" s="1"/>
      <c r="E2906" s="1"/>
      <c r="F2906" s="1"/>
      <c r="G2906" s="1"/>
      <c r="H2906" s="1"/>
      <c r="I2906" s="1"/>
      <c r="J2906" s="1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</row>
    <row r="2907" spans="2:73" s="38" customFormat="1">
      <c r="B2907" s="1"/>
      <c r="C2907" s="1"/>
      <c r="D2907" s="1"/>
      <c r="E2907" s="1"/>
      <c r="F2907" s="1"/>
      <c r="G2907" s="1"/>
      <c r="H2907" s="1"/>
      <c r="I2907" s="1"/>
      <c r="J2907" s="1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</row>
    <row r="2908" spans="2:73" s="38" customFormat="1">
      <c r="B2908" s="1"/>
      <c r="C2908" s="1"/>
      <c r="D2908" s="1"/>
      <c r="E2908" s="1"/>
      <c r="F2908" s="1"/>
      <c r="G2908" s="1"/>
      <c r="H2908" s="1"/>
      <c r="I2908" s="1"/>
      <c r="J2908" s="1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</row>
    <row r="2909" spans="2:73" s="38" customFormat="1">
      <c r="B2909" s="1"/>
      <c r="C2909" s="1"/>
      <c r="D2909" s="1"/>
      <c r="E2909" s="1"/>
      <c r="F2909" s="1"/>
      <c r="G2909" s="1"/>
      <c r="H2909" s="1"/>
      <c r="I2909" s="1"/>
      <c r="J2909" s="1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</row>
    <row r="2910" spans="2:73" s="38" customFormat="1">
      <c r="B2910" s="1"/>
      <c r="C2910" s="1"/>
      <c r="D2910" s="1"/>
      <c r="E2910" s="1"/>
      <c r="F2910" s="1"/>
      <c r="G2910" s="1"/>
      <c r="H2910" s="1"/>
      <c r="I2910" s="1"/>
      <c r="J2910" s="1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</row>
    <row r="2911" spans="2:73" s="38" customFormat="1">
      <c r="B2911" s="1"/>
      <c r="C2911" s="1"/>
      <c r="D2911" s="1"/>
      <c r="E2911" s="1"/>
      <c r="F2911" s="1"/>
      <c r="G2911" s="1"/>
      <c r="H2911" s="1"/>
      <c r="I2911" s="1"/>
      <c r="J2911" s="1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</row>
    <row r="2912" spans="2:73" s="38" customFormat="1">
      <c r="B2912" s="1"/>
      <c r="C2912" s="1"/>
      <c r="D2912" s="1"/>
      <c r="E2912" s="1"/>
      <c r="F2912" s="1"/>
      <c r="G2912" s="1"/>
      <c r="H2912" s="1"/>
      <c r="I2912" s="1"/>
      <c r="J2912" s="1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</row>
    <row r="2913" spans="2:73" s="38" customFormat="1">
      <c r="B2913" s="1"/>
      <c r="C2913" s="1"/>
      <c r="D2913" s="1"/>
      <c r="E2913" s="1"/>
      <c r="F2913" s="1"/>
      <c r="G2913" s="1"/>
      <c r="H2913" s="1"/>
      <c r="I2913" s="1"/>
      <c r="J2913" s="1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</row>
    <row r="2914" spans="2:73" s="38" customFormat="1">
      <c r="B2914" s="1"/>
      <c r="C2914" s="1"/>
      <c r="D2914" s="1"/>
      <c r="E2914" s="1"/>
      <c r="F2914" s="1"/>
      <c r="G2914" s="1"/>
      <c r="H2914" s="1"/>
      <c r="I2914" s="1"/>
      <c r="J2914" s="1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</row>
    <row r="2915" spans="2:73" s="38" customFormat="1">
      <c r="B2915" s="1"/>
      <c r="C2915" s="1"/>
      <c r="D2915" s="1"/>
      <c r="E2915" s="1"/>
      <c r="F2915" s="1"/>
      <c r="G2915" s="1"/>
      <c r="H2915" s="1"/>
      <c r="I2915" s="1"/>
      <c r="J2915" s="1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</row>
    <row r="2916" spans="2:73" s="38" customFormat="1">
      <c r="B2916" s="1"/>
      <c r="C2916" s="1"/>
      <c r="D2916" s="1"/>
      <c r="E2916" s="1"/>
      <c r="F2916" s="1"/>
      <c r="G2916" s="1"/>
      <c r="H2916" s="1"/>
      <c r="I2916" s="1"/>
      <c r="J2916" s="1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</row>
    <row r="2917" spans="2:73" s="38" customFormat="1">
      <c r="B2917" s="1"/>
      <c r="C2917" s="1"/>
      <c r="D2917" s="1"/>
      <c r="E2917" s="1"/>
      <c r="F2917" s="1"/>
      <c r="G2917" s="1"/>
      <c r="H2917" s="1"/>
      <c r="I2917" s="1"/>
      <c r="J2917" s="1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</row>
    <row r="2918" spans="2:73" s="38" customFormat="1">
      <c r="B2918" s="1"/>
      <c r="C2918" s="1"/>
      <c r="D2918" s="1"/>
      <c r="E2918" s="1"/>
      <c r="F2918" s="1"/>
      <c r="G2918" s="1"/>
      <c r="H2918" s="1"/>
      <c r="I2918" s="1"/>
      <c r="J2918" s="1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</row>
    <row r="2919" spans="2:73" s="38" customFormat="1">
      <c r="B2919" s="1"/>
      <c r="C2919" s="1"/>
      <c r="D2919" s="1"/>
      <c r="E2919" s="1"/>
      <c r="F2919" s="1"/>
      <c r="G2919" s="1"/>
      <c r="H2919" s="1"/>
      <c r="I2919" s="1"/>
      <c r="J2919" s="1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</row>
    <row r="2920" spans="2:73" s="38" customFormat="1">
      <c r="B2920" s="1"/>
      <c r="C2920" s="1"/>
      <c r="D2920" s="1"/>
      <c r="E2920" s="1"/>
      <c r="F2920" s="1"/>
      <c r="G2920" s="1"/>
      <c r="H2920" s="1"/>
      <c r="I2920" s="1"/>
      <c r="J2920" s="1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</row>
    <row r="2921" spans="2:73" s="38" customFormat="1">
      <c r="B2921" s="1"/>
      <c r="C2921" s="1"/>
      <c r="D2921" s="1"/>
      <c r="E2921" s="1"/>
      <c r="F2921" s="1"/>
      <c r="G2921" s="1"/>
      <c r="H2921" s="1"/>
      <c r="I2921" s="1"/>
      <c r="J2921" s="1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</row>
    <row r="2922" spans="2:73" s="38" customFormat="1">
      <c r="B2922" s="1"/>
      <c r="C2922" s="1"/>
      <c r="D2922" s="1"/>
      <c r="E2922" s="1"/>
      <c r="F2922" s="1"/>
      <c r="G2922" s="1"/>
      <c r="H2922" s="1"/>
      <c r="I2922" s="1"/>
      <c r="J2922" s="1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</row>
    <row r="2923" spans="2:73" s="38" customFormat="1">
      <c r="B2923" s="1"/>
      <c r="C2923" s="1"/>
      <c r="D2923" s="1"/>
      <c r="E2923" s="1"/>
      <c r="F2923" s="1"/>
      <c r="G2923" s="1"/>
      <c r="H2923" s="1"/>
      <c r="I2923" s="1"/>
      <c r="J2923" s="1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</row>
    <row r="2924" spans="2:73" s="38" customFormat="1">
      <c r="B2924" s="1"/>
      <c r="C2924" s="1"/>
      <c r="D2924" s="1"/>
      <c r="E2924" s="1"/>
      <c r="F2924" s="1"/>
      <c r="G2924" s="1"/>
      <c r="H2924" s="1"/>
      <c r="I2924" s="1"/>
      <c r="J2924" s="1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</row>
    <row r="2925" spans="2:73" s="38" customFormat="1">
      <c r="B2925" s="1"/>
      <c r="C2925" s="1"/>
      <c r="D2925" s="1"/>
      <c r="E2925" s="1"/>
      <c r="F2925" s="1"/>
      <c r="G2925" s="1"/>
      <c r="H2925" s="1"/>
      <c r="I2925" s="1"/>
      <c r="J2925" s="1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</row>
    <row r="2926" spans="2:73" s="38" customFormat="1">
      <c r="B2926" s="1"/>
      <c r="C2926" s="1"/>
      <c r="D2926" s="1"/>
      <c r="E2926" s="1"/>
      <c r="F2926" s="1"/>
      <c r="G2926" s="1"/>
      <c r="H2926" s="1"/>
      <c r="I2926" s="1"/>
      <c r="J2926" s="1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</row>
    <row r="2927" spans="2:73" s="38" customFormat="1">
      <c r="B2927" s="1"/>
      <c r="C2927" s="1"/>
      <c r="D2927" s="1"/>
      <c r="E2927" s="1"/>
      <c r="F2927" s="1"/>
      <c r="G2927" s="1"/>
      <c r="H2927" s="1"/>
      <c r="I2927" s="1"/>
      <c r="J2927" s="1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</row>
    <row r="2928" spans="2:73" s="38" customFormat="1">
      <c r="B2928" s="1"/>
      <c r="C2928" s="1"/>
      <c r="D2928" s="1"/>
      <c r="E2928" s="1"/>
      <c r="F2928" s="1"/>
      <c r="G2928" s="1"/>
      <c r="H2928" s="1"/>
      <c r="I2928" s="1"/>
      <c r="J2928" s="1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</row>
    <row r="2929" spans="2:73" s="38" customFormat="1">
      <c r="B2929" s="1"/>
      <c r="C2929" s="1"/>
      <c r="D2929" s="1"/>
      <c r="E2929" s="1"/>
      <c r="F2929" s="1"/>
      <c r="G2929" s="1"/>
      <c r="H2929" s="1"/>
      <c r="I2929" s="1"/>
      <c r="J2929" s="1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</row>
    <row r="2930" spans="2:73" s="38" customFormat="1">
      <c r="B2930" s="1"/>
      <c r="C2930" s="1"/>
      <c r="D2930" s="1"/>
      <c r="E2930" s="1"/>
      <c r="F2930" s="1"/>
      <c r="G2930" s="1"/>
      <c r="H2930" s="1"/>
      <c r="I2930" s="1"/>
      <c r="J2930" s="1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</row>
    <row r="2931" spans="2:73" s="38" customFormat="1">
      <c r="B2931" s="1"/>
      <c r="C2931" s="1"/>
      <c r="D2931" s="1"/>
      <c r="E2931" s="1"/>
      <c r="F2931" s="1"/>
      <c r="G2931" s="1"/>
      <c r="H2931" s="1"/>
      <c r="I2931" s="1"/>
      <c r="J2931" s="1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</row>
    <row r="2932" spans="2:73" s="38" customFormat="1">
      <c r="B2932" s="1"/>
      <c r="C2932" s="1"/>
      <c r="D2932" s="1"/>
      <c r="E2932" s="1"/>
      <c r="F2932" s="1"/>
      <c r="G2932" s="1"/>
      <c r="H2932" s="1"/>
      <c r="I2932" s="1"/>
      <c r="J2932" s="1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</row>
    <row r="2933" spans="2:73" s="38" customFormat="1">
      <c r="B2933" s="1"/>
      <c r="C2933" s="1"/>
      <c r="D2933" s="1"/>
      <c r="E2933" s="1"/>
      <c r="F2933" s="1"/>
      <c r="G2933" s="1"/>
      <c r="H2933" s="1"/>
      <c r="I2933" s="1"/>
      <c r="J2933" s="1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</row>
    <row r="2934" spans="2:73" s="38" customFormat="1">
      <c r="B2934" s="1"/>
      <c r="C2934" s="1"/>
      <c r="D2934" s="1"/>
      <c r="E2934" s="1"/>
      <c r="F2934" s="1"/>
      <c r="G2934" s="1"/>
      <c r="H2934" s="1"/>
      <c r="I2934" s="1"/>
      <c r="J2934" s="1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</row>
    <row r="2935" spans="2:73" s="38" customFormat="1">
      <c r="B2935" s="1"/>
      <c r="C2935" s="1"/>
      <c r="D2935" s="1"/>
      <c r="E2935" s="1"/>
      <c r="F2935" s="1"/>
      <c r="G2935" s="1"/>
      <c r="H2935" s="1"/>
      <c r="I2935" s="1"/>
      <c r="J2935" s="1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</row>
    <row r="2936" spans="2:73" s="38" customFormat="1">
      <c r="B2936" s="1"/>
      <c r="C2936" s="1"/>
      <c r="D2936" s="1"/>
      <c r="E2936" s="1"/>
      <c r="F2936" s="1"/>
      <c r="G2936" s="1"/>
      <c r="H2936" s="1"/>
      <c r="I2936" s="1"/>
      <c r="J2936" s="1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</row>
    <row r="2937" spans="2:73" s="38" customFormat="1">
      <c r="B2937" s="1"/>
      <c r="C2937" s="1"/>
      <c r="D2937" s="1"/>
      <c r="E2937" s="1"/>
      <c r="F2937" s="1"/>
      <c r="G2937" s="1"/>
      <c r="H2937" s="1"/>
      <c r="I2937" s="1"/>
      <c r="J2937" s="1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</row>
    <row r="2938" spans="2:73" s="38" customFormat="1">
      <c r="B2938" s="1"/>
      <c r="C2938" s="1"/>
      <c r="D2938" s="1"/>
      <c r="E2938" s="1"/>
      <c r="F2938" s="1"/>
      <c r="G2938" s="1"/>
      <c r="H2938" s="1"/>
      <c r="I2938" s="1"/>
      <c r="J2938" s="1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</row>
    <row r="2939" spans="2:73" s="38" customFormat="1">
      <c r="B2939" s="1"/>
      <c r="C2939" s="1"/>
      <c r="D2939" s="1"/>
      <c r="E2939" s="1"/>
      <c r="F2939" s="1"/>
      <c r="G2939" s="1"/>
      <c r="H2939" s="1"/>
      <c r="I2939" s="1"/>
      <c r="J2939" s="1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</row>
    <row r="2940" spans="2:73" s="38" customFormat="1">
      <c r="B2940" s="1"/>
      <c r="C2940" s="1"/>
      <c r="D2940" s="1"/>
      <c r="E2940" s="1"/>
      <c r="F2940" s="1"/>
      <c r="G2940" s="1"/>
      <c r="H2940" s="1"/>
      <c r="I2940" s="1"/>
      <c r="J2940" s="1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</row>
    <row r="2941" spans="2:73" s="38" customFormat="1">
      <c r="B2941" s="1"/>
      <c r="C2941" s="1"/>
      <c r="D2941" s="1"/>
      <c r="E2941" s="1"/>
      <c r="F2941" s="1"/>
      <c r="G2941" s="1"/>
      <c r="H2941" s="1"/>
      <c r="I2941" s="1"/>
      <c r="J2941" s="1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</row>
    <row r="2942" spans="2:73" s="38" customFormat="1">
      <c r="B2942" s="1"/>
      <c r="C2942" s="1"/>
      <c r="D2942" s="1"/>
      <c r="E2942" s="1"/>
      <c r="F2942" s="1"/>
      <c r="G2942" s="1"/>
      <c r="H2942" s="1"/>
      <c r="I2942" s="1"/>
      <c r="J2942" s="1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</row>
    <row r="2943" spans="2:73" s="38" customFormat="1">
      <c r="B2943" s="1"/>
      <c r="C2943" s="1"/>
      <c r="D2943" s="1"/>
      <c r="E2943" s="1"/>
      <c r="F2943" s="1"/>
      <c r="G2943" s="1"/>
      <c r="H2943" s="1"/>
      <c r="I2943" s="1"/>
      <c r="J2943" s="1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</row>
    <row r="2944" spans="2:73" s="38" customFormat="1">
      <c r="B2944" s="1"/>
      <c r="C2944" s="1"/>
      <c r="D2944" s="1"/>
      <c r="E2944" s="1"/>
      <c r="F2944" s="1"/>
      <c r="G2944" s="1"/>
      <c r="H2944" s="1"/>
      <c r="I2944" s="1"/>
      <c r="J2944" s="1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</row>
    <row r="2945" spans="2:73" s="38" customFormat="1">
      <c r="B2945" s="1"/>
      <c r="C2945" s="1"/>
      <c r="D2945" s="1"/>
      <c r="E2945" s="1"/>
      <c r="F2945" s="1"/>
      <c r="G2945" s="1"/>
      <c r="H2945" s="1"/>
      <c r="I2945" s="1"/>
      <c r="J2945" s="1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</row>
    <row r="2946" spans="2:73" s="38" customFormat="1">
      <c r="B2946" s="1"/>
      <c r="C2946" s="1"/>
      <c r="D2946" s="1"/>
      <c r="E2946" s="1"/>
      <c r="F2946" s="1"/>
      <c r="G2946" s="1"/>
      <c r="H2946" s="1"/>
      <c r="I2946" s="1"/>
      <c r="J2946" s="1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</row>
    <row r="2947" spans="2:73" s="38" customFormat="1">
      <c r="B2947" s="1"/>
      <c r="C2947" s="1"/>
      <c r="D2947" s="1"/>
      <c r="E2947" s="1"/>
      <c r="F2947" s="1"/>
      <c r="G2947" s="1"/>
      <c r="H2947" s="1"/>
      <c r="I2947" s="1"/>
      <c r="J2947" s="1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</row>
    <row r="2948" spans="2:73" s="38" customFormat="1">
      <c r="B2948" s="1"/>
      <c r="C2948" s="1"/>
      <c r="D2948" s="1"/>
      <c r="E2948" s="1"/>
      <c r="F2948" s="1"/>
      <c r="G2948" s="1"/>
      <c r="H2948" s="1"/>
      <c r="I2948" s="1"/>
      <c r="J2948" s="1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</row>
    <row r="2949" spans="2:73" s="38" customFormat="1">
      <c r="B2949" s="1"/>
      <c r="C2949" s="1"/>
      <c r="D2949" s="1"/>
      <c r="E2949" s="1"/>
      <c r="F2949" s="1"/>
      <c r="G2949" s="1"/>
      <c r="H2949" s="1"/>
      <c r="I2949" s="1"/>
      <c r="J2949" s="1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</row>
    <row r="2950" spans="2:73" s="38" customFormat="1">
      <c r="B2950" s="1"/>
      <c r="C2950" s="1"/>
      <c r="D2950" s="1"/>
      <c r="E2950" s="1"/>
      <c r="F2950" s="1"/>
      <c r="G2950" s="1"/>
      <c r="H2950" s="1"/>
      <c r="I2950" s="1"/>
      <c r="J2950" s="1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</row>
    <row r="2951" spans="2:73" s="38" customFormat="1">
      <c r="B2951" s="1"/>
      <c r="C2951" s="1"/>
      <c r="D2951" s="1"/>
      <c r="E2951" s="1"/>
      <c r="F2951" s="1"/>
      <c r="G2951" s="1"/>
      <c r="H2951" s="1"/>
      <c r="I2951" s="1"/>
      <c r="J2951" s="1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</row>
    <row r="2952" spans="2:73" s="38" customFormat="1">
      <c r="B2952" s="1"/>
      <c r="C2952" s="1"/>
      <c r="D2952" s="1"/>
      <c r="E2952" s="1"/>
      <c r="F2952" s="1"/>
      <c r="G2952" s="1"/>
      <c r="H2952" s="1"/>
      <c r="I2952" s="1"/>
      <c r="J2952" s="1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</row>
    <row r="2953" spans="2:73" s="38" customFormat="1">
      <c r="B2953" s="1"/>
      <c r="C2953" s="1"/>
      <c r="D2953" s="1"/>
      <c r="E2953" s="1"/>
      <c r="F2953" s="1"/>
      <c r="G2953" s="1"/>
      <c r="H2953" s="1"/>
      <c r="I2953" s="1"/>
      <c r="J2953" s="1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</row>
    <row r="2954" spans="2:73" s="38" customFormat="1">
      <c r="B2954" s="1"/>
      <c r="C2954" s="1"/>
      <c r="D2954" s="1"/>
      <c r="E2954" s="1"/>
      <c r="F2954" s="1"/>
      <c r="G2954" s="1"/>
      <c r="H2954" s="1"/>
      <c r="I2954" s="1"/>
      <c r="J2954" s="1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</row>
    <row r="2955" spans="2:73" s="38" customFormat="1">
      <c r="B2955" s="1"/>
      <c r="C2955" s="1"/>
      <c r="D2955" s="1"/>
      <c r="E2955" s="1"/>
      <c r="F2955" s="1"/>
      <c r="G2955" s="1"/>
      <c r="H2955" s="1"/>
      <c r="I2955" s="1"/>
      <c r="J2955" s="1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</row>
    <row r="2956" spans="2:73" s="38" customFormat="1">
      <c r="B2956" s="1"/>
      <c r="C2956" s="1"/>
      <c r="D2956" s="1"/>
      <c r="E2956" s="1"/>
      <c r="F2956" s="1"/>
      <c r="G2956" s="1"/>
      <c r="H2956" s="1"/>
      <c r="I2956" s="1"/>
      <c r="J2956" s="1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</row>
    <row r="2957" spans="2:73" s="38" customFormat="1">
      <c r="B2957" s="1"/>
      <c r="C2957" s="1"/>
      <c r="D2957" s="1"/>
      <c r="E2957" s="1"/>
      <c r="F2957" s="1"/>
      <c r="G2957" s="1"/>
      <c r="H2957" s="1"/>
      <c r="I2957" s="1"/>
      <c r="J2957" s="1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</row>
    <row r="2958" spans="2:73" s="38" customFormat="1">
      <c r="B2958" s="1"/>
      <c r="C2958" s="1"/>
      <c r="D2958" s="1"/>
      <c r="E2958" s="1"/>
      <c r="F2958" s="1"/>
      <c r="G2958" s="1"/>
      <c r="H2958" s="1"/>
      <c r="I2958" s="1"/>
      <c r="J2958" s="1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</row>
    <row r="2959" spans="2:73" s="38" customFormat="1">
      <c r="B2959" s="1"/>
      <c r="C2959" s="1"/>
      <c r="D2959" s="1"/>
      <c r="E2959" s="1"/>
      <c r="F2959" s="1"/>
      <c r="G2959" s="1"/>
      <c r="H2959" s="1"/>
      <c r="I2959" s="1"/>
      <c r="J2959" s="1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</row>
    <row r="2960" spans="2:73" s="38" customFormat="1">
      <c r="B2960" s="1"/>
      <c r="C2960" s="1"/>
      <c r="D2960" s="1"/>
      <c r="E2960" s="1"/>
      <c r="F2960" s="1"/>
      <c r="G2960" s="1"/>
      <c r="H2960" s="1"/>
      <c r="I2960" s="1"/>
      <c r="J2960" s="1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</row>
    <row r="2961" spans="2:73" s="38" customFormat="1">
      <c r="B2961" s="1"/>
      <c r="C2961" s="1"/>
      <c r="D2961" s="1"/>
      <c r="E2961" s="1"/>
      <c r="F2961" s="1"/>
      <c r="G2961" s="1"/>
      <c r="H2961" s="1"/>
      <c r="I2961" s="1"/>
      <c r="J2961" s="1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</row>
    <row r="2962" spans="2:73" s="38" customFormat="1">
      <c r="B2962" s="1"/>
      <c r="C2962" s="1"/>
      <c r="D2962" s="1"/>
      <c r="E2962" s="1"/>
      <c r="F2962" s="1"/>
      <c r="G2962" s="1"/>
      <c r="H2962" s="1"/>
      <c r="I2962" s="1"/>
      <c r="J2962" s="1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</row>
    <row r="2963" spans="2:73" s="38" customFormat="1">
      <c r="B2963" s="1"/>
      <c r="C2963" s="1"/>
      <c r="D2963" s="1"/>
      <c r="E2963" s="1"/>
      <c r="F2963" s="1"/>
      <c r="G2963" s="1"/>
      <c r="H2963" s="1"/>
      <c r="I2963" s="1"/>
      <c r="J2963" s="1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</row>
    <row r="2964" spans="2:73" s="38" customFormat="1">
      <c r="B2964" s="1"/>
      <c r="C2964" s="1"/>
      <c r="D2964" s="1"/>
      <c r="E2964" s="1"/>
      <c r="F2964" s="1"/>
      <c r="G2964" s="1"/>
      <c r="H2964" s="1"/>
      <c r="I2964" s="1"/>
      <c r="J2964" s="1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</row>
    <row r="2965" spans="2:73" s="38" customFormat="1">
      <c r="B2965" s="1"/>
      <c r="C2965" s="1"/>
      <c r="D2965" s="1"/>
      <c r="E2965" s="1"/>
      <c r="F2965" s="1"/>
      <c r="G2965" s="1"/>
      <c r="H2965" s="1"/>
      <c r="I2965" s="1"/>
      <c r="J2965" s="1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</row>
    <row r="2966" spans="2:73" s="38" customFormat="1">
      <c r="B2966" s="1"/>
      <c r="C2966" s="1"/>
      <c r="D2966" s="1"/>
      <c r="E2966" s="1"/>
      <c r="F2966" s="1"/>
      <c r="G2966" s="1"/>
      <c r="H2966" s="1"/>
      <c r="I2966" s="1"/>
      <c r="J2966" s="1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</row>
    <row r="2967" spans="2:73" s="38" customFormat="1">
      <c r="B2967" s="1"/>
      <c r="C2967" s="1"/>
      <c r="D2967" s="1"/>
      <c r="E2967" s="1"/>
      <c r="F2967" s="1"/>
      <c r="G2967" s="1"/>
      <c r="H2967" s="1"/>
      <c r="I2967" s="1"/>
      <c r="J2967" s="1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</row>
    <row r="2968" spans="2:73" s="38" customFormat="1">
      <c r="B2968" s="1"/>
      <c r="C2968" s="1"/>
      <c r="D2968" s="1"/>
      <c r="E2968" s="1"/>
      <c r="F2968" s="1"/>
      <c r="G2968" s="1"/>
      <c r="H2968" s="1"/>
      <c r="I2968" s="1"/>
      <c r="J2968" s="1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</row>
    <row r="2969" spans="2:73" s="38" customFormat="1">
      <c r="B2969" s="1"/>
      <c r="C2969" s="1"/>
      <c r="D2969" s="1"/>
      <c r="E2969" s="1"/>
      <c r="F2969" s="1"/>
      <c r="G2969" s="1"/>
      <c r="H2969" s="1"/>
      <c r="I2969" s="1"/>
      <c r="J2969" s="1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</row>
    <row r="2970" spans="2:73" s="38" customFormat="1">
      <c r="B2970" s="1"/>
      <c r="C2970" s="1"/>
      <c r="D2970" s="1"/>
      <c r="E2970" s="1"/>
      <c r="F2970" s="1"/>
      <c r="G2970" s="1"/>
      <c r="H2970" s="1"/>
      <c r="I2970" s="1"/>
      <c r="J2970" s="1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</row>
    <row r="2971" spans="2:73" s="38" customFormat="1">
      <c r="B2971" s="1"/>
      <c r="C2971" s="1"/>
      <c r="D2971" s="1"/>
      <c r="E2971" s="1"/>
      <c r="F2971" s="1"/>
      <c r="G2971" s="1"/>
      <c r="H2971" s="1"/>
      <c r="I2971" s="1"/>
      <c r="J2971" s="1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</row>
    <row r="2972" spans="2:73" s="38" customFormat="1">
      <c r="B2972" s="1"/>
      <c r="C2972" s="1"/>
      <c r="D2972" s="1"/>
      <c r="E2972" s="1"/>
      <c r="F2972" s="1"/>
      <c r="G2972" s="1"/>
      <c r="H2972" s="1"/>
      <c r="I2972" s="1"/>
      <c r="J2972" s="1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</row>
    <row r="2973" spans="2:73" s="38" customFormat="1">
      <c r="B2973" s="1"/>
      <c r="C2973" s="1"/>
      <c r="D2973" s="1"/>
      <c r="E2973" s="1"/>
      <c r="F2973" s="1"/>
      <c r="G2973" s="1"/>
      <c r="H2973" s="1"/>
      <c r="I2973" s="1"/>
      <c r="J2973" s="1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</row>
    <row r="2974" spans="2:73" s="38" customFormat="1">
      <c r="B2974" s="1"/>
      <c r="C2974" s="1"/>
      <c r="D2974" s="1"/>
      <c r="E2974" s="1"/>
      <c r="F2974" s="1"/>
      <c r="G2974" s="1"/>
      <c r="H2974" s="1"/>
      <c r="I2974" s="1"/>
      <c r="J2974" s="1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</row>
    <row r="2975" spans="2:73" s="38" customFormat="1">
      <c r="B2975" s="1"/>
      <c r="C2975" s="1"/>
      <c r="D2975" s="1"/>
      <c r="E2975" s="1"/>
      <c r="F2975" s="1"/>
      <c r="G2975" s="1"/>
      <c r="H2975" s="1"/>
      <c r="I2975" s="1"/>
      <c r="J2975" s="1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</row>
    <row r="2976" spans="2:73" s="38" customFormat="1">
      <c r="B2976" s="1"/>
      <c r="C2976" s="1"/>
      <c r="D2976" s="1"/>
      <c r="E2976" s="1"/>
      <c r="F2976" s="1"/>
      <c r="G2976" s="1"/>
      <c r="H2976" s="1"/>
      <c r="I2976" s="1"/>
      <c r="J2976" s="1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</row>
    <row r="2977" spans="2:73" s="38" customFormat="1">
      <c r="B2977" s="1"/>
      <c r="C2977" s="1"/>
      <c r="D2977" s="1"/>
      <c r="E2977" s="1"/>
      <c r="F2977" s="1"/>
      <c r="G2977" s="1"/>
      <c r="H2977" s="1"/>
      <c r="I2977" s="1"/>
      <c r="J2977" s="1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</row>
    <row r="2978" spans="2:73" s="38" customFormat="1">
      <c r="B2978" s="1"/>
      <c r="C2978" s="1"/>
      <c r="D2978" s="1"/>
      <c r="E2978" s="1"/>
      <c r="F2978" s="1"/>
      <c r="G2978" s="1"/>
      <c r="H2978" s="1"/>
      <c r="I2978" s="1"/>
      <c r="J2978" s="1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</row>
    <row r="2979" spans="2:73" s="38" customFormat="1">
      <c r="B2979" s="1"/>
      <c r="C2979" s="1"/>
      <c r="D2979" s="1"/>
      <c r="E2979" s="1"/>
      <c r="F2979" s="1"/>
      <c r="G2979" s="1"/>
      <c r="H2979" s="1"/>
      <c r="I2979" s="1"/>
      <c r="J2979" s="1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</row>
    <row r="2980" spans="2:73" s="38" customFormat="1">
      <c r="B2980" s="1"/>
      <c r="C2980" s="1"/>
      <c r="D2980" s="1"/>
      <c r="E2980" s="1"/>
      <c r="F2980" s="1"/>
      <c r="G2980" s="1"/>
      <c r="H2980" s="1"/>
      <c r="I2980" s="1"/>
      <c r="J2980" s="1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</row>
    <row r="2981" spans="2:73" s="38" customFormat="1">
      <c r="B2981" s="1"/>
      <c r="C2981" s="1"/>
      <c r="D2981" s="1"/>
      <c r="E2981" s="1"/>
      <c r="F2981" s="1"/>
      <c r="G2981" s="1"/>
      <c r="H2981" s="1"/>
      <c r="I2981" s="1"/>
      <c r="J2981" s="1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</row>
    <row r="2982" spans="2:73" s="38" customFormat="1">
      <c r="B2982" s="1"/>
      <c r="C2982" s="1"/>
      <c r="D2982" s="1"/>
      <c r="E2982" s="1"/>
      <c r="F2982" s="1"/>
      <c r="G2982" s="1"/>
      <c r="H2982" s="1"/>
      <c r="I2982" s="1"/>
      <c r="J2982" s="1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</row>
    <row r="2983" spans="2:73" s="38" customFormat="1">
      <c r="B2983" s="1"/>
      <c r="C2983" s="1"/>
      <c r="D2983" s="1"/>
      <c r="E2983" s="1"/>
      <c r="F2983" s="1"/>
      <c r="G2983" s="1"/>
      <c r="H2983" s="1"/>
      <c r="I2983" s="1"/>
      <c r="J2983" s="1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</row>
    <row r="2984" spans="2:73" s="38" customFormat="1">
      <c r="B2984" s="1"/>
      <c r="C2984" s="1"/>
      <c r="D2984" s="1"/>
      <c r="E2984" s="1"/>
      <c r="F2984" s="1"/>
      <c r="G2984" s="1"/>
      <c r="H2984" s="1"/>
      <c r="I2984" s="1"/>
      <c r="J2984" s="1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</row>
    <row r="2985" spans="2:73" s="38" customFormat="1">
      <c r="B2985" s="1"/>
      <c r="C2985" s="1"/>
      <c r="D2985" s="1"/>
      <c r="E2985" s="1"/>
      <c r="F2985" s="1"/>
      <c r="G2985" s="1"/>
      <c r="H2985" s="1"/>
      <c r="I2985" s="1"/>
      <c r="J2985" s="1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</row>
    <row r="2986" spans="2:73" s="38" customFormat="1">
      <c r="B2986" s="1"/>
      <c r="C2986" s="1"/>
      <c r="D2986" s="1"/>
      <c r="E2986" s="1"/>
      <c r="F2986" s="1"/>
      <c r="G2986" s="1"/>
      <c r="H2986" s="1"/>
      <c r="I2986" s="1"/>
      <c r="J2986" s="1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</row>
    <row r="2987" spans="2:73" s="38" customFormat="1">
      <c r="B2987" s="1"/>
      <c r="C2987" s="1"/>
      <c r="D2987" s="1"/>
      <c r="E2987" s="1"/>
      <c r="F2987" s="1"/>
      <c r="G2987" s="1"/>
      <c r="H2987" s="1"/>
      <c r="I2987" s="1"/>
      <c r="J2987" s="1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</row>
    <row r="2988" spans="2:73" s="38" customFormat="1">
      <c r="B2988" s="1"/>
      <c r="C2988" s="1"/>
      <c r="D2988" s="1"/>
      <c r="E2988" s="1"/>
      <c r="F2988" s="1"/>
      <c r="G2988" s="1"/>
      <c r="H2988" s="1"/>
      <c r="I2988" s="1"/>
      <c r="J2988" s="1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</row>
    <row r="2989" spans="2:73" s="38" customFormat="1">
      <c r="B2989" s="1"/>
      <c r="C2989" s="1"/>
      <c r="D2989" s="1"/>
      <c r="E2989" s="1"/>
      <c r="F2989" s="1"/>
      <c r="G2989" s="1"/>
      <c r="H2989" s="1"/>
      <c r="I2989" s="1"/>
      <c r="J2989" s="1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</row>
    <row r="2990" spans="2:73" s="38" customFormat="1">
      <c r="B2990" s="1"/>
      <c r="C2990" s="1"/>
      <c r="D2990" s="1"/>
      <c r="E2990" s="1"/>
      <c r="F2990" s="1"/>
      <c r="G2990" s="1"/>
      <c r="H2990" s="1"/>
      <c r="I2990" s="1"/>
      <c r="J2990" s="1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</row>
    <row r="2991" spans="2:73" s="38" customFormat="1">
      <c r="B2991" s="1"/>
      <c r="C2991" s="1"/>
      <c r="D2991" s="1"/>
      <c r="E2991" s="1"/>
      <c r="F2991" s="1"/>
      <c r="G2991" s="1"/>
      <c r="H2991" s="1"/>
      <c r="I2991" s="1"/>
      <c r="J2991" s="1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</row>
    <row r="2992" spans="2:73" s="38" customFormat="1">
      <c r="B2992" s="1"/>
      <c r="C2992" s="1"/>
      <c r="D2992" s="1"/>
      <c r="E2992" s="1"/>
      <c r="F2992" s="1"/>
      <c r="G2992" s="1"/>
      <c r="H2992" s="1"/>
      <c r="I2992" s="1"/>
      <c r="J2992" s="1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</row>
    <row r="2993" spans="2:73" s="38" customFormat="1">
      <c r="B2993" s="1"/>
      <c r="C2993" s="1"/>
      <c r="D2993" s="1"/>
      <c r="E2993" s="1"/>
      <c r="F2993" s="1"/>
      <c r="G2993" s="1"/>
      <c r="H2993" s="1"/>
      <c r="I2993" s="1"/>
      <c r="J2993" s="1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</row>
    <row r="2994" spans="2:73" s="38" customFormat="1">
      <c r="B2994" s="1"/>
      <c r="C2994" s="1"/>
      <c r="D2994" s="1"/>
      <c r="E2994" s="1"/>
      <c r="F2994" s="1"/>
      <c r="G2994" s="1"/>
      <c r="H2994" s="1"/>
      <c r="I2994" s="1"/>
      <c r="J2994" s="1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</row>
    <row r="2995" spans="2:73" s="38" customFormat="1">
      <c r="B2995" s="1"/>
      <c r="C2995" s="1"/>
      <c r="D2995" s="1"/>
      <c r="E2995" s="1"/>
      <c r="F2995" s="1"/>
      <c r="G2995" s="1"/>
      <c r="H2995" s="1"/>
      <c r="I2995" s="1"/>
      <c r="J2995" s="1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</row>
    <row r="2996" spans="2:73" s="38" customFormat="1">
      <c r="B2996" s="1"/>
      <c r="C2996" s="1"/>
      <c r="D2996" s="1"/>
      <c r="E2996" s="1"/>
      <c r="F2996" s="1"/>
      <c r="G2996" s="1"/>
      <c r="H2996" s="1"/>
      <c r="I2996" s="1"/>
      <c r="J2996" s="1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</row>
    <row r="2997" spans="2:73" s="38" customFormat="1">
      <c r="B2997" s="1"/>
      <c r="C2997" s="1"/>
      <c r="D2997" s="1"/>
      <c r="E2997" s="1"/>
      <c r="F2997" s="1"/>
      <c r="G2997" s="1"/>
      <c r="H2997" s="1"/>
      <c r="I2997" s="1"/>
      <c r="J2997" s="1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</row>
    <row r="2998" spans="2:73" s="38" customFormat="1">
      <c r="B2998" s="1"/>
      <c r="C2998" s="1"/>
      <c r="D2998" s="1"/>
      <c r="E2998" s="1"/>
      <c r="F2998" s="1"/>
      <c r="G2998" s="1"/>
      <c r="H2998" s="1"/>
      <c r="I2998" s="1"/>
      <c r="J2998" s="1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</row>
    <row r="2999" spans="2:73" s="38" customFormat="1">
      <c r="B2999" s="1"/>
      <c r="C2999" s="1"/>
      <c r="D2999" s="1"/>
      <c r="E2999" s="1"/>
      <c r="F2999" s="1"/>
      <c r="G2999" s="1"/>
      <c r="H2999" s="1"/>
      <c r="I2999" s="1"/>
      <c r="J2999" s="1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</row>
    <row r="3000" spans="2:73" s="38" customFormat="1">
      <c r="B3000" s="1"/>
      <c r="C3000" s="1"/>
      <c r="D3000" s="1"/>
      <c r="E3000" s="1"/>
      <c r="F3000" s="1"/>
      <c r="G3000" s="1"/>
      <c r="H3000" s="1"/>
      <c r="I3000" s="1"/>
      <c r="J3000" s="1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</row>
    <row r="3001" spans="2:73" s="38" customFormat="1">
      <c r="B3001" s="1"/>
      <c r="C3001" s="1"/>
      <c r="D3001" s="1"/>
      <c r="E3001" s="1"/>
      <c r="F3001" s="1"/>
      <c r="G3001" s="1"/>
      <c r="H3001" s="1"/>
      <c r="I3001" s="1"/>
      <c r="J3001" s="1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</row>
    <row r="3002" spans="2:73" s="38" customFormat="1">
      <c r="B3002" s="1"/>
      <c r="C3002" s="1"/>
      <c r="D3002" s="1"/>
      <c r="E3002" s="1"/>
      <c r="F3002" s="1"/>
      <c r="G3002" s="1"/>
      <c r="H3002" s="1"/>
      <c r="I3002" s="1"/>
      <c r="J3002" s="1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</row>
    <row r="3003" spans="2:73" s="38" customFormat="1">
      <c r="B3003" s="1"/>
      <c r="C3003" s="1"/>
      <c r="D3003" s="1"/>
      <c r="E3003" s="1"/>
      <c r="F3003" s="1"/>
      <c r="G3003" s="1"/>
      <c r="H3003" s="1"/>
      <c r="I3003" s="1"/>
      <c r="J3003" s="1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</row>
    <row r="3004" spans="2:73" s="38" customFormat="1">
      <c r="B3004" s="1"/>
      <c r="C3004" s="1"/>
      <c r="D3004" s="1"/>
      <c r="E3004" s="1"/>
      <c r="F3004" s="1"/>
      <c r="G3004" s="1"/>
      <c r="H3004" s="1"/>
      <c r="I3004" s="1"/>
      <c r="J3004" s="1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</row>
    <row r="3005" spans="2:73" s="38" customFormat="1">
      <c r="B3005" s="1"/>
      <c r="C3005" s="1"/>
      <c r="D3005" s="1"/>
      <c r="E3005" s="1"/>
      <c r="F3005" s="1"/>
      <c r="G3005" s="1"/>
      <c r="H3005" s="1"/>
      <c r="I3005" s="1"/>
      <c r="J3005" s="1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</row>
    <row r="3006" spans="2:73" s="38" customFormat="1">
      <c r="B3006" s="1"/>
      <c r="C3006" s="1"/>
      <c r="D3006" s="1"/>
      <c r="E3006" s="1"/>
      <c r="F3006" s="1"/>
      <c r="G3006" s="1"/>
      <c r="H3006" s="1"/>
      <c r="I3006" s="1"/>
      <c r="J3006" s="1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</row>
    <row r="3007" spans="2:73" s="38" customFormat="1">
      <c r="B3007" s="1"/>
      <c r="C3007" s="1"/>
      <c r="D3007" s="1"/>
      <c r="E3007" s="1"/>
      <c r="F3007" s="1"/>
      <c r="G3007" s="1"/>
      <c r="H3007" s="1"/>
      <c r="I3007" s="1"/>
      <c r="J3007" s="1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</row>
    <row r="3008" spans="2:73" s="38" customFormat="1">
      <c r="B3008" s="1"/>
      <c r="C3008" s="1"/>
      <c r="D3008" s="1"/>
      <c r="E3008" s="1"/>
      <c r="F3008" s="1"/>
      <c r="G3008" s="1"/>
      <c r="H3008" s="1"/>
      <c r="I3008" s="1"/>
      <c r="J3008" s="1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</row>
    <row r="3009" spans="2:73" s="38" customFormat="1">
      <c r="B3009" s="1"/>
      <c r="C3009" s="1"/>
      <c r="D3009" s="1"/>
      <c r="E3009" s="1"/>
      <c r="F3009" s="1"/>
      <c r="G3009" s="1"/>
      <c r="H3009" s="1"/>
      <c r="I3009" s="1"/>
      <c r="J3009" s="1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</row>
    <row r="3010" spans="2:73" s="38" customFormat="1">
      <c r="B3010" s="1"/>
      <c r="C3010" s="1"/>
      <c r="D3010" s="1"/>
      <c r="E3010" s="1"/>
      <c r="F3010" s="1"/>
      <c r="G3010" s="1"/>
      <c r="H3010" s="1"/>
      <c r="I3010" s="1"/>
      <c r="J3010" s="1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</row>
    <row r="3011" spans="2:73" s="38" customFormat="1">
      <c r="B3011" s="1"/>
      <c r="C3011" s="1"/>
      <c r="D3011" s="1"/>
      <c r="E3011" s="1"/>
      <c r="F3011" s="1"/>
      <c r="G3011" s="1"/>
      <c r="H3011" s="1"/>
      <c r="I3011" s="1"/>
      <c r="J3011" s="1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</row>
    <row r="3012" spans="2:73" s="38" customFormat="1">
      <c r="B3012" s="1"/>
      <c r="C3012" s="1"/>
      <c r="D3012" s="1"/>
      <c r="E3012" s="1"/>
      <c r="F3012" s="1"/>
      <c r="G3012" s="1"/>
      <c r="H3012" s="1"/>
      <c r="I3012" s="1"/>
      <c r="J3012" s="1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</row>
    <row r="3013" spans="2:73" s="38" customFormat="1">
      <c r="B3013" s="1"/>
      <c r="C3013" s="1"/>
      <c r="D3013" s="1"/>
      <c r="E3013" s="1"/>
      <c r="F3013" s="1"/>
      <c r="G3013" s="1"/>
      <c r="H3013" s="1"/>
      <c r="I3013" s="1"/>
      <c r="J3013" s="1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</row>
    <row r="3014" spans="2:73" s="38" customFormat="1">
      <c r="B3014" s="1"/>
      <c r="C3014" s="1"/>
      <c r="D3014" s="1"/>
      <c r="E3014" s="1"/>
      <c r="F3014" s="1"/>
      <c r="G3014" s="1"/>
      <c r="H3014" s="1"/>
      <c r="I3014" s="1"/>
      <c r="J3014" s="1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</row>
    <row r="3015" spans="2:73" s="38" customFormat="1">
      <c r="B3015" s="1"/>
      <c r="C3015" s="1"/>
      <c r="D3015" s="1"/>
      <c r="E3015" s="1"/>
      <c r="F3015" s="1"/>
      <c r="G3015" s="1"/>
      <c r="H3015" s="1"/>
      <c r="I3015" s="1"/>
      <c r="J3015" s="1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</row>
    <row r="3016" spans="2:73" s="38" customFormat="1">
      <c r="B3016" s="1"/>
      <c r="C3016" s="1"/>
      <c r="D3016" s="1"/>
      <c r="E3016" s="1"/>
      <c r="F3016" s="1"/>
      <c r="G3016" s="1"/>
      <c r="H3016" s="1"/>
      <c r="I3016" s="1"/>
      <c r="J3016" s="1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</row>
    <row r="3017" spans="2:73" s="38" customFormat="1">
      <c r="B3017" s="1"/>
      <c r="C3017" s="1"/>
      <c r="D3017" s="1"/>
      <c r="E3017" s="1"/>
      <c r="F3017" s="1"/>
      <c r="G3017" s="1"/>
      <c r="H3017" s="1"/>
      <c r="I3017" s="1"/>
      <c r="J3017" s="1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</row>
    <row r="3018" spans="2:73" s="38" customFormat="1">
      <c r="B3018" s="1"/>
      <c r="C3018" s="1"/>
      <c r="D3018" s="1"/>
      <c r="E3018" s="1"/>
      <c r="F3018" s="1"/>
      <c r="G3018" s="1"/>
      <c r="H3018" s="1"/>
      <c r="I3018" s="1"/>
      <c r="J3018" s="1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</row>
    <row r="3019" spans="2:73" s="38" customFormat="1">
      <c r="B3019" s="1"/>
      <c r="C3019" s="1"/>
      <c r="D3019" s="1"/>
      <c r="E3019" s="1"/>
      <c r="F3019" s="1"/>
      <c r="G3019" s="1"/>
      <c r="H3019" s="1"/>
      <c r="I3019" s="1"/>
      <c r="J3019" s="1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</row>
    <row r="3020" spans="2:73" s="38" customFormat="1">
      <c r="B3020" s="1"/>
      <c r="C3020" s="1"/>
      <c r="D3020" s="1"/>
      <c r="E3020" s="1"/>
      <c r="F3020" s="1"/>
      <c r="G3020" s="1"/>
      <c r="H3020" s="1"/>
      <c r="I3020" s="1"/>
      <c r="J3020" s="1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</row>
    <row r="3021" spans="2:73" s="38" customFormat="1">
      <c r="B3021" s="1"/>
      <c r="C3021" s="1"/>
      <c r="D3021" s="1"/>
      <c r="E3021" s="1"/>
      <c r="F3021" s="1"/>
      <c r="G3021" s="1"/>
      <c r="H3021" s="1"/>
      <c r="I3021" s="1"/>
      <c r="J3021" s="1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</row>
    <row r="3022" spans="2:73" s="38" customFormat="1">
      <c r="B3022" s="1"/>
      <c r="C3022" s="1"/>
      <c r="D3022" s="1"/>
      <c r="E3022" s="1"/>
      <c r="F3022" s="1"/>
      <c r="G3022" s="1"/>
      <c r="H3022" s="1"/>
      <c r="I3022" s="1"/>
      <c r="J3022" s="1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</row>
    <row r="3023" spans="2:73" s="38" customFormat="1">
      <c r="B3023" s="1"/>
      <c r="C3023" s="1"/>
      <c r="D3023" s="1"/>
      <c r="E3023" s="1"/>
      <c r="F3023" s="1"/>
      <c r="G3023" s="1"/>
      <c r="H3023" s="1"/>
      <c r="I3023" s="1"/>
      <c r="J3023" s="1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</row>
    <row r="3024" spans="2:73" s="38" customFormat="1">
      <c r="B3024" s="1"/>
      <c r="C3024" s="1"/>
      <c r="D3024" s="1"/>
      <c r="E3024" s="1"/>
      <c r="F3024" s="1"/>
      <c r="G3024" s="1"/>
      <c r="H3024" s="1"/>
      <c r="I3024" s="1"/>
      <c r="J3024" s="1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</row>
    <row r="3025" spans="2:73" s="38" customFormat="1">
      <c r="B3025" s="1"/>
      <c r="C3025" s="1"/>
      <c r="D3025" s="1"/>
      <c r="E3025" s="1"/>
      <c r="F3025" s="1"/>
      <c r="G3025" s="1"/>
      <c r="H3025" s="1"/>
      <c r="I3025" s="1"/>
      <c r="J3025" s="1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</row>
    <row r="3026" spans="2:73" s="38" customFormat="1">
      <c r="B3026" s="1"/>
      <c r="C3026" s="1"/>
      <c r="D3026" s="1"/>
      <c r="E3026" s="1"/>
      <c r="F3026" s="1"/>
      <c r="G3026" s="1"/>
      <c r="H3026" s="1"/>
      <c r="I3026" s="1"/>
      <c r="J3026" s="1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</row>
    <row r="3027" spans="2:73" s="38" customFormat="1">
      <c r="B3027" s="1"/>
      <c r="C3027" s="1"/>
      <c r="D3027" s="1"/>
      <c r="E3027" s="1"/>
      <c r="F3027" s="1"/>
      <c r="G3027" s="1"/>
      <c r="H3027" s="1"/>
      <c r="I3027" s="1"/>
      <c r="J3027" s="1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</row>
    <row r="3028" spans="2:73" s="38" customFormat="1">
      <c r="B3028" s="1"/>
      <c r="C3028" s="1"/>
      <c r="D3028" s="1"/>
      <c r="E3028" s="1"/>
      <c r="F3028" s="1"/>
      <c r="G3028" s="1"/>
      <c r="H3028" s="1"/>
      <c r="I3028" s="1"/>
      <c r="J3028" s="1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</row>
    <row r="3029" spans="2:73" s="38" customFormat="1">
      <c r="B3029" s="1"/>
      <c r="C3029" s="1"/>
      <c r="D3029" s="1"/>
      <c r="E3029" s="1"/>
      <c r="F3029" s="1"/>
      <c r="G3029" s="1"/>
      <c r="H3029" s="1"/>
      <c r="I3029" s="1"/>
      <c r="J3029" s="1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</row>
    <row r="3030" spans="2:73" s="38" customFormat="1">
      <c r="B3030" s="1"/>
      <c r="C3030" s="1"/>
      <c r="D3030" s="1"/>
      <c r="E3030" s="1"/>
      <c r="F3030" s="1"/>
      <c r="G3030" s="1"/>
      <c r="H3030" s="1"/>
      <c r="I3030" s="1"/>
      <c r="J3030" s="1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</row>
    <row r="3031" spans="2:73" s="38" customFormat="1">
      <c r="B3031" s="1"/>
      <c r="C3031" s="1"/>
      <c r="D3031" s="1"/>
      <c r="E3031" s="1"/>
      <c r="F3031" s="1"/>
      <c r="G3031" s="1"/>
      <c r="H3031" s="1"/>
      <c r="I3031" s="1"/>
      <c r="J3031" s="1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</row>
    <row r="3032" spans="2:73" s="38" customFormat="1">
      <c r="B3032" s="1"/>
      <c r="C3032" s="1"/>
      <c r="D3032" s="1"/>
      <c r="E3032" s="1"/>
      <c r="F3032" s="1"/>
      <c r="G3032" s="1"/>
      <c r="H3032" s="1"/>
      <c r="I3032" s="1"/>
      <c r="J3032" s="1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</row>
    <row r="3033" spans="2:73" s="38" customFormat="1">
      <c r="B3033" s="1"/>
      <c r="C3033" s="1"/>
      <c r="D3033" s="1"/>
      <c r="E3033" s="1"/>
      <c r="F3033" s="1"/>
      <c r="G3033" s="1"/>
      <c r="H3033" s="1"/>
      <c r="I3033" s="1"/>
      <c r="J3033" s="1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</row>
    <row r="3034" spans="2:73" s="38" customFormat="1">
      <c r="B3034" s="1"/>
      <c r="C3034" s="1"/>
      <c r="D3034" s="1"/>
      <c r="E3034" s="1"/>
      <c r="F3034" s="1"/>
      <c r="G3034" s="1"/>
      <c r="H3034" s="1"/>
      <c r="I3034" s="1"/>
      <c r="J3034" s="1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</row>
    <row r="3035" spans="2:73" s="38" customFormat="1">
      <c r="B3035" s="1"/>
      <c r="C3035" s="1"/>
      <c r="D3035" s="1"/>
      <c r="E3035" s="1"/>
      <c r="F3035" s="1"/>
      <c r="G3035" s="1"/>
      <c r="H3035" s="1"/>
      <c r="I3035" s="1"/>
      <c r="J3035" s="1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</row>
    <row r="3036" spans="2:73" s="38" customFormat="1">
      <c r="B3036" s="1"/>
      <c r="C3036" s="1"/>
      <c r="D3036" s="1"/>
      <c r="E3036" s="1"/>
      <c r="F3036" s="1"/>
      <c r="G3036" s="1"/>
      <c r="H3036" s="1"/>
      <c r="I3036" s="1"/>
      <c r="J3036" s="1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</row>
    <row r="3037" spans="2:73" s="38" customFormat="1">
      <c r="B3037" s="1"/>
      <c r="C3037" s="1"/>
      <c r="D3037" s="1"/>
      <c r="E3037" s="1"/>
      <c r="F3037" s="1"/>
      <c r="G3037" s="1"/>
      <c r="H3037" s="1"/>
      <c r="I3037" s="1"/>
      <c r="J3037" s="1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</row>
    <row r="3038" spans="2:73" s="38" customFormat="1">
      <c r="B3038" s="1"/>
      <c r="C3038" s="1"/>
      <c r="D3038" s="1"/>
      <c r="E3038" s="1"/>
      <c r="F3038" s="1"/>
      <c r="G3038" s="1"/>
      <c r="H3038" s="1"/>
      <c r="I3038" s="1"/>
      <c r="J3038" s="1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</row>
    <row r="3039" spans="2:73" s="38" customFormat="1">
      <c r="B3039" s="1"/>
      <c r="C3039" s="1"/>
      <c r="D3039" s="1"/>
      <c r="E3039" s="1"/>
      <c r="F3039" s="1"/>
      <c r="G3039" s="1"/>
      <c r="H3039" s="1"/>
      <c r="I3039" s="1"/>
      <c r="J3039" s="1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</row>
    <row r="3040" spans="2:73" s="38" customFormat="1">
      <c r="B3040" s="1"/>
      <c r="C3040" s="1"/>
      <c r="D3040" s="1"/>
      <c r="E3040" s="1"/>
      <c r="F3040" s="1"/>
      <c r="G3040" s="1"/>
      <c r="H3040" s="1"/>
      <c r="I3040" s="1"/>
      <c r="J3040" s="1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</row>
    <row r="3041" spans="2:73" s="38" customFormat="1">
      <c r="B3041" s="1"/>
      <c r="C3041" s="1"/>
      <c r="D3041" s="1"/>
      <c r="E3041" s="1"/>
      <c r="F3041" s="1"/>
      <c r="G3041" s="1"/>
      <c r="H3041" s="1"/>
      <c r="I3041" s="1"/>
      <c r="J3041" s="1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</row>
    <row r="3042" spans="2:73" s="38" customFormat="1">
      <c r="B3042" s="1"/>
      <c r="C3042" s="1"/>
      <c r="D3042" s="1"/>
      <c r="E3042" s="1"/>
      <c r="F3042" s="1"/>
      <c r="G3042" s="1"/>
      <c r="H3042" s="1"/>
      <c r="I3042" s="1"/>
      <c r="J3042" s="1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</row>
    <row r="3043" spans="2:73" s="38" customFormat="1">
      <c r="B3043" s="1"/>
      <c r="C3043" s="1"/>
      <c r="D3043" s="1"/>
      <c r="E3043" s="1"/>
      <c r="F3043" s="1"/>
      <c r="G3043" s="1"/>
      <c r="H3043" s="1"/>
      <c r="I3043" s="1"/>
      <c r="J3043" s="1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</row>
    <row r="3044" spans="2:73" s="38" customFormat="1">
      <c r="B3044" s="1"/>
      <c r="C3044" s="1"/>
      <c r="D3044" s="1"/>
      <c r="E3044" s="1"/>
      <c r="F3044" s="1"/>
      <c r="G3044" s="1"/>
      <c r="H3044" s="1"/>
      <c r="I3044" s="1"/>
      <c r="J3044" s="1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</row>
    <row r="3045" spans="2:73" s="38" customFormat="1">
      <c r="B3045" s="1"/>
      <c r="C3045" s="1"/>
      <c r="D3045" s="1"/>
      <c r="E3045" s="1"/>
      <c r="F3045" s="1"/>
      <c r="G3045" s="1"/>
      <c r="H3045" s="1"/>
      <c r="I3045" s="1"/>
      <c r="J3045" s="1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</row>
    <row r="3046" spans="2:73" s="38" customFormat="1">
      <c r="B3046" s="1"/>
      <c r="C3046" s="1"/>
      <c r="D3046" s="1"/>
      <c r="E3046" s="1"/>
      <c r="F3046" s="1"/>
      <c r="G3046" s="1"/>
      <c r="H3046" s="1"/>
      <c r="I3046" s="1"/>
      <c r="J3046" s="1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</row>
    <row r="3047" spans="2:73" s="38" customFormat="1">
      <c r="B3047" s="1"/>
      <c r="C3047" s="1"/>
      <c r="D3047" s="1"/>
      <c r="E3047" s="1"/>
      <c r="F3047" s="1"/>
      <c r="G3047" s="1"/>
      <c r="H3047" s="1"/>
      <c r="I3047" s="1"/>
      <c r="J3047" s="1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</row>
    <row r="3048" spans="2:73" s="38" customFormat="1">
      <c r="B3048" s="1"/>
      <c r="C3048" s="1"/>
      <c r="D3048" s="1"/>
      <c r="E3048" s="1"/>
      <c r="F3048" s="1"/>
      <c r="G3048" s="1"/>
      <c r="H3048" s="1"/>
      <c r="I3048" s="1"/>
      <c r="J3048" s="1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</row>
    <row r="3049" spans="2:73" s="38" customFormat="1">
      <c r="B3049" s="1"/>
      <c r="C3049" s="1"/>
      <c r="D3049" s="1"/>
      <c r="E3049" s="1"/>
      <c r="F3049" s="1"/>
      <c r="G3049" s="1"/>
      <c r="H3049" s="1"/>
      <c r="I3049" s="1"/>
      <c r="J3049" s="1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</row>
    <row r="3050" spans="2:73" s="38" customFormat="1">
      <c r="B3050" s="1"/>
      <c r="C3050" s="1"/>
      <c r="D3050" s="1"/>
      <c r="E3050" s="1"/>
      <c r="F3050" s="1"/>
      <c r="G3050" s="1"/>
      <c r="H3050" s="1"/>
      <c r="I3050" s="1"/>
      <c r="J3050" s="1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</row>
    <row r="3051" spans="2:73" s="38" customFormat="1">
      <c r="B3051" s="1"/>
      <c r="C3051" s="1"/>
      <c r="D3051" s="1"/>
      <c r="E3051" s="1"/>
      <c r="F3051" s="1"/>
      <c r="G3051" s="1"/>
      <c r="H3051" s="1"/>
      <c r="I3051" s="1"/>
      <c r="J3051" s="1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</row>
    <row r="3052" spans="2:73" s="38" customFormat="1">
      <c r="B3052" s="1"/>
      <c r="C3052" s="1"/>
      <c r="D3052" s="1"/>
      <c r="E3052" s="1"/>
      <c r="F3052" s="1"/>
      <c r="G3052" s="1"/>
      <c r="H3052" s="1"/>
      <c r="I3052" s="1"/>
      <c r="J3052" s="1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</row>
    <row r="3053" spans="2:73" s="38" customFormat="1">
      <c r="B3053" s="1"/>
      <c r="C3053" s="1"/>
      <c r="D3053" s="1"/>
      <c r="E3053" s="1"/>
      <c r="F3053" s="1"/>
      <c r="G3053" s="1"/>
      <c r="H3053" s="1"/>
      <c r="I3053" s="1"/>
      <c r="J3053" s="1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</row>
    <row r="3054" spans="2:73" s="38" customFormat="1">
      <c r="B3054" s="1"/>
      <c r="C3054" s="1"/>
      <c r="D3054" s="1"/>
      <c r="E3054" s="1"/>
      <c r="F3054" s="1"/>
      <c r="G3054" s="1"/>
      <c r="H3054" s="1"/>
      <c r="I3054" s="1"/>
      <c r="J3054" s="1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</row>
    <row r="3055" spans="2:73" s="38" customFormat="1">
      <c r="B3055" s="1"/>
      <c r="C3055" s="1"/>
      <c r="D3055" s="1"/>
      <c r="E3055" s="1"/>
      <c r="F3055" s="1"/>
      <c r="G3055" s="1"/>
      <c r="H3055" s="1"/>
      <c r="I3055" s="1"/>
      <c r="J3055" s="1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</row>
    <row r="3056" spans="2:73" s="38" customFormat="1">
      <c r="B3056" s="1"/>
      <c r="C3056" s="1"/>
      <c r="D3056" s="1"/>
      <c r="E3056" s="1"/>
      <c r="F3056" s="1"/>
      <c r="G3056" s="1"/>
      <c r="H3056" s="1"/>
      <c r="I3056" s="1"/>
      <c r="J3056" s="1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</row>
    <row r="3057" spans="2:73" s="38" customFormat="1">
      <c r="B3057" s="1"/>
      <c r="C3057" s="1"/>
      <c r="D3057" s="1"/>
      <c r="E3057" s="1"/>
      <c r="F3057" s="1"/>
      <c r="G3057" s="1"/>
      <c r="H3057" s="1"/>
      <c r="I3057" s="1"/>
      <c r="J3057" s="1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</row>
    <row r="3058" spans="2:73" s="38" customFormat="1">
      <c r="B3058" s="1"/>
      <c r="C3058" s="1"/>
      <c r="D3058" s="1"/>
      <c r="E3058" s="1"/>
      <c r="F3058" s="1"/>
      <c r="G3058" s="1"/>
      <c r="H3058" s="1"/>
      <c r="I3058" s="1"/>
      <c r="J3058" s="1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</row>
    <row r="3059" spans="2:73" s="38" customFormat="1">
      <c r="B3059" s="1"/>
      <c r="C3059" s="1"/>
      <c r="D3059" s="1"/>
      <c r="E3059" s="1"/>
      <c r="F3059" s="1"/>
      <c r="G3059" s="1"/>
      <c r="H3059" s="1"/>
      <c r="I3059" s="1"/>
      <c r="J3059" s="1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</row>
    <row r="3060" spans="2:73" s="38" customFormat="1">
      <c r="B3060" s="1"/>
      <c r="C3060" s="1"/>
      <c r="D3060" s="1"/>
      <c r="E3060" s="1"/>
      <c r="F3060" s="1"/>
      <c r="G3060" s="1"/>
      <c r="H3060" s="1"/>
      <c r="I3060" s="1"/>
      <c r="J3060" s="1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</row>
    <row r="3061" spans="2:73" s="38" customFormat="1">
      <c r="B3061" s="1"/>
      <c r="C3061" s="1"/>
      <c r="D3061" s="1"/>
      <c r="E3061" s="1"/>
      <c r="F3061" s="1"/>
      <c r="G3061" s="1"/>
      <c r="H3061" s="1"/>
      <c r="I3061" s="1"/>
      <c r="J3061" s="1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</row>
    <row r="3062" spans="2:73" s="38" customFormat="1">
      <c r="B3062" s="1"/>
      <c r="C3062" s="1"/>
      <c r="D3062" s="1"/>
      <c r="E3062" s="1"/>
      <c r="F3062" s="1"/>
      <c r="G3062" s="1"/>
      <c r="H3062" s="1"/>
      <c r="I3062" s="1"/>
      <c r="J3062" s="1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</row>
    <row r="3063" spans="2:73" s="38" customFormat="1">
      <c r="B3063" s="1"/>
      <c r="C3063" s="1"/>
      <c r="D3063" s="1"/>
      <c r="E3063" s="1"/>
      <c r="F3063" s="1"/>
      <c r="G3063" s="1"/>
      <c r="H3063" s="1"/>
      <c r="I3063" s="1"/>
      <c r="J3063" s="1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</row>
    <row r="3064" spans="2:73" s="38" customFormat="1">
      <c r="B3064" s="1"/>
      <c r="C3064" s="1"/>
      <c r="D3064" s="1"/>
      <c r="E3064" s="1"/>
      <c r="F3064" s="1"/>
      <c r="G3064" s="1"/>
      <c r="H3064" s="1"/>
      <c r="I3064" s="1"/>
      <c r="J3064" s="1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</row>
    <row r="3065" spans="2:73" s="38" customFormat="1">
      <c r="B3065" s="1"/>
      <c r="C3065" s="1"/>
      <c r="D3065" s="1"/>
      <c r="E3065" s="1"/>
      <c r="F3065" s="1"/>
      <c r="G3065" s="1"/>
      <c r="H3065" s="1"/>
      <c r="I3065" s="1"/>
      <c r="J3065" s="1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</row>
    <row r="3066" spans="2:73" s="38" customFormat="1">
      <c r="B3066" s="1"/>
      <c r="C3066" s="1"/>
      <c r="D3066" s="1"/>
      <c r="E3066" s="1"/>
      <c r="F3066" s="1"/>
      <c r="G3066" s="1"/>
      <c r="H3066" s="1"/>
      <c r="I3066" s="1"/>
      <c r="J3066" s="1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</row>
    <row r="3067" spans="2:73" s="38" customFormat="1">
      <c r="B3067" s="1"/>
      <c r="C3067" s="1"/>
      <c r="D3067" s="1"/>
      <c r="E3067" s="1"/>
      <c r="F3067" s="1"/>
      <c r="G3067" s="1"/>
      <c r="H3067" s="1"/>
      <c r="I3067" s="1"/>
      <c r="J3067" s="1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</row>
    <row r="3068" spans="2:73" s="38" customFormat="1">
      <c r="B3068" s="1"/>
      <c r="C3068" s="1"/>
      <c r="D3068" s="1"/>
      <c r="E3068" s="1"/>
      <c r="F3068" s="1"/>
      <c r="G3068" s="1"/>
      <c r="H3068" s="1"/>
      <c r="I3068" s="1"/>
      <c r="J3068" s="1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</row>
    <row r="3069" spans="2:73" s="38" customFormat="1">
      <c r="B3069" s="1"/>
      <c r="C3069" s="1"/>
      <c r="D3069" s="1"/>
      <c r="E3069" s="1"/>
      <c r="F3069" s="1"/>
      <c r="G3069" s="1"/>
      <c r="H3069" s="1"/>
      <c r="I3069" s="1"/>
      <c r="J3069" s="1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</row>
    <row r="3070" spans="2:73" s="38" customFormat="1">
      <c r="B3070" s="1"/>
      <c r="C3070" s="1"/>
      <c r="D3070" s="1"/>
      <c r="E3070" s="1"/>
      <c r="F3070" s="1"/>
      <c r="G3070" s="1"/>
      <c r="H3070" s="1"/>
      <c r="I3070" s="1"/>
      <c r="J3070" s="1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</row>
    <row r="3071" spans="2:73" s="38" customFormat="1">
      <c r="B3071" s="1"/>
      <c r="C3071" s="1"/>
      <c r="D3071" s="1"/>
      <c r="E3071" s="1"/>
      <c r="F3071" s="1"/>
      <c r="G3071" s="1"/>
      <c r="H3071" s="1"/>
      <c r="I3071" s="1"/>
      <c r="J3071" s="1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</row>
    <row r="3072" spans="2:73" s="38" customFormat="1">
      <c r="B3072" s="1"/>
      <c r="C3072" s="1"/>
      <c r="D3072" s="1"/>
      <c r="E3072" s="1"/>
      <c r="F3072" s="1"/>
      <c r="G3072" s="1"/>
      <c r="H3072" s="1"/>
      <c r="I3072" s="1"/>
      <c r="J3072" s="1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</row>
    <row r="3073" spans="2:73" s="38" customFormat="1">
      <c r="B3073" s="1"/>
      <c r="C3073" s="1"/>
      <c r="D3073" s="1"/>
      <c r="E3073" s="1"/>
      <c r="F3073" s="1"/>
      <c r="G3073" s="1"/>
      <c r="H3073" s="1"/>
      <c r="I3073" s="1"/>
      <c r="J3073" s="1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</row>
    <row r="3074" spans="2:73" s="38" customFormat="1">
      <c r="B3074" s="1"/>
      <c r="C3074" s="1"/>
      <c r="D3074" s="1"/>
      <c r="E3074" s="1"/>
      <c r="F3074" s="1"/>
      <c r="G3074" s="1"/>
      <c r="H3074" s="1"/>
      <c r="I3074" s="1"/>
      <c r="J3074" s="1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</row>
    <row r="3075" spans="2:73" s="38" customFormat="1">
      <c r="B3075" s="1"/>
      <c r="C3075" s="1"/>
      <c r="D3075" s="1"/>
      <c r="E3075" s="1"/>
      <c r="F3075" s="1"/>
      <c r="G3075" s="1"/>
      <c r="H3075" s="1"/>
      <c r="I3075" s="1"/>
      <c r="J3075" s="1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</row>
    <row r="3076" spans="2:73" s="38" customFormat="1">
      <c r="B3076" s="1"/>
      <c r="C3076" s="1"/>
      <c r="D3076" s="1"/>
      <c r="E3076" s="1"/>
      <c r="F3076" s="1"/>
      <c r="G3076" s="1"/>
      <c r="H3076" s="1"/>
      <c r="I3076" s="1"/>
      <c r="J3076" s="1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</row>
    <row r="3077" spans="2:73" s="38" customFormat="1">
      <c r="B3077" s="1"/>
      <c r="C3077" s="1"/>
      <c r="D3077" s="1"/>
      <c r="E3077" s="1"/>
      <c r="F3077" s="1"/>
      <c r="G3077" s="1"/>
      <c r="H3077" s="1"/>
      <c r="I3077" s="1"/>
      <c r="J3077" s="1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</row>
    <row r="3078" spans="2:73" s="38" customFormat="1">
      <c r="B3078" s="1"/>
      <c r="C3078" s="1"/>
      <c r="D3078" s="1"/>
      <c r="E3078" s="1"/>
      <c r="F3078" s="1"/>
      <c r="G3078" s="1"/>
      <c r="H3078" s="1"/>
      <c r="I3078" s="1"/>
      <c r="J3078" s="1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</row>
    <row r="3079" spans="2:73" s="38" customFormat="1">
      <c r="B3079" s="1"/>
      <c r="C3079" s="1"/>
      <c r="D3079" s="1"/>
      <c r="E3079" s="1"/>
      <c r="F3079" s="1"/>
      <c r="G3079" s="1"/>
      <c r="H3079" s="1"/>
      <c r="I3079" s="1"/>
      <c r="J3079" s="1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</row>
    <row r="3080" spans="2:73" s="38" customFormat="1">
      <c r="B3080" s="1"/>
      <c r="C3080" s="1"/>
      <c r="D3080" s="1"/>
      <c r="E3080" s="1"/>
      <c r="F3080" s="1"/>
      <c r="G3080" s="1"/>
      <c r="H3080" s="1"/>
      <c r="I3080" s="1"/>
      <c r="J3080" s="1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</row>
    <row r="3081" spans="2:73" s="38" customFormat="1">
      <c r="B3081" s="1"/>
      <c r="C3081" s="1"/>
      <c r="D3081" s="1"/>
      <c r="E3081" s="1"/>
      <c r="F3081" s="1"/>
      <c r="G3081" s="1"/>
      <c r="H3081" s="1"/>
      <c r="I3081" s="1"/>
      <c r="J3081" s="1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</row>
    <row r="3082" spans="2:73" s="38" customFormat="1">
      <c r="B3082" s="1"/>
      <c r="C3082" s="1"/>
      <c r="D3082" s="1"/>
      <c r="E3082" s="1"/>
      <c r="F3082" s="1"/>
      <c r="G3082" s="1"/>
      <c r="H3082" s="1"/>
      <c r="I3082" s="1"/>
      <c r="J3082" s="1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</row>
    <row r="3083" spans="2:73" s="38" customFormat="1">
      <c r="B3083" s="1"/>
      <c r="C3083" s="1"/>
      <c r="D3083" s="1"/>
      <c r="E3083" s="1"/>
      <c r="F3083" s="1"/>
      <c r="G3083" s="1"/>
      <c r="H3083" s="1"/>
      <c r="I3083" s="1"/>
      <c r="J3083" s="1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</row>
    <row r="3084" spans="2:73" s="38" customFormat="1">
      <c r="B3084" s="1"/>
      <c r="C3084" s="1"/>
      <c r="D3084" s="1"/>
      <c r="E3084" s="1"/>
      <c r="F3084" s="1"/>
      <c r="G3084" s="1"/>
      <c r="H3084" s="1"/>
      <c r="I3084" s="1"/>
      <c r="J3084" s="1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</row>
    <row r="3085" spans="2:73" s="38" customFormat="1">
      <c r="B3085" s="1"/>
      <c r="C3085" s="1"/>
      <c r="D3085" s="1"/>
      <c r="E3085" s="1"/>
      <c r="F3085" s="1"/>
      <c r="G3085" s="1"/>
      <c r="H3085" s="1"/>
      <c r="I3085" s="1"/>
      <c r="J3085" s="1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</row>
    <row r="3086" spans="2:73" s="38" customFormat="1">
      <c r="B3086" s="1"/>
      <c r="C3086" s="1"/>
      <c r="D3086" s="1"/>
      <c r="E3086" s="1"/>
      <c r="F3086" s="1"/>
      <c r="G3086" s="1"/>
      <c r="H3086" s="1"/>
      <c r="I3086" s="1"/>
      <c r="J3086" s="1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</row>
    <row r="3087" spans="2:73" s="38" customFormat="1">
      <c r="B3087" s="1"/>
      <c r="C3087" s="1"/>
      <c r="D3087" s="1"/>
      <c r="E3087" s="1"/>
      <c r="F3087" s="1"/>
      <c r="G3087" s="1"/>
      <c r="H3087" s="1"/>
      <c r="I3087" s="1"/>
      <c r="J3087" s="1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</row>
    <row r="3088" spans="2:73" s="38" customFormat="1">
      <c r="B3088" s="1"/>
      <c r="C3088" s="1"/>
      <c r="D3088" s="1"/>
      <c r="E3088" s="1"/>
      <c r="F3088" s="1"/>
      <c r="G3088" s="1"/>
      <c r="H3088" s="1"/>
      <c r="I3088" s="1"/>
      <c r="J3088" s="1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</row>
    <row r="3089" spans="2:73" s="38" customFormat="1">
      <c r="B3089" s="1"/>
      <c r="C3089" s="1"/>
      <c r="D3089" s="1"/>
      <c r="E3089" s="1"/>
      <c r="F3089" s="1"/>
      <c r="G3089" s="1"/>
      <c r="H3089" s="1"/>
      <c r="I3089" s="1"/>
      <c r="J3089" s="1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</row>
    <row r="3090" spans="2:73" s="38" customFormat="1">
      <c r="B3090" s="1"/>
      <c r="C3090" s="1"/>
      <c r="D3090" s="1"/>
      <c r="E3090" s="1"/>
      <c r="F3090" s="1"/>
      <c r="G3090" s="1"/>
      <c r="H3090" s="1"/>
      <c r="I3090" s="1"/>
      <c r="J3090" s="1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</row>
    <row r="3091" spans="2:73" s="38" customFormat="1">
      <c r="B3091" s="1"/>
      <c r="C3091" s="1"/>
      <c r="D3091" s="1"/>
      <c r="E3091" s="1"/>
      <c r="F3091" s="1"/>
      <c r="G3091" s="1"/>
      <c r="H3091" s="1"/>
      <c r="I3091" s="1"/>
      <c r="J3091" s="1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</row>
    <row r="3092" spans="2:73" s="38" customFormat="1">
      <c r="B3092" s="1"/>
      <c r="C3092" s="1"/>
      <c r="D3092" s="1"/>
      <c r="E3092" s="1"/>
      <c r="F3092" s="1"/>
      <c r="G3092" s="1"/>
      <c r="H3092" s="1"/>
      <c r="I3092" s="1"/>
      <c r="J3092" s="1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</row>
    <row r="3093" spans="2:73" s="38" customFormat="1">
      <c r="B3093" s="1"/>
      <c r="C3093" s="1"/>
      <c r="D3093" s="1"/>
      <c r="E3093" s="1"/>
      <c r="F3093" s="1"/>
      <c r="G3093" s="1"/>
      <c r="H3093" s="1"/>
      <c r="I3093" s="1"/>
      <c r="J3093" s="1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</row>
    <row r="3094" spans="2:73" s="38" customFormat="1">
      <c r="B3094" s="1"/>
      <c r="C3094" s="1"/>
      <c r="D3094" s="1"/>
      <c r="E3094" s="1"/>
      <c r="F3094" s="1"/>
      <c r="G3094" s="1"/>
      <c r="H3094" s="1"/>
      <c r="I3094" s="1"/>
      <c r="J3094" s="1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</row>
    <row r="3095" spans="2:73" s="38" customFormat="1">
      <c r="B3095" s="1"/>
      <c r="C3095" s="1"/>
      <c r="D3095" s="1"/>
      <c r="E3095" s="1"/>
      <c r="F3095" s="1"/>
      <c r="G3095" s="1"/>
      <c r="H3095" s="1"/>
      <c r="I3095" s="1"/>
      <c r="J3095" s="1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</row>
    <row r="3096" spans="2:73" s="38" customFormat="1">
      <c r="B3096" s="1"/>
      <c r="C3096" s="1"/>
      <c r="D3096" s="1"/>
      <c r="E3096" s="1"/>
      <c r="F3096" s="1"/>
      <c r="G3096" s="1"/>
      <c r="H3096" s="1"/>
      <c r="I3096" s="1"/>
      <c r="J3096" s="1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</row>
    <row r="3097" spans="2:73" s="38" customFormat="1">
      <c r="B3097" s="1"/>
      <c r="C3097" s="1"/>
      <c r="D3097" s="1"/>
      <c r="E3097" s="1"/>
      <c r="F3097" s="1"/>
      <c r="G3097" s="1"/>
      <c r="H3097" s="1"/>
      <c r="I3097" s="1"/>
      <c r="J3097" s="1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</row>
    <row r="3098" spans="2:73" s="38" customFormat="1">
      <c r="B3098" s="1"/>
      <c r="C3098" s="1"/>
      <c r="D3098" s="1"/>
      <c r="E3098" s="1"/>
      <c r="F3098" s="1"/>
      <c r="G3098" s="1"/>
      <c r="H3098" s="1"/>
      <c r="I3098" s="1"/>
      <c r="J3098" s="1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</row>
    <row r="3099" spans="2:73" s="38" customFormat="1">
      <c r="B3099" s="1"/>
      <c r="C3099" s="1"/>
      <c r="D3099" s="1"/>
      <c r="E3099" s="1"/>
      <c r="F3099" s="1"/>
      <c r="G3099" s="1"/>
      <c r="H3099" s="1"/>
      <c r="I3099" s="1"/>
      <c r="J3099" s="1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</row>
    <row r="3100" spans="2:73" s="38" customFormat="1">
      <c r="B3100" s="1"/>
      <c r="C3100" s="1"/>
      <c r="D3100" s="1"/>
      <c r="E3100" s="1"/>
      <c r="F3100" s="1"/>
      <c r="G3100" s="1"/>
      <c r="H3100" s="1"/>
      <c r="I3100" s="1"/>
      <c r="J3100" s="1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</row>
    <row r="3101" spans="2:73" s="38" customFormat="1">
      <c r="B3101" s="1"/>
      <c r="C3101" s="1"/>
      <c r="D3101" s="1"/>
      <c r="E3101" s="1"/>
      <c r="F3101" s="1"/>
      <c r="G3101" s="1"/>
      <c r="H3101" s="1"/>
      <c r="I3101" s="1"/>
      <c r="J3101" s="1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</row>
    <row r="3102" spans="2:73" s="38" customFormat="1">
      <c r="B3102" s="1"/>
      <c r="C3102" s="1"/>
      <c r="D3102" s="1"/>
      <c r="E3102" s="1"/>
      <c r="F3102" s="1"/>
      <c r="G3102" s="1"/>
      <c r="H3102" s="1"/>
      <c r="I3102" s="1"/>
      <c r="J3102" s="1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</row>
    <row r="3103" spans="2:73" s="38" customFormat="1">
      <c r="B3103" s="1"/>
      <c r="C3103" s="1"/>
      <c r="D3103" s="1"/>
      <c r="E3103" s="1"/>
      <c r="F3103" s="1"/>
      <c r="G3103" s="1"/>
      <c r="H3103" s="1"/>
      <c r="I3103" s="1"/>
      <c r="J3103" s="1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</row>
    <row r="3104" spans="2:73" s="38" customFormat="1">
      <c r="B3104" s="1"/>
      <c r="C3104" s="1"/>
      <c r="D3104" s="1"/>
      <c r="E3104" s="1"/>
      <c r="F3104" s="1"/>
      <c r="G3104" s="1"/>
      <c r="H3104" s="1"/>
      <c r="I3104" s="1"/>
      <c r="J3104" s="1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</row>
    <row r="3105" spans="2:73" s="38" customFormat="1">
      <c r="B3105" s="1"/>
      <c r="C3105" s="1"/>
      <c r="D3105" s="1"/>
      <c r="E3105" s="1"/>
      <c r="F3105" s="1"/>
      <c r="G3105" s="1"/>
      <c r="H3105" s="1"/>
      <c r="I3105" s="1"/>
      <c r="J3105" s="1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</row>
    <row r="3106" spans="2:73" s="38" customFormat="1">
      <c r="B3106" s="1"/>
      <c r="C3106" s="1"/>
      <c r="D3106" s="1"/>
      <c r="E3106" s="1"/>
      <c r="F3106" s="1"/>
      <c r="G3106" s="1"/>
      <c r="H3106" s="1"/>
      <c r="I3106" s="1"/>
      <c r="J3106" s="1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</row>
    <row r="3107" spans="2:73" s="38" customFormat="1">
      <c r="B3107" s="1"/>
      <c r="C3107" s="1"/>
      <c r="D3107" s="1"/>
      <c r="E3107" s="1"/>
      <c r="F3107" s="1"/>
      <c r="G3107" s="1"/>
      <c r="H3107" s="1"/>
      <c r="I3107" s="1"/>
      <c r="J3107" s="1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</row>
    <row r="3108" spans="2:73" s="38" customFormat="1">
      <c r="B3108" s="1"/>
      <c r="C3108" s="1"/>
      <c r="D3108" s="1"/>
      <c r="E3108" s="1"/>
      <c r="F3108" s="1"/>
      <c r="G3108" s="1"/>
      <c r="H3108" s="1"/>
      <c r="I3108" s="1"/>
      <c r="J3108" s="1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</row>
    <row r="3109" spans="2:73" s="38" customFormat="1">
      <c r="B3109" s="1"/>
      <c r="C3109" s="1"/>
      <c r="D3109" s="1"/>
      <c r="E3109" s="1"/>
      <c r="F3109" s="1"/>
      <c r="G3109" s="1"/>
      <c r="H3109" s="1"/>
      <c r="I3109" s="1"/>
      <c r="J3109" s="1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</row>
    <row r="3110" spans="2:73" s="38" customFormat="1">
      <c r="B3110" s="1"/>
      <c r="C3110" s="1"/>
      <c r="D3110" s="1"/>
      <c r="E3110" s="1"/>
      <c r="F3110" s="1"/>
      <c r="G3110" s="1"/>
      <c r="H3110" s="1"/>
      <c r="I3110" s="1"/>
      <c r="J3110" s="1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</row>
    <row r="3111" spans="2:73" s="38" customFormat="1">
      <c r="B3111" s="1"/>
      <c r="C3111" s="1"/>
      <c r="D3111" s="1"/>
      <c r="E3111" s="1"/>
      <c r="F3111" s="1"/>
      <c r="G3111" s="1"/>
      <c r="H3111" s="1"/>
      <c r="I3111" s="1"/>
      <c r="J3111" s="1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</row>
    <row r="3112" spans="2:73" s="38" customFormat="1">
      <c r="B3112" s="1"/>
      <c r="C3112" s="1"/>
      <c r="D3112" s="1"/>
      <c r="E3112" s="1"/>
      <c r="F3112" s="1"/>
      <c r="G3112" s="1"/>
      <c r="H3112" s="1"/>
      <c r="I3112" s="1"/>
      <c r="J3112" s="1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</row>
    <row r="3113" spans="2:73" s="38" customFormat="1">
      <c r="B3113" s="1"/>
      <c r="C3113" s="1"/>
      <c r="D3113" s="1"/>
      <c r="E3113" s="1"/>
      <c r="F3113" s="1"/>
      <c r="G3113" s="1"/>
      <c r="H3113" s="1"/>
      <c r="I3113" s="1"/>
      <c r="J3113" s="1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</row>
    <row r="3114" spans="2:73" s="38" customFormat="1">
      <c r="B3114" s="1"/>
      <c r="C3114" s="1"/>
      <c r="D3114" s="1"/>
      <c r="E3114" s="1"/>
      <c r="F3114" s="1"/>
      <c r="G3114" s="1"/>
      <c r="H3114" s="1"/>
      <c r="I3114" s="1"/>
      <c r="J3114" s="1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</row>
    <row r="3115" spans="2:73" s="38" customFormat="1">
      <c r="B3115" s="1"/>
      <c r="C3115" s="1"/>
      <c r="D3115" s="1"/>
      <c r="E3115" s="1"/>
      <c r="F3115" s="1"/>
      <c r="G3115" s="1"/>
      <c r="H3115" s="1"/>
      <c r="I3115" s="1"/>
      <c r="J3115" s="1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</row>
    <row r="3116" spans="2:73" s="38" customFormat="1">
      <c r="B3116" s="1"/>
      <c r="C3116" s="1"/>
      <c r="D3116" s="1"/>
      <c r="E3116" s="1"/>
      <c r="F3116" s="1"/>
      <c r="G3116" s="1"/>
      <c r="H3116" s="1"/>
      <c r="I3116" s="1"/>
      <c r="J3116" s="1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</row>
    <row r="3117" spans="2:73" s="38" customFormat="1">
      <c r="B3117" s="1"/>
      <c r="C3117" s="1"/>
      <c r="D3117" s="1"/>
      <c r="E3117" s="1"/>
      <c r="F3117" s="1"/>
      <c r="G3117" s="1"/>
      <c r="H3117" s="1"/>
      <c r="I3117" s="1"/>
      <c r="J3117" s="1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</row>
    <row r="3118" spans="2:73" s="38" customFormat="1">
      <c r="B3118" s="1"/>
      <c r="C3118" s="1"/>
      <c r="D3118" s="1"/>
      <c r="E3118" s="1"/>
      <c r="F3118" s="1"/>
      <c r="G3118" s="1"/>
      <c r="H3118" s="1"/>
      <c r="I3118" s="1"/>
      <c r="J3118" s="1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</row>
    <row r="3119" spans="2:73" s="38" customFormat="1">
      <c r="B3119" s="1"/>
      <c r="C3119" s="1"/>
      <c r="D3119" s="1"/>
      <c r="E3119" s="1"/>
      <c r="F3119" s="1"/>
      <c r="G3119" s="1"/>
      <c r="H3119" s="1"/>
      <c r="I3119" s="1"/>
      <c r="J3119" s="1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</row>
    <row r="3120" spans="2:73" s="38" customFormat="1">
      <c r="B3120" s="1"/>
      <c r="C3120" s="1"/>
      <c r="D3120" s="1"/>
      <c r="E3120" s="1"/>
      <c r="F3120" s="1"/>
      <c r="G3120" s="1"/>
      <c r="H3120" s="1"/>
      <c r="I3120" s="1"/>
      <c r="J3120" s="1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</row>
    <row r="3121" spans="2:73" s="38" customFormat="1">
      <c r="B3121" s="1"/>
      <c r="C3121" s="1"/>
      <c r="D3121" s="1"/>
      <c r="E3121" s="1"/>
      <c r="F3121" s="1"/>
      <c r="G3121" s="1"/>
      <c r="H3121" s="1"/>
      <c r="I3121" s="1"/>
      <c r="J3121" s="1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</row>
    <row r="3122" spans="2:73" s="38" customFormat="1">
      <c r="B3122" s="1"/>
      <c r="C3122" s="1"/>
      <c r="D3122" s="1"/>
      <c r="E3122" s="1"/>
      <c r="F3122" s="1"/>
      <c r="G3122" s="1"/>
      <c r="H3122" s="1"/>
      <c r="I3122" s="1"/>
      <c r="J3122" s="1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</row>
    <row r="3123" spans="2:73" s="38" customFormat="1">
      <c r="B3123" s="1"/>
      <c r="C3123" s="1"/>
      <c r="D3123" s="1"/>
      <c r="E3123" s="1"/>
      <c r="F3123" s="1"/>
      <c r="G3123" s="1"/>
      <c r="H3123" s="1"/>
      <c r="I3123" s="1"/>
      <c r="J3123" s="1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</row>
    <row r="3124" spans="2:73" s="38" customFormat="1">
      <c r="B3124" s="1"/>
      <c r="C3124" s="1"/>
      <c r="D3124" s="1"/>
      <c r="E3124" s="1"/>
      <c r="F3124" s="1"/>
      <c r="G3124" s="1"/>
      <c r="H3124" s="1"/>
      <c r="I3124" s="1"/>
      <c r="J3124" s="1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</row>
    <row r="3125" spans="2:73" s="38" customFormat="1">
      <c r="B3125" s="1"/>
      <c r="C3125" s="1"/>
      <c r="D3125" s="1"/>
      <c r="E3125" s="1"/>
      <c r="F3125" s="1"/>
      <c r="G3125" s="1"/>
      <c r="H3125" s="1"/>
      <c r="I3125" s="1"/>
      <c r="J3125" s="1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</row>
    <row r="3126" spans="2:73" s="38" customFormat="1">
      <c r="B3126" s="1"/>
      <c r="C3126" s="1"/>
      <c r="D3126" s="1"/>
      <c r="E3126" s="1"/>
      <c r="F3126" s="1"/>
      <c r="G3126" s="1"/>
      <c r="H3126" s="1"/>
      <c r="I3126" s="1"/>
      <c r="J3126" s="1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</row>
    <row r="3127" spans="2:73" s="38" customFormat="1">
      <c r="B3127" s="1"/>
      <c r="C3127" s="1"/>
      <c r="D3127" s="1"/>
      <c r="E3127" s="1"/>
      <c r="F3127" s="1"/>
      <c r="G3127" s="1"/>
      <c r="H3127" s="1"/>
      <c r="I3127" s="1"/>
      <c r="J3127" s="1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</row>
    <row r="3128" spans="2:73" s="38" customFormat="1">
      <c r="B3128" s="1"/>
      <c r="C3128" s="1"/>
      <c r="D3128" s="1"/>
      <c r="E3128" s="1"/>
      <c r="F3128" s="1"/>
      <c r="G3128" s="1"/>
      <c r="H3128" s="1"/>
      <c r="I3128" s="1"/>
      <c r="J3128" s="1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</row>
    <row r="3129" spans="2:73" s="38" customFormat="1">
      <c r="B3129" s="1"/>
      <c r="C3129" s="1"/>
      <c r="D3129" s="1"/>
      <c r="E3129" s="1"/>
      <c r="F3129" s="1"/>
      <c r="G3129" s="1"/>
      <c r="H3129" s="1"/>
      <c r="I3129" s="1"/>
      <c r="J3129" s="1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</row>
    <row r="3130" spans="2:73" s="38" customFormat="1">
      <c r="B3130" s="1"/>
      <c r="C3130" s="1"/>
      <c r="D3130" s="1"/>
      <c r="E3130" s="1"/>
      <c r="F3130" s="1"/>
      <c r="G3130" s="1"/>
      <c r="H3130" s="1"/>
      <c r="I3130" s="1"/>
      <c r="J3130" s="1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</row>
    <row r="3131" spans="2:73" s="38" customFormat="1">
      <c r="B3131" s="1"/>
      <c r="C3131" s="1"/>
      <c r="D3131" s="1"/>
      <c r="E3131" s="1"/>
      <c r="F3131" s="1"/>
      <c r="G3131" s="1"/>
      <c r="H3131" s="1"/>
      <c r="I3131" s="1"/>
      <c r="J3131" s="1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</row>
    <row r="3132" spans="2:73" s="38" customFormat="1">
      <c r="B3132" s="1"/>
      <c r="C3132" s="1"/>
      <c r="D3132" s="1"/>
      <c r="E3132" s="1"/>
      <c r="F3132" s="1"/>
      <c r="G3132" s="1"/>
      <c r="H3132" s="1"/>
      <c r="I3132" s="1"/>
      <c r="J3132" s="1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</row>
    <row r="3133" spans="2:73" s="38" customFormat="1">
      <c r="B3133" s="1"/>
      <c r="C3133" s="1"/>
      <c r="D3133" s="1"/>
      <c r="E3133" s="1"/>
      <c r="F3133" s="1"/>
      <c r="G3133" s="1"/>
      <c r="H3133" s="1"/>
      <c r="I3133" s="1"/>
      <c r="J3133" s="1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</row>
    <row r="3134" spans="2:73" s="38" customFormat="1">
      <c r="B3134" s="1"/>
      <c r="C3134" s="1"/>
      <c r="D3134" s="1"/>
      <c r="E3134" s="1"/>
      <c r="F3134" s="1"/>
      <c r="G3134" s="1"/>
      <c r="H3134" s="1"/>
      <c r="I3134" s="1"/>
      <c r="J3134" s="1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</row>
    <row r="3135" spans="2:73" s="38" customFormat="1">
      <c r="B3135" s="1"/>
      <c r="C3135" s="1"/>
      <c r="D3135" s="1"/>
      <c r="E3135" s="1"/>
      <c r="F3135" s="1"/>
      <c r="G3135" s="1"/>
      <c r="H3135" s="1"/>
      <c r="I3135" s="1"/>
      <c r="J3135" s="1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</row>
    <row r="3136" spans="2:73" s="38" customFormat="1">
      <c r="B3136" s="1"/>
      <c r="C3136" s="1"/>
      <c r="D3136" s="1"/>
      <c r="E3136" s="1"/>
      <c r="F3136" s="1"/>
      <c r="G3136" s="1"/>
      <c r="H3136" s="1"/>
      <c r="I3136" s="1"/>
      <c r="J3136" s="1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</row>
    <row r="3137" spans="2:73" s="38" customFormat="1">
      <c r="B3137" s="1"/>
      <c r="C3137" s="1"/>
      <c r="D3137" s="1"/>
      <c r="E3137" s="1"/>
      <c r="F3137" s="1"/>
      <c r="G3137" s="1"/>
      <c r="H3137" s="1"/>
      <c r="I3137" s="1"/>
      <c r="J3137" s="1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</row>
    <row r="3138" spans="2:73" s="38" customFormat="1">
      <c r="B3138" s="1"/>
      <c r="C3138" s="1"/>
      <c r="D3138" s="1"/>
      <c r="E3138" s="1"/>
      <c r="F3138" s="1"/>
      <c r="G3138" s="1"/>
      <c r="H3138" s="1"/>
      <c r="I3138" s="1"/>
      <c r="J3138" s="1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</row>
    <row r="3139" spans="2:73" s="38" customFormat="1">
      <c r="B3139" s="1"/>
      <c r="C3139" s="1"/>
      <c r="D3139" s="1"/>
      <c r="E3139" s="1"/>
      <c r="F3139" s="1"/>
      <c r="G3139" s="1"/>
      <c r="H3139" s="1"/>
      <c r="I3139" s="1"/>
      <c r="J3139" s="1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</row>
    <row r="3140" spans="2:73" s="38" customFormat="1">
      <c r="B3140" s="1"/>
      <c r="C3140" s="1"/>
      <c r="D3140" s="1"/>
      <c r="E3140" s="1"/>
      <c r="F3140" s="1"/>
      <c r="G3140" s="1"/>
      <c r="H3140" s="1"/>
      <c r="I3140" s="1"/>
      <c r="J3140" s="1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</row>
    <row r="3141" spans="2:73" s="38" customFormat="1">
      <c r="B3141" s="1"/>
      <c r="C3141" s="1"/>
      <c r="D3141" s="1"/>
      <c r="E3141" s="1"/>
      <c r="F3141" s="1"/>
      <c r="G3141" s="1"/>
      <c r="H3141" s="1"/>
      <c r="I3141" s="1"/>
      <c r="J3141" s="1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</row>
    <row r="3142" spans="2:73" s="38" customFormat="1">
      <c r="B3142" s="1"/>
      <c r="C3142" s="1"/>
      <c r="D3142" s="1"/>
      <c r="E3142" s="1"/>
      <c r="F3142" s="1"/>
      <c r="G3142" s="1"/>
      <c r="H3142" s="1"/>
      <c r="I3142" s="1"/>
      <c r="J3142" s="1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</row>
    <row r="3143" spans="2:73" s="38" customFormat="1">
      <c r="B3143" s="1"/>
      <c r="C3143" s="1"/>
      <c r="D3143" s="1"/>
      <c r="E3143" s="1"/>
      <c r="F3143" s="1"/>
      <c r="G3143" s="1"/>
      <c r="H3143" s="1"/>
      <c r="I3143" s="1"/>
      <c r="J3143" s="1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</row>
    <row r="3144" spans="2:73" s="38" customFormat="1">
      <c r="B3144" s="1"/>
      <c r="C3144" s="1"/>
      <c r="D3144" s="1"/>
      <c r="E3144" s="1"/>
      <c r="F3144" s="1"/>
      <c r="G3144" s="1"/>
      <c r="H3144" s="1"/>
      <c r="I3144" s="1"/>
      <c r="J3144" s="1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</row>
    <row r="3145" spans="2:73" s="38" customFormat="1">
      <c r="B3145" s="1"/>
      <c r="C3145" s="1"/>
      <c r="D3145" s="1"/>
      <c r="E3145" s="1"/>
      <c r="F3145" s="1"/>
      <c r="G3145" s="1"/>
      <c r="H3145" s="1"/>
      <c r="I3145" s="1"/>
      <c r="J3145" s="1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</row>
    <row r="3146" spans="2:73" s="38" customFormat="1">
      <c r="B3146" s="1"/>
      <c r="C3146" s="1"/>
      <c r="D3146" s="1"/>
      <c r="E3146" s="1"/>
      <c r="F3146" s="1"/>
      <c r="G3146" s="1"/>
      <c r="H3146" s="1"/>
      <c r="I3146" s="1"/>
      <c r="J3146" s="1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</row>
    <row r="3147" spans="2:73" s="38" customFormat="1">
      <c r="B3147" s="1"/>
      <c r="C3147" s="1"/>
      <c r="D3147" s="1"/>
      <c r="E3147" s="1"/>
      <c r="F3147" s="1"/>
      <c r="G3147" s="1"/>
      <c r="H3147" s="1"/>
      <c r="I3147" s="1"/>
      <c r="J3147" s="1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</row>
    <row r="3148" spans="2:73" s="38" customFormat="1">
      <c r="B3148" s="1"/>
      <c r="C3148" s="1"/>
      <c r="D3148" s="1"/>
      <c r="E3148" s="1"/>
      <c r="F3148" s="1"/>
      <c r="G3148" s="1"/>
      <c r="H3148" s="1"/>
      <c r="I3148" s="1"/>
      <c r="J3148" s="1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</row>
    <row r="3149" spans="2:73" s="38" customFormat="1">
      <c r="B3149" s="1"/>
      <c r="C3149" s="1"/>
      <c r="D3149" s="1"/>
      <c r="E3149" s="1"/>
      <c r="F3149" s="1"/>
      <c r="G3149" s="1"/>
      <c r="H3149" s="1"/>
      <c r="I3149" s="1"/>
      <c r="J3149" s="1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</row>
    <row r="3150" spans="2:73" s="38" customFormat="1">
      <c r="B3150" s="1"/>
      <c r="C3150" s="1"/>
      <c r="D3150" s="1"/>
      <c r="E3150" s="1"/>
      <c r="F3150" s="1"/>
      <c r="G3150" s="1"/>
      <c r="H3150" s="1"/>
      <c r="I3150" s="1"/>
      <c r="J3150" s="1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</row>
    <row r="3151" spans="2:73" s="38" customFormat="1">
      <c r="B3151" s="1"/>
      <c r="C3151" s="1"/>
      <c r="D3151" s="1"/>
      <c r="E3151" s="1"/>
      <c r="F3151" s="1"/>
      <c r="G3151" s="1"/>
      <c r="H3151" s="1"/>
      <c r="I3151" s="1"/>
      <c r="J3151" s="1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</row>
    <row r="3152" spans="2:73" s="38" customFormat="1">
      <c r="B3152" s="1"/>
      <c r="C3152" s="1"/>
      <c r="D3152" s="1"/>
      <c r="E3152" s="1"/>
      <c r="F3152" s="1"/>
      <c r="G3152" s="1"/>
      <c r="H3152" s="1"/>
      <c r="I3152" s="1"/>
      <c r="J3152" s="1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</row>
    <row r="3153" spans="2:73" s="38" customFormat="1">
      <c r="B3153" s="1"/>
      <c r="C3153" s="1"/>
      <c r="D3153" s="1"/>
      <c r="E3153" s="1"/>
      <c r="F3153" s="1"/>
      <c r="G3153" s="1"/>
      <c r="H3153" s="1"/>
      <c r="I3153" s="1"/>
      <c r="J3153" s="1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</row>
    <row r="3154" spans="2:73" s="38" customFormat="1">
      <c r="B3154" s="1"/>
      <c r="C3154" s="1"/>
      <c r="D3154" s="1"/>
      <c r="E3154" s="1"/>
      <c r="F3154" s="1"/>
      <c r="G3154" s="1"/>
      <c r="H3154" s="1"/>
      <c r="I3154" s="1"/>
      <c r="J3154" s="1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</row>
    <row r="3155" spans="2:73" s="38" customFormat="1">
      <c r="B3155" s="1"/>
      <c r="C3155" s="1"/>
      <c r="D3155" s="1"/>
      <c r="E3155" s="1"/>
      <c r="F3155" s="1"/>
      <c r="G3155" s="1"/>
      <c r="H3155" s="1"/>
      <c r="I3155" s="1"/>
      <c r="J3155" s="1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</row>
    <row r="3156" spans="2:73" s="38" customFormat="1">
      <c r="B3156" s="1"/>
      <c r="C3156" s="1"/>
      <c r="D3156" s="1"/>
      <c r="E3156" s="1"/>
      <c r="F3156" s="1"/>
      <c r="G3156" s="1"/>
      <c r="H3156" s="1"/>
      <c r="I3156" s="1"/>
      <c r="J3156" s="1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</row>
    <row r="3157" spans="2:73" s="38" customFormat="1">
      <c r="B3157" s="1"/>
      <c r="C3157" s="1"/>
      <c r="D3157" s="1"/>
      <c r="E3157" s="1"/>
      <c r="F3157" s="1"/>
      <c r="G3157" s="1"/>
      <c r="H3157" s="1"/>
      <c r="I3157" s="1"/>
      <c r="J3157" s="1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</row>
    <row r="3158" spans="2:73" s="38" customFormat="1">
      <c r="B3158" s="1"/>
      <c r="C3158" s="1"/>
      <c r="D3158" s="1"/>
      <c r="E3158" s="1"/>
      <c r="F3158" s="1"/>
      <c r="G3158" s="1"/>
      <c r="H3158" s="1"/>
      <c r="I3158" s="1"/>
      <c r="J3158" s="1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</row>
    <row r="3159" spans="2:73" s="38" customFormat="1">
      <c r="B3159" s="1"/>
      <c r="C3159" s="1"/>
      <c r="D3159" s="1"/>
      <c r="E3159" s="1"/>
      <c r="F3159" s="1"/>
      <c r="G3159" s="1"/>
      <c r="H3159" s="1"/>
      <c r="I3159" s="1"/>
      <c r="J3159" s="1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</row>
    <row r="3160" spans="2:73" s="38" customFormat="1">
      <c r="B3160" s="1"/>
      <c r="C3160" s="1"/>
      <c r="D3160" s="1"/>
      <c r="E3160" s="1"/>
      <c r="F3160" s="1"/>
      <c r="G3160" s="1"/>
      <c r="H3160" s="1"/>
      <c r="I3160" s="1"/>
      <c r="J3160" s="1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</row>
    <row r="3161" spans="2:73" s="38" customFormat="1">
      <c r="B3161" s="1"/>
      <c r="C3161" s="1"/>
      <c r="D3161" s="1"/>
      <c r="E3161" s="1"/>
      <c r="F3161" s="1"/>
      <c r="G3161" s="1"/>
      <c r="H3161" s="1"/>
      <c r="I3161" s="1"/>
      <c r="J3161" s="1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</row>
    <row r="3162" spans="2:73" s="38" customFormat="1">
      <c r="B3162" s="1"/>
      <c r="C3162" s="1"/>
      <c r="D3162" s="1"/>
      <c r="E3162" s="1"/>
      <c r="F3162" s="1"/>
      <c r="G3162" s="1"/>
      <c r="H3162" s="1"/>
      <c r="I3162" s="1"/>
      <c r="J3162" s="1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</row>
    <row r="3163" spans="2:73" s="38" customFormat="1">
      <c r="B3163" s="1"/>
      <c r="C3163" s="1"/>
      <c r="D3163" s="1"/>
      <c r="E3163" s="1"/>
      <c r="F3163" s="1"/>
      <c r="G3163" s="1"/>
      <c r="H3163" s="1"/>
      <c r="I3163" s="1"/>
      <c r="J3163" s="1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</row>
    <row r="3164" spans="2:73" s="38" customFormat="1">
      <c r="B3164" s="1"/>
      <c r="C3164" s="1"/>
      <c r="D3164" s="1"/>
      <c r="E3164" s="1"/>
      <c r="F3164" s="1"/>
      <c r="G3164" s="1"/>
      <c r="H3164" s="1"/>
      <c r="I3164" s="1"/>
      <c r="J3164" s="1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</row>
    <row r="3165" spans="2:73" s="38" customFormat="1">
      <c r="B3165" s="1"/>
      <c r="C3165" s="1"/>
      <c r="D3165" s="1"/>
      <c r="E3165" s="1"/>
      <c r="F3165" s="1"/>
      <c r="G3165" s="1"/>
      <c r="H3165" s="1"/>
      <c r="I3165" s="1"/>
      <c r="J3165" s="1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</row>
    <row r="3166" spans="2:73" s="38" customFormat="1">
      <c r="B3166" s="1"/>
      <c r="C3166" s="1"/>
      <c r="D3166" s="1"/>
      <c r="E3166" s="1"/>
      <c r="F3166" s="1"/>
      <c r="G3166" s="1"/>
      <c r="H3166" s="1"/>
      <c r="I3166" s="1"/>
      <c r="J3166" s="1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</row>
    <row r="3167" spans="2:73" s="38" customFormat="1">
      <c r="B3167" s="1"/>
      <c r="C3167" s="1"/>
      <c r="D3167" s="1"/>
      <c r="E3167" s="1"/>
      <c r="F3167" s="1"/>
      <c r="G3167" s="1"/>
      <c r="H3167" s="1"/>
      <c r="I3167" s="1"/>
      <c r="J3167" s="1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</row>
    <row r="3168" spans="2:73" s="38" customFormat="1">
      <c r="B3168" s="1"/>
      <c r="C3168" s="1"/>
      <c r="D3168" s="1"/>
      <c r="E3168" s="1"/>
      <c r="F3168" s="1"/>
      <c r="G3168" s="1"/>
      <c r="H3168" s="1"/>
      <c r="I3168" s="1"/>
      <c r="J3168" s="1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</row>
    <row r="3169" spans="2:73" s="38" customFormat="1">
      <c r="B3169" s="1"/>
      <c r="C3169" s="1"/>
      <c r="D3169" s="1"/>
      <c r="E3169" s="1"/>
      <c r="F3169" s="1"/>
      <c r="G3169" s="1"/>
      <c r="H3169" s="1"/>
      <c r="I3169" s="1"/>
      <c r="J3169" s="1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</row>
    <row r="3170" spans="2:73" s="38" customFormat="1">
      <c r="B3170" s="1"/>
      <c r="C3170" s="1"/>
      <c r="D3170" s="1"/>
      <c r="E3170" s="1"/>
      <c r="F3170" s="1"/>
      <c r="G3170" s="1"/>
      <c r="H3170" s="1"/>
      <c r="I3170" s="1"/>
      <c r="J3170" s="1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</row>
    <row r="3171" spans="2:73" s="38" customFormat="1">
      <c r="B3171" s="1"/>
      <c r="C3171" s="1"/>
      <c r="D3171" s="1"/>
      <c r="E3171" s="1"/>
      <c r="F3171" s="1"/>
      <c r="G3171" s="1"/>
      <c r="H3171" s="1"/>
      <c r="I3171" s="1"/>
      <c r="J3171" s="1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</row>
    <row r="3172" spans="2:73" s="38" customFormat="1">
      <c r="B3172" s="1"/>
      <c r="C3172" s="1"/>
      <c r="D3172" s="1"/>
      <c r="E3172" s="1"/>
      <c r="F3172" s="1"/>
      <c r="G3172" s="1"/>
      <c r="H3172" s="1"/>
      <c r="I3172" s="1"/>
      <c r="J3172" s="1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</row>
    <row r="3173" spans="2:73" s="38" customFormat="1">
      <c r="B3173" s="1"/>
      <c r="C3173" s="1"/>
      <c r="D3173" s="1"/>
      <c r="E3173" s="1"/>
      <c r="F3173" s="1"/>
      <c r="G3173" s="1"/>
      <c r="H3173" s="1"/>
      <c r="I3173" s="1"/>
      <c r="J3173" s="1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</row>
    <row r="3174" spans="2:73" s="38" customFormat="1">
      <c r="B3174" s="1"/>
      <c r="C3174" s="1"/>
      <c r="D3174" s="1"/>
      <c r="E3174" s="1"/>
      <c r="F3174" s="1"/>
      <c r="G3174" s="1"/>
      <c r="H3174" s="1"/>
      <c r="I3174" s="1"/>
      <c r="J3174" s="1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</row>
    <row r="3175" spans="2:73" s="38" customFormat="1">
      <c r="B3175" s="1"/>
      <c r="C3175" s="1"/>
      <c r="D3175" s="1"/>
      <c r="E3175" s="1"/>
      <c r="F3175" s="1"/>
      <c r="G3175" s="1"/>
      <c r="H3175" s="1"/>
      <c r="I3175" s="1"/>
      <c r="J3175" s="1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</row>
    <row r="3176" spans="2:73" s="38" customFormat="1">
      <c r="B3176" s="1"/>
      <c r="C3176" s="1"/>
      <c r="D3176" s="1"/>
      <c r="E3176" s="1"/>
      <c r="F3176" s="1"/>
      <c r="G3176" s="1"/>
      <c r="H3176" s="1"/>
      <c r="I3176" s="1"/>
      <c r="J3176" s="1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</row>
    <row r="3177" spans="2:73" s="38" customFormat="1">
      <c r="B3177" s="1"/>
      <c r="C3177" s="1"/>
      <c r="D3177" s="1"/>
      <c r="E3177" s="1"/>
      <c r="F3177" s="1"/>
      <c r="G3177" s="1"/>
      <c r="H3177" s="1"/>
      <c r="I3177" s="1"/>
      <c r="J3177" s="1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</row>
    <row r="3178" spans="2:73" s="38" customFormat="1">
      <c r="B3178" s="1"/>
      <c r="C3178" s="1"/>
      <c r="D3178" s="1"/>
      <c r="E3178" s="1"/>
      <c r="F3178" s="1"/>
      <c r="G3178" s="1"/>
      <c r="H3178" s="1"/>
      <c r="I3178" s="1"/>
      <c r="J3178" s="1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</row>
    <row r="3179" spans="2:73" s="38" customFormat="1">
      <c r="B3179" s="1"/>
      <c r="C3179" s="1"/>
      <c r="D3179" s="1"/>
      <c r="E3179" s="1"/>
      <c r="F3179" s="1"/>
      <c r="G3179" s="1"/>
      <c r="H3179" s="1"/>
      <c r="I3179" s="1"/>
      <c r="J3179" s="1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</row>
    <row r="3180" spans="2:73" s="38" customFormat="1">
      <c r="B3180" s="1"/>
      <c r="C3180" s="1"/>
      <c r="D3180" s="1"/>
      <c r="E3180" s="1"/>
      <c r="F3180" s="1"/>
      <c r="G3180" s="1"/>
      <c r="H3180" s="1"/>
      <c r="I3180" s="1"/>
      <c r="J3180" s="1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</row>
    <row r="3181" spans="2:73" s="38" customFormat="1">
      <c r="B3181" s="1"/>
      <c r="C3181" s="1"/>
      <c r="D3181" s="1"/>
      <c r="E3181" s="1"/>
      <c r="F3181" s="1"/>
      <c r="G3181" s="1"/>
      <c r="H3181" s="1"/>
      <c r="I3181" s="1"/>
      <c r="J3181" s="1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</row>
    <row r="3182" spans="2:73" s="38" customFormat="1">
      <c r="B3182" s="1"/>
      <c r="C3182" s="1"/>
      <c r="D3182" s="1"/>
      <c r="E3182" s="1"/>
      <c r="F3182" s="1"/>
      <c r="G3182" s="1"/>
      <c r="H3182" s="1"/>
      <c r="I3182" s="1"/>
      <c r="J3182" s="1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</row>
    <row r="3183" spans="2:73" s="38" customFormat="1">
      <c r="B3183" s="1"/>
      <c r="C3183" s="1"/>
      <c r="D3183" s="1"/>
      <c r="E3183" s="1"/>
      <c r="F3183" s="1"/>
      <c r="G3183" s="1"/>
      <c r="H3183" s="1"/>
      <c r="I3183" s="1"/>
      <c r="J3183" s="1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</row>
    <row r="3184" spans="2:73" s="38" customFormat="1">
      <c r="B3184" s="1"/>
      <c r="C3184" s="1"/>
      <c r="D3184" s="1"/>
      <c r="E3184" s="1"/>
      <c r="F3184" s="1"/>
      <c r="G3184" s="1"/>
      <c r="H3184" s="1"/>
      <c r="I3184" s="1"/>
      <c r="J3184" s="1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</row>
    <row r="3185" spans="2:73" s="38" customFormat="1">
      <c r="B3185" s="1"/>
      <c r="C3185" s="1"/>
      <c r="D3185" s="1"/>
      <c r="E3185" s="1"/>
      <c r="F3185" s="1"/>
      <c r="G3185" s="1"/>
      <c r="H3185" s="1"/>
      <c r="I3185" s="1"/>
      <c r="J3185" s="1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</row>
    <row r="3186" spans="2:73" s="38" customFormat="1">
      <c r="B3186" s="1"/>
      <c r="C3186" s="1"/>
      <c r="D3186" s="1"/>
      <c r="E3186" s="1"/>
      <c r="F3186" s="1"/>
      <c r="G3186" s="1"/>
      <c r="H3186" s="1"/>
      <c r="I3186" s="1"/>
      <c r="J3186" s="1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</row>
    <row r="3187" spans="2:73" s="38" customFormat="1">
      <c r="B3187" s="1"/>
      <c r="C3187" s="1"/>
      <c r="D3187" s="1"/>
      <c r="E3187" s="1"/>
      <c r="F3187" s="1"/>
      <c r="G3187" s="1"/>
      <c r="H3187" s="1"/>
      <c r="I3187" s="1"/>
      <c r="J3187" s="1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</row>
    <row r="3188" spans="2:73" s="38" customFormat="1">
      <c r="B3188" s="1"/>
      <c r="C3188" s="1"/>
      <c r="D3188" s="1"/>
      <c r="E3188" s="1"/>
      <c r="F3188" s="1"/>
      <c r="G3188" s="1"/>
      <c r="H3188" s="1"/>
      <c r="I3188" s="1"/>
      <c r="J3188" s="1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</row>
    <row r="3189" spans="2:73" s="38" customFormat="1">
      <c r="B3189" s="1"/>
      <c r="C3189" s="1"/>
      <c r="D3189" s="1"/>
      <c r="E3189" s="1"/>
      <c r="F3189" s="1"/>
      <c r="G3189" s="1"/>
      <c r="H3189" s="1"/>
      <c r="I3189" s="1"/>
      <c r="J3189" s="1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</row>
    <row r="3190" spans="2:73" s="38" customFormat="1">
      <c r="B3190" s="1"/>
      <c r="C3190" s="1"/>
      <c r="D3190" s="1"/>
      <c r="E3190" s="1"/>
      <c r="F3190" s="1"/>
      <c r="G3190" s="1"/>
      <c r="H3190" s="1"/>
      <c r="I3190" s="1"/>
      <c r="J3190" s="1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</row>
    <row r="3191" spans="2:73" s="38" customFormat="1">
      <c r="B3191" s="1"/>
      <c r="C3191" s="1"/>
      <c r="D3191" s="1"/>
      <c r="E3191" s="1"/>
      <c r="F3191" s="1"/>
      <c r="G3191" s="1"/>
      <c r="H3191" s="1"/>
      <c r="I3191" s="1"/>
      <c r="J3191" s="1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</row>
    <row r="3192" spans="2:73" s="38" customFormat="1">
      <c r="B3192" s="1"/>
      <c r="C3192" s="1"/>
      <c r="D3192" s="1"/>
      <c r="E3192" s="1"/>
      <c r="F3192" s="1"/>
      <c r="G3192" s="1"/>
      <c r="H3192" s="1"/>
      <c r="I3192" s="1"/>
      <c r="J3192" s="1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</row>
    <row r="3193" spans="2:73" s="38" customFormat="1">
      <c r="B3193" s="1"/>
      <c r="C3193" s="1"/>
      <c r="D3193" s="1"/>
      <c r="E3193" s="1"/>
      <c r="F3193" s="1"/>
      <c r="G3193" s="1"/>
      <c r="H3193" s="1"/>
      <c r="I3193" s="1"/>
      <c r="J3193" s="1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</row>
    <row r="3194" spans="2:73" s="38" customFormat="1">
      <c r="B3194" s="1"/>
      <c r="C3194" s="1"/>
      <c r="D3194" s="1"/>
      <c r="E3194" s="1"/>
      <c r="F3194" s="1"/>
      <c r="G3194" s="1"/>
      <c r="H3194" s="1"/>
      <c r="I3194" s="1"/>
      <c r="J3194" s="1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</row>
    <row r="3195" spans="2:73" s="38" customFormat="1">
      <c r="B3195" s="1"/>
      <c r="C3195" s="1"/>
      <c r="D3195" s="1"/>
      <c r="E3195" s="1"/>
      <c r="F3195" s="1"/>
      <c r="G3195" s="1"/>
      <c r="H3195" s="1"/>
      <c r="I3195" s="1"/>
      <c r="J3195" s="1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</row>
    <row r="3196" spans="2:73" s="38" customFormat="1">
      <c r="B3196" s="1"/>
      <c r="C3196" s="1"/>
      <c r="D3196" s="1"/>
      <c r="E3196" s="1"/>
      <c r="F3196" s="1"/>
      <c r="G3196" s="1"/>
      <c r="H3196" s="1"/>
      <c r="I3196" s="1"/>
      <c r="J3196" s="1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</row>
    <row r="3197" spans="2:73" s="38" customFormat="1">
      <c r="B3197" s="1"/>
      <c r="C3197" s="1"/>
      <c r="D3197" s="1"/>
      <c r="E3197" s="1"/>
      <c r="F3197" s="1"/>
      <c r="G3197" s="1"/>
      <c r="H3197" s="1"/>
      <c r="I3197" s="1"/>
      <c r="J3197" s="1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</row>
    <row r="3198" spans="2:73" s="38" customFormat="1">
      <c r="B3198" s="1"/>
      <c r="C3198" s="1"/>
      <c r="D3198" s="1"/>
      <c r="E3198" s="1"/>
      <c r="F3198" s="1"/>
      <c r="G3198" s="1"/>
      <c r="H3198" s="1"/>
      <c r="I3198" s="1"/>
      <c r="J3198" s="1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</row>
    <row r="3199" spans="2:73" s="38" customFormat="1">
      <c r="B3199" s="1"/>
      <c r="C3199" s="1"/>
      <c r="D3199" s="1"/>
      <c r="E3199" s="1"/>
      <c r="F3199" s="1"/>
      <c r="G3199" s="1"/>
      <c r="H3199" s="1"/>
      <c r="I3199" s="1"/>
      <c r="J3199" s="1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</row>
    <row r="3200" spans="2:73" s="38" customFormat="1">
      <c r="B3200" s="1"/>
      <c r="C3200" s="1"/>
      <c r="D3200" s="1"/>
      <c r="E3200" s="1"/>
      <c r="F3200" s="1"/>
      <c r="G3200" s="1"/>
      <c r="H3200" s="1"/>
      <c r="I3200" s="1"/>
      <c r="J3200" s="1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</row>
    <row r="3201" spans="2:73" s="38" customFormat="1">
      <c r="B3201" s="1"/>
      <c r="C3201" s="1"/>
      <c r="D3201" s="1"/>
      <c r="E3201" s="1"/>
      <c r="F3201" s="1"/>
      <c r="G3201" s="1"/>
      <c r="H3201" s="1"/>
      <c r="I3201" s="1"/>
      <c r="J3201" s="1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</row>
    <row r="3202" spans="2:73" s="38" customFormat="1">
      <c r="B3202" s="1"/>
      <c r="C3202" s="1"/>
      <c r="D3202" s="1"/>
      <c r="E3202" s="1"/>
      <c r="F3202" s="1"/>
      <c r="G3202" s="1"/>
      <c r="H3202" s="1"/>
      <c r="I3202" s="1"/>
      <c r="J3202" s="1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</row>
    <row r="3203" spans="2:73" s="38" customFormat="1">
      <c r="B3203" s="1"/>
      <c r="C3203" s="1"/>
      <c r="D3203" s="1"/>
      <c r="E3203" s="1"/>
      <c r="F3203" s="1"/>
      <c r="G3203" s="1"/>
      <c r="H3203" s="1"/>
      <c r="I3203" s="1"/>
      <c r="J3203" s="1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</row>
    <row r="3204" spans="2:73" s="38" customFormat="1">
      <c r="B3204" s="1"/>
      <c r="C3204" s="1"/>
      <c r="D3204" s="1"/>
      <c r="E3204" s="1"/>
      <c r="F3204" s="1"/>
      <c r="G3204" s="1"/>
      <c r="H3204" s="1"/>
      <c r="I3204" s="1"/>
      <c r="J3204" s="1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</row>
    <row r="3205" spans="2:73" s="38" customFormat="1">
      <c r="B3205" s="1"/>
      <c r="C3205" s="1"/>
      <c r="D3205" s="1"/>
      <c r="E3205" s="1"/>
      <c r="F3205" s="1"/>
      <c r="G3205" s="1"/>
      <c r="H3205" s="1"/>
      <c r="I3205" s="1"/>
      <c r="J3205" s="1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</row>
    <row r="3206" spans="2:73" s="38" customFormat="1">
      <c r="B3206" s="1"/>
      <c r="C3206" s="1"/>
      <c r="D3206" s="1"/>
      <c r="E3206" s="1"/>
      <c r="F3206" s="1"/>
      <c r="G3206" s="1"/>
      <c r="H3206" s="1"/>
      <c r="I3206" s="1"/>
      <c r="J3206" s="1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</row>
    <row r="3207" spans="2:73" s="38" customFormat="1">
      <c r="B3207" s="1"/>
      <c r="C3207" s="1"/>
      <c r="D3207" s="1"/>
      <c r="E3207" s="1"/>
      <c r="F3207" s="1"/>
      <c r="G3207" s="1"/>
      <c r="H3207" s="1"/>
      <c r="I3207" s="1"/>
      <c r="J3207" s="1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</row>
    <row r="3208" spans="2:73" s="38" customFormat="1">
      <c r="B3208" s="1"/>
      <c r="C3208" s="1"/>
      <c r="D3208" s="1"/>
      <c r="E3208" s="1"/>
      <c r="F3208" s="1"/>
      <c r="G3208" s="1"/>
      <c r="H3208" s="1"/>
      <c r="I3208" s="1"/>
      <c r="J3208" s="1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</row>
    <row r="3209" spans="2:73" s="38" customFormat="1">
      <c r="B3209" s="1"/>
      <c r="C3209" s="1"/>
      <c r="D3209" s="1"/>
      <c r="E3209" s="1"/>
      <c r="F3209" s="1"/>
      <c r="G3209" s="1"/>
      <c r="H3209" s="1"/>
      <c r="I3209" s="1"/>
      <c r="J3209" s="1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</row>
    <row r="3210" spans="2:73" s="38" customFormat="1">
      <c r="B3210" s="1"/>
      <c r="C3210" s="1"/>
      <c r="D3210" s="1"/>
      <c r="E3210" s="1"/>
      <c r="F3210" s="1"/>
      <c r="G3210" s="1"/>
      <c r="H3210" s="1"/>
      <c r="I3210" s="1"/>
      <c r="J3210" s="1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</row>
    <row r="3211" spans="2:73" s="38" customFormat="1">
      <c r="B3211" s="1"/>
      <c r="C3211" s="1"/>
      <c r="D3211" s="1"/>
      <c r="E3211" s="1"/>
      <c r="F3211" s="1"/>
      <c r="G3211" s="1"/>
      <c r="H3211" s="1"/>
      <c r="I3211" s="1"/>
      <c r="J3211" s="1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</row>
    <row r="3212" spans="2:73" s="38" customFormat="1">
      <c r="B3212" s="1"/>
      <c r="C3212" s="1"/>
      <c r="D3212" s="1"/>
      <c r="E3212" s="1"/>
      <c r="F3212" s="1"/>
      <c r="G3212" s="1"/>
      <c r="H3212" s="1"/>
      <c r="I3212" s="1"/>
      <c r="J3212" s="1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</row>
    <row r="3213" spans="2:73" s="38" customFormat="1">
      <c r="B3213" s="1"/>
      <c r="C3213" s="1"/>
      <c r="D3213" s="1"/>
      <c r="E3213" s="1"/>
      <c r="F3213" s="1"/>
      <c r="G3213" s="1"/>
      <c r="H3213" s="1"/>
      <c r="I3213" s="1"/>
      <c r="J3213" s="1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</row>
    <row r="3214" spans="2:73" s="38" customFormat="1">
      <c r="B3214" s="1"/>
      <c r="C3214" s="1"/>
      <c r="D3214" s="1"/>
      <c r="E3214" s="1"/>
      <c r="F3214" s="1"/>
      <c r="G3214" s="1"/>
      <c r="H3214" s="1"/>
      <c r="I3214" s="1"/>
      <c r="J3214" s="1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</row>
    <row r="3215" spans="2:73" s="38" customFormat="1">
      <c r="B3215" s="1"/>
      <c r="C3215" s="1"/>
      <c r="D3215" s="1"/>
      <c r="E3215" s="1"/>
      <c r="F3215" s="1"/>
      <c r="G3215" s="1"/>
      <c r="H3215" s="1"/>
      <c r="I3215" s="1"/>
      <c r="J3215" s="1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</row>
    <row r="3216" spans="2:73" s="38" customFormat="1">
      <c r="B3216" s="1"/>
      <c r="C3216" s="1"/>
      <c r="D3216" s="1"/>
      <c r="E3216" s="1"/>
      <c r="F3216" s="1"/>
      <c r="G3216" s="1"/>
      <c r="H3216" s="1"/>
      <c r="I3216" s="1"/>
      <c r="J3216" s="1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</row>
    <row r="3217" spans="2:73" s="38" customFormat="1">
      <c r="B3217" s="1"/>
      <c r="C3217" s="1"/>
      <c r="D3217" s="1"/>
      <c r="E3217" s="1"/>
      <c r="F3217" s="1"/>
      <c r="G3217" s="1"/>
      <c r="H3217" s="1"/>
      <c r="I3217" s="1"/>
      <c r="J3217" s="1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</row>
    <row r="3218" spans="2:73" s="38" customFormat="1">
      <c r="B3218" s="1"/>
      <c r="C3218" s="1"/>
      <c r="D3218" s="1"/>
      <c r="E3218" s="1"/>
      <c r="F3218" s="1"/>
      <c r="G3218" s="1"/>
      <c r="H3218" s="1"/>
      <c r="I3218" s="1"/>
      <c r="J3218" s="1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</row>
    <row r="3219" spans="2:73" s="38" customFormat="1">
      <c r="B3219" s="1"/>
      <c r="C3219" s="1"/>
      <c r="D3219" s="1"/>
      <c r="E3219" s="1"/>
      <c r="F3219" s="1"/>
      <c r="G3219" s="1"/>
      <c r="H3219" s="1"/>
      <c r="I3219" s="1"/>
      <c r="J3219" s="1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</row>
    <row r="3220" spans="2:73" s="38" customFormat="1">
      <c r="B3220" s="1"/>
      <c r="C3220" s="1"/>
      <c r="D3220" s="1"/>
      <c r="E3220" s="1"/>
      <c r="F3220" s="1"/>
      <c r="G3220" s="1"/>
      <c r="H3220" s="1"/>
      <c r="I3220" s="1"/>
      <c r="J3220" s="1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</row>
    <row r="3221" spans="2:73" s="38" customFormat="1">
      <c r="B3221" s="1"/>
      <c r="C3221" s="1"/>
      <c r="D3221" s="1"/>
      <c r="E3221" s="1"/>
      <c r="F3221" s="1"/>
      <c r="G3221" s="1"/>
      <c r="H3221" s="1"/>
      <c r="I3221" s="1"/>
      <c r="J3221" s="1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</row>
    <row r="3222" spans="2:73" s="38" customFormat="1">
      <c r="B3222" s="1"/>
      <c r="C3222" s="1"/>
      <c r="D3222" s="1"/>
      <c r="E3222" s="1"/>
      <c r="F3222" s="1"/>
      <c r="G3222" s="1"/>
      <c r="H3222" s="1"/>
      <c r="I3222" s="1"/>
      <c r="J3222" s="1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</row>
    <row r="3223" spans="2:73" s="38" customFormat="1">
      <c r="B3223" s="1"/>
      <c r="C3223" s="1"/>
      <c r="D3223" s="1"/>
      <c r="E3223" s="1"/>
      <c r="F3223" s="1"/>
      <c r="G3223" s="1"/>
      <c r="H3223" s="1"/>
      <c r="I3223" s="1"/>
      <c r="J3223" s="1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</row>
    <row r="3224" spans="2:73" s="38" customFormat="1">
      <c r="B3224" s="1"/>
      <c r="C3224" s="1"/>
      <c r="D3224" s="1"/>
      <c r="E3224" s="1"/>
      <c r="F3224" s="1"/>
      <c r="G3224" s="1"/>
      <c r="H3224" s="1"/>
      <c r="I3224" s="1"/>
      <c r="J3224" s="1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</row>
    <row r="3225" spans="2:73" s="38" customFormat="1">
      <c r="B3225" s="1"/>
      <c r="C3225" s="1"/>
      <c r="D3225" s="1"/>
      <c r="E3225" s="1"/>
      <c r="F3225" s="1"/>
      <c r="G3225" s="1"/>
      <c r="H3225" s="1"/>
      <c r="I3225" s="1"/>
      <c r="J3225" s="1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</row>
    <row r="3226" spans="2:73" s="38" customFormat="1">
      <c r="B3226" s="1"/>
      <c r="C3226" s="1"/>
      <c r="D3226" s="1"/>
      <c r="E3226" s="1"/>
      <c r="F3226" s="1"/>
      <c r="G3226" s="1"/>
      <c r="H3226" s="1"/>
      <c r="I3226" s="1"/>
      <c r="J3226" s="1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</row>
    <row r="3227" spans="2:73" s="38" customFormat="1">
      <c r="B3227" s="1"/>
      <c r="C3227" s="1"/>
      <c r="D3227" s="1"/>
      <c r="E3227" s="1"/>
      <c r="F3227" s="1"/>
      <c r="G3227" s="1"/>
      <c r="H3227" s="1"/>
      <c r="I3227" s="1"/>
      <c r="J3227" s="1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</row>
    <row r="3228" spans="2:73" s="38" customFormat="1">
      <c r="B3228" s="1"/>
      <c r="C3228" s="1"/>
      <c r="D3228" s="1"/>
      <c r="E3228" s="1"/>
      <c r="F3228" s="1"/>
      <c r="G3228" s="1"/>
      <c r="H3228" s="1"/>
      <c r="I3228" s="1"/>
      <c r="J3228" s="1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</row>
    <row r="3229" spans="2:73" s="38" customFormat="1">
      <c r="B3229" s="1"/>
      <c r="C3229" s="1"/>
      <c r="D3229" s="1"/>
      <c r="E3229" s="1"/>
      <c r="F3229" s="1"/>
      <c r="G3229" s="1"/>
      <c r="H3229" s="1"/>
      <c r="I3229" s="1"/>
      <c r="J3229" s="1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</row>
    <row r="3230" spans="2:73" s="38" customFormat="1">
      <c r="B3230" s="1"/>
      <c r="C3230" s="1"/>
      <c r="D3230" s="1"/>
      <c r="E3230" s="1"/>
      <c r="F3230" s="1"/>
      <c r="G3230" s="1"/>
      <c r="H3230" s="1"/>
      <c r="I3230" s="1"/>
      <c r="J3230" s="1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</row>
    <row r="3231" spans="2:73" s="38" customFormat="1">
      <c r="B3231" s="1"/>
      <c r="C3231" s="1"/>
      <c r="D3231" s="1"/>
      <c r="E3231" s="1"/>
      <c r="F3231" s="1"/>
      <c r="G3231" s="1"/>
      <c r="H3231" s="1"/>
      <c r="I3231" s="1"/>
      <c r="J3231" s="1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</row>
    <row r="3232" spans="2:73" s="38" customFormat="1">
      <c r="B3232" s="1"/>
      <c r="C3232" s="1"/>
      <c r="D3232" s="1"/>
      <c r="E3232" s="1"/>
      <c r="F3232" s="1"/>
      <c r="G3232" s="1"/>
      <c r="H3232" s="1"/>
      <c r="I3232" s="1"/>
      <c r="J3232" s="1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</row>
    <row r="3233" spans="2:73" s="38" customFormat="1">
      <c r="B3233" s="1"/>
      <c r="C3233" s="1"/>
      <c r="D3233" s="1"/>
      <c r="E3233" s="1"/>
      <c r="F3233" s="1"/>
      <c r="G3233" s="1"/>
      <c r="H3233" s="1"/>
      <c r="I3233" s="1"/>
      <c r="J3233" s="1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</row>
    <row r="3234" spans="2:73" s="38" customFormat="1">
      <c r="B3234" s="1"/>
      <c r="C3234" s="1"/>
      <c r="D3234" s="1"/>
      <c r="E3234" s="1"/>
      <c r="F3234" s="1"/>
      <c r="G3234" s="1"/>
      <c r="H3234" s="1"/>
      <c r="I3234" s="1"/>
      <c r="J3234" s="1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</row>
    <row r="3235" spans="2:73" s="38" customFormat="1">
      <c r="B3235" s="1"/>
      <c r="C3235" s="1"/>
      <c r="D3235" s="1"/>
      <c r="E3235" s="1"/>
      <c r="F3235" s="1"/>
      <c r="G3235" s="1"/>
      <c r="H3235" s="1"/>
      <c r="I3235" s="1"/>
      <c r="J3235" s="1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</row>
    <row r="3236" spans="2:73" s="38" customFormat="1">
      <c r="B3236" s="1"/>
      <c r="C3236" s="1"/>
      <c r="D3236" s="1"/>
      <c r="E3236" s="1"/>
      <c r="F3236" s="1"/>
      <c r="G3236" s="1"/>
      <c r="H3236" s="1"/>
      <c r="I3236" s="1"/>
      <c r="J3236" s="1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</row>
    <row r="3237" spans="2:73" s="38" customFormat="1">
      <c r="B3237" s="1"/>
      <c r="C3237" s="1"/>
      <c r="D3237" s="1"/>
      <c r="E3237" s="1"/>
      <c r="F3237" s="1"/>
      <c r="G3237" s="1"/>
      <c r="H3237" s="1"/>
      <c r="I3237" s="1"/>
      <c r="J3237" s="1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</row>
    <row r="3238" spans="2:73" s="38" customFormat="1">
      <c r="B3238" s="1"/>
      <c r="C3238" s="1"/>
      <c r="D3238" s="1"/>
      <c r="E3238" s="1"/>
      <c r="F3238" s="1"/>
      <c r="G3238" s="1"/>
      <c r="H3238" s="1"/>
      <c r="I3238" s="1"/>
      <c r="J3238" s="1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</row>
    <row r="3239" spans="2:73" s="38" customFormat="1">
      <c r="B3239" s="1"/>
      <c r="C3239" s="1"/>
      <c r="D3239" s="1"/>
      <c r="E3239" s="1"/>
      <c r="F3239" s="1"/>
      <c r="G3239" s="1"/>
      <c r="H3239" s="1"/>
      <c r="I3239" s="1"/>
      <c r="J3239" s="1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</row>
    <row r="3240" spans="2:73" s="38" customFormat="1">
      <c r="B3240" s="1"/>
      <c r="C3240" s="1"/>
      <c r="D3240" s="1"/>
      <c r="E3240" s="1"/>
      <c r="F3240" s="1"/>
      <c r="G3240" s="1"/>
      <c r="H3240" s="1"/>
      <c r="I3240" s="1"/>
      <c r="J3240" s="1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</row>
    <row r="3241" spans="2:73" s="38" customFormat="1">
      <c r="B3241" s="1"/>
      <c r="C3241" s="1"/>
      <c r="D3241" s="1"/>
      <c r="E3241" s="1"/>
      <c r="F3241" s="1"/>
      <c r="G3241" s="1"/>
      <c r="H3241" s="1"/>
      <c r="I3241" s="1"/>
      <c r="J3241" s="1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</row>
    <row r="3242" spans="2:73" s="38" customFormat="1">
      <c r="B3242" s="1"/>
      <c r="C3242" s="1"/>
      <c r="D3242" s="1"/>
      <c r="E3242" s="1"/>
      <c r="F3242" s="1"/>
      <c r="G3242" s="1"/>
      <c r="H3242" s="1"/>
      <c r="I3242" s="1"/>
      <c r="J3242" s="1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</row>
    <row r="3243" spans="2:73" s="38" customFormat="1">
      <c r="B3243" s="1"/>
      <c r="C3243" s="1"/>
      <c r="D3243" s="1"/>
      <c r="E3243" s="1"/>
      <c r="F3243" s="1"/>
      <c r="G3243" s="1"/>
      <c r="H3243" s="1"/>
      <c r="I3243" s="1"/>
      <c r="J3243" s="1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</row>
    <row r="3244" spans="2:73" s="38" customFormat="1">
      <c r="B3244" s="1"/>
      <c r="C3244" s="1"/>
      <c r="D3244" s="1"/>
      <c r="E3244" s="1"/>
      <c r="F3244" s="1"/>
      <c r="G3244" s="1"/>
      <c r="H3244" s="1"/>
      <c r="I3244" s="1"/>
      <c r="J3244" s="1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</row>
    <row r="3245" spans="2:73" s="38" customFormat="1">
      <c r="B3245" s="1"/>
      <c r="C3245" s="1"/>
      <c r="D3245" s="1"/>
      <c r="E3245" s="1"/>
      <c r="F3245" s="1"/>
      <c r="G3245" s="1"/>
      <c r="H3245" s="1"/>
      <c r="I3245" s="1"/>
      <c r="J3245" s="1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</row>
    <row r="3246" spans="2:73" s="38" customFormat="1">
      <c r="B3246" s="1"/>
      <c r="C3246" s="1"/>
      <c r="D3246" s="1"/>
      <c r="E3246" s="1"/>
      <c r="F3246" s="1"/>
      <c r="G3246" s="1"/>
      <c r="H3246" s="1"/>
      <c r="I3246" s="1"/>
      <c r="J3246" s="1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</row>
    <row r="3247" spans="2:73" s="38" customFormat="1">
      <c r="B3247" s="1"/>
      <c r="C3247" s="1"/>
      <c r="D3247" s="1"/>
      <c r="E3247" s="1"/>
      <c r="F3247" s="1"/>
      <c r="G3247" s="1"/>
      <c r="H3247" s="1"/>
      <c r="I3247" s="1"/>
      <c r="J3247" s="1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</row>
    <row r="3248" spans="2:73" s="38" customFormat="1">
      <c r="B3248" s="1"/>
      <c r="C3248" s="1"/>
      <c r="D3248" s="1"/>
      <c r="E3248" s="1"/>
      <c r="F3248" s="1"/>
      <c r="G3248" s="1"/>
      <c r="H3248" s="1"/>
      <c r="I3248" s="1"/>
      <c r="J3248" s="1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</row>
    <row r="3249" spans="2:73" s="38" customFormat="1">
      <c r="B3249" s="1"/>
      <c r="C3249" s="1"/>
      <c r="D3249" s="1"/>
      <c r="E3249" s="1"/>
      <c r="F3249" s="1"/>
      <c r="G3249" s="1"/>
      <c r="H3249" s="1"/>
      <c r="I3249" s="1"/>
      <c r="J3249" s="1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</row>
    <row r="3250" spans="2:73" s="38" customFormat="1">
      <c r="B3250" s="1"/>
      <c r="C3250" s="1"/>
      <c r="D3250" s="1"/>
      <c r="E3250" s="1"/>
      <c r="F3250" s="1"/>
      <c r="G3250" s="1"/>
      <c r="H3250" s="1"/>
      <c r="I3250" s="1"/>
      <c r="J3250" s="1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</row>
    <row r="3251" spans="2:73" s="38" customFormat="1">
      <c r="B3251" s="1"/>
      <c r="C3251" s="1"/>
      <c r="D3251" s="1"/>
      <c r="E3251" s="1"/>
      <c r="F3251" s="1"/>
      <c r="G3251" s="1"/>
      <c r="H3251" s="1"/>
      <c r="I3251" s="1"/>
      <c r="J3251" s="1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</row>
    <row r="3252" spans="2:73" s="38" customFormat="1">
      <c r="B3252" s="1"/>
      <c r="C3252" s="1"/>
      <c r="D3252" s="1"/>
      <c r="E3252" s="1"/>
      <c r="F3252" s="1"/>
      <c r="G3252" s="1"/>
      <c r="H3252" s="1"/>
      <c r="I3252" s="1"/>
      <c r="J3252" s="1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</row>
    <row r="3253" spans="2:73" s="38" customFormat="1">
      <c r="B3253" s="1"/>
      <c r="C3253" s="1"/>
      <c r="D3253" s="1"/>
      <c r="E3253" s="1"/>
      <c r="F3253" s="1"/>
      <c r="G3253" s="1"/>
      <c r="H3253" s="1"/>
      <c r="I3253" s="1"/>
      <c r="J3253" s="1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</row>
    <row r="3254" spans="2:73" s="38" customFormat="1">
      <c r="B3254" s="1"/>
      <c r="C3254" s="1"/>
      <c r="D3254" s="1"/>
      <c r="E3254" s="1"/>
      <c r="F3254" s="1"/>
      <c r="G3254" s="1"/>
      <c r="H3254" s="1"/>
      <c r="I3254" s="1"/>
      <c r="J3254" s="1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</row>
    <row r="3255" spans="2:73" s="38" customFormat="1">
      <c r="B3255" s="1"/>
      <c r="C3255" s="1"/>
      <c r="D3255" s="1"/>
      <c r="E3255" s="1"/>
      <c r="F3255" s="1"/>
      <c r="G3255" s="1"/>
      <c r="H3255" s="1"/>
      <c r="I3255" s="1"/>
      <c r="J3255" s="1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</row>
    <row r="3256" spans="2:73" s="38" customFormat="1">
      <c r="B3256" s="1"/>
      <c r="C3256" s="1"/>
      <c r="D3256" s="1"/>
      <c r="E3256" s="1"/>
      <c r="F3256" s="1"/>
      <c r="G3256" s="1"/>
      <c r="H3256" s="1"/>
      <c r="I3256" s="1"/>
      <c r="J3256" s="1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</row>
    <row r="3257" spans="2:73" s="38" customFormat="1">
      <c r="B3257" s="1"/>
      <c r="C3257" s="1"/>
      <c r="D3257" s="1"/>
      <c r="E3257" s="1"/>
      <c r="F3257" s="1"/>
      <c r="G3257" s="1"/>
      <c r="H3257" s="1"/>
      <c r="I3257" s="1"/>
      <c r="J3257" s="1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</row>
    <row r="3258" spans="2:73" s="38" customFormat="1">
      <c r="B3258" s="1"/>
      <c r="C3258" s="1"/>
      <c r="D3258" s="1"/>
      <c r="E3258" s="1"/>
      <c r="F3258" s="1"/>
      <c r="G3258" s="1"/>
      <c r="H3258" s="1"/>
      <c r="I3258" s="1"/>
      <c r="J3258" s="1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</row>
    <row r="3259" spans="2:73" s="38" customFormat="1">
      <c r="B3259" s="1"/>
      <c r="C3259" s="1"/>
      <c r="D3259" s="1"/>
      <c r="E3259" s="1"/>
      <c r="F3259" s="1"/>
      <c r="G3259" s="1"/>
      <c r="H3259" s="1"/>
      <c r="I3259" s="1"/>
      <c r="J3259" s="1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</row>
    <row r="3260" spans="2:73" s="38" customFormat="1">
      <c r="B3260" s="1"/>
      <c r="C3260" s="1"/>
      <c r="D3260" s="1"/>
      <c r="E3260" s="1"/>
      <c r="F3260" s="1"/>
      <c r="G3260" s="1"/>
      <c r="H3260" s="1"/>
      <c r="I3260" s="1"/>
      <c r="J3260" s="1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</row>
    <row r="3261" spans="2:73" s="38" customFormat="1">
      <c r="B3261" s="1"/>
      <c r="C3261" s="1"/>
      <c r="D3261" s="1"/>
      <c r="E3261" s="1"/>
      <c r="F3261" s="1"/>
      <c r="G3261" s="1"/>
      <c r="H3261" s="1"/>
      <c r="I3261" s="1"/>
      <c r="J3261" s="1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</row>
    <row r="3262" spans="2:73" s="38" customFormat="1">
      <c r="B3262" s="1"/>
      <c r="C3262" s="1"/>
      <c r="D3262" s="1"/>
      <c r="E3262" s="1"/>
      <c r="F3262" s="1"/>
      <c r="G3262" s="1"/>
      <c r="H3262" s="1"/>
      <c r="I3262" s="1"/>
      <c r="J3262" s="1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</row>
    <row r="3263" spans="2:73" s="38" customFormat="1">
      <c r="B3263" s="1"/>
      <c r="C3263" s="1"/>
      <c r="D3263" s="1"/>
      <c r="E3263" s="1"/>
      <c r="F3263" s="1"/>
      <c r="G3263" s="1"/>
      <c r="H3263" s="1"/>
      <c r="I3263" s="1"/>
      <c r="J3263" s="1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</row>
    <row r="3264" spans="2:73" s="38" customFormat="1">
      <c r="B3264" s="1"/>
      <c r="C3264" s="1"/>
      <c r="D3264" s="1"/>
      <c r="E3264" s="1"/>
      <c r="F3264" s="1"/>
      <c r="G3264" s="1"/>
      <c r="H3264" s="1"/>
      <c r="I3264" s="1"/>
      <c r="J3264" s="1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</row>
    <row r="3265" spans="2:73" s="38" customFormat="1">
      <c r="B3265" s="1"/>
      <c r="C3265" s="1"/>
      <c r="D3265" s="1"/>
      <c r="E3265" s="1"/>
      <c r="F3265" s="1"/>
      <c r="G3265" s="1"/>
      <c r="H3265" s="1"/>
      <c r="I3265" s="1"/>
      <c r="J3265" s="1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</row>
    <row r="3266" spans="2:73" s="38" customFormat="1">
      <c r="B3266" s="1"/>
      <c r="C3266" s="1"/>
      <c r="D3266" s="1"/>
      <c r="E3266" s="1"/>
      <c r="F3266" s="1"/>
      <c r="G3266" s="1"/>
      <c r="H3266" s="1"/>
      <c r="I3266" s="1"/>
      <c r="J3266" s="1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</row>
    <row r="3267" spans="2:73" s="38" customFormat="1">
      <c r="B3267" s="1"/>
      <c r="C3267" s="1"/>
      <c r="D3267" s="1"/>
      <c r="E3267" s="1"/>
      <c r="F3267" s="1"/>
      <c r="G3267" s="1"/>
      <c r="H3267" s="1"/>
      <c r="I3267" s="1"/>
      <c r="J3267" s="1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</row>
    <row r="3268" spans="2:73" s="38" customFormat="1">
      <c r="B3268" s="1"/>
      <c r="C3268" s="1"/>
      <c r="D3268" s="1"/>
      <c r="E3268" s="1"/>
      <c r="F3268" s="1"/>
      <c r="G3268" s="1"/>
      <c r="H3268" s="1"/>
      <c r="I3268" s="1"/>
      <c r="J3268" s="1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</row>
    <row r="3269" spans="2:73" s="38" customFormat="1">
      <c r="B3269" s="1"/>
      <c r="C3269" s="1"/>
      <c r="D3269" s="1"/>
      <c r="E3269" s="1"/>
      <c r="F3269" s="1"/>
      <c r="G3269" s="1"/>
      <c r="H3269" s="1"/>
      <c r="I3269" s="1"/>
      <c r="J3269" s="1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</row>
    <row r="3270" spans="2:73" s="38" customFormat="1">
      <c r="B3270" s="1"/>
      <c r="C3270" s="1"/>
      <c r="D3270" s="1"/>
      <c r="E3270" s="1"/>
      <c r="F3270" s="1"/>
      <c r="G3270" s="1"/>
      <c r="H3270" s="1"/>
      <c r="I3270" s="1"/>
      <c r="J3270" s="1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</row>
    <row r="3271" spans="2:73" s="38" customFormat="1">
      <c r="B3271" s="1"/>
      <c r="C3271" s="1"/>
      <c r="D3271" s="1"/>
      <c r="E3271" s="1"/>
      <c r="F3271" s="1"/>
      <c r="G3271" s="1"/>
      <c r="H3271" s="1"/>
      <c r="I3271" s="1"/>
      <c r="J3271" s="1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</row>
    <row r="3272" spans="2:73" s="38" customFormat="1">
      <c r="B3272" s="1"/>
      <c r="C3272" s="1"/>
      <c r="D3272" s="1"/>
      <c r="E3272" s="1"/>
      <c r="F3272" s="1"/>
      <c r="G3272" s="1"/>
      <c r="H3272" s="1"/>
      <c r="I3272" s="1"/>
      <c r="J3272" s="1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</row>
    <row r="3273" spans="2:73" s="38" customFormat="1">
      <c r="B3273" s="1"/>
      <c r="C3273" s="1"/>
      <c r="D3273" s="1"/>
      <c r="E3273" s="1"/>
      <c r="F3273" s="1"/>
      <c r="G3273" s="1"/>
      <c r="H3273" s="1"/>
      <c r="I3273" s="1"/>
      <c r="J3273" s="1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</row>
    <row r="3274" spans="2:73" s="38" customFormat="1">
      <c r="B3274" s="1"/>
      <c r="C3274" s="1"/>
      <c r="D3274" s="1"/>
      <c r="E3274" s="1"/>
      <c r="F3274" s="1"/>
      <c r="G3274" s="1"/>
      <c r="H3274" s="1"/>
      <c r="I3274" s="1"/>
      <c r="J3274" s="1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</row>
    <row r="3275" spans="2:73" s="38" customFormat="1">
      <c r="B3275" s="1"/>
      <c r="C3275" s="1"/>
      <c r="D3275" s="1"/>
      <c r="E3275" s="1"/>
      <c r="F3275" s="1"/>
      <c r="G3275" s="1"/>
      <c r="H3275" s="1"/>
      <c r="I3275" s="1"/>
      <c r="J3275" s="1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</row>
    <row r="3276" spans="2:73" s="38" customFormat="1">
      <c r="B3276" s="1"/>
      <c r="C3276" s="1"/>
      <c r="D3276" s="1"/>
      <c r="E3276" s="1"/>
      <c r="F3276" s="1"/>
      <c r="G3276" s="1"/>
      <c r="H3276" s="1"/>
      <c r="I3276" s="1"/>
      <c r="J3276" s="1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</row>
    <row r="3277" spans="2:73" s="38" customFormat="1">
      <c r="B3277" s="1"/>
      <c r="C3277" s="1"/>
      <c r="D3277" s="1"/>
      <c r="E3277" s="1"/>
      <c r="F3277" s="1"/>
      <c r="G3277" s="1"/>
      <c r="H3277" s="1"/>
      <c r="I3277" s="1"/>
      <c r="J3277" s="1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</row>
    <row r="3278" spans="2:73" s="38" customFormat="1">
      <c r="B3278" s="1"/>
      <c r="C3278" s="1"/>
      <c r="D3278" s="1"/>
      <c r="E3278" s="1"/>
      <c r="F3278" s="1"/>
      <c r="G3278" s="1"/>
      <c r="H3278" s="1"/>
      <c r="I3278" s="1"/>
      <c r="J3278" s="1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</row>
    <row r="3279" spans="2:73" s="38" customFormat="1">
      <c r="B3279" s="1"/>
      <c r="C3279" s="1"/>
      <c r="D3279" s="1"/>
      <c r="E3279" s="1"/>
      <c r="F3279" s="1"/>
      <c r="G3279" s="1"/>
      <c r="H3279" s="1"/>
      <c r="I3279" s="1"/>
      <c r="J3279" s="1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</row>
    <row r="3280" spans="2:73" s="38" customFormat="1">
      <c r="B3280" s="1"/>
      <c r="C3280" s="1"/>
      <c r="D3280" s="1"/>
      <c r="E3280" s="1"/>
      <c r="F3280" s="1"/>
      <c r="G3280" s="1"/>
      <c r="H3280" s="1"/>
      <c r="I3280" s="1"/>
      <c r="J3280" s="1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</row>
    <row r="3281" spans="2:73" s="38" customFormat="1">
      <c r="B3281" s="1"/>
      <c r="C3281" s="1"/>
      <c r="D3281" s="1"/>
      <c r="E3281" s="1"/>
      <c r="F3281" s="1"/>
      <c r="G3281" s="1"/>
      <c r="H3281" s="1"/>
      <c r="I3281" s="1"/>
      <c r="J3281" s="1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</row>
    <row r="3282" spans="2:73" s="38" customFormat="1">
      <c r="B3282" s="1"/>
      <c r="C3282" s="1"/>
      <c r="D3282" s="1"/>
      <c r="E3282" s="1"/>
      <c r="F3282" s="1"/>
      <c r="G3282" s="1"/>
      <c r="H3282" s="1"/>
      <c r="I3282" s="1"/>
      <c r="J3282" s="1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</row>
    <row r="3283" spans="2:73" s="38" customFormat="1">
      <c r="B3283" s="1"/>
      <c r="C3283" s="1"/>
      <c r="D3283" s="1"/>
      <c r="E3283" s="1"/>
      <c r="F3283" s="1"/>
      <c r="G3283" s="1"/>
      <c r="H3283" s="1"/>
      <c r="I3283" s="1"/>
      <c r="J3283" s="1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</row>
    <row r="3284" spans="2:73" s="38" customFormat="1">
      <c r="B3284" s="1"/>
      <c r="C3284" s="1"/>
      <c r="D3284" s="1"/>
      <c r="E3284" s="1"/>
      <c r="F3284" s="1"/>
      <c r="G3284" s="1"/>
      <c r="H3284" s="1"/>
      <c r="I3284" s="1"/>
      <c r="J3284" s="1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</row>
    <row r="3285" spans="2:73" s="38" customFormat="1">
      <c r="B3285" s="1"/>
      <c r="C3285" s="1"/>
      <c r="D3285" s="1"/>
      <c r="E3285" s="1"/>
      <c r="F3285" s="1"/>
      <c r="G3285" s="1"/>
      <c r="H3285" s="1"/>
      <c r="I3285" s="1"/>
      <c r="J3285" s="1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</row>
    <row r="3286" spans="2:73" s="38" customFormat="1">
      <c r="B3286" s="1"/>
      <c r="C3286" s="1"/>
      <c r="D3286" s="1"/>
      <c r="E3286" s="1"/>
      <c r="F3286" s="1"/>
      <c r="G3286" s="1"/>
      <c r="H3286" s="1"/>
      <c r="I3286" s="1"/>
      <c r="J3286" s="1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</row>
    <row r="3287" spans="2:73" s="38" customFormat="1">
      <c r="B3287" s="1"/>
      <c r="C3287" s="1"/>
      <c r="D3287" s="1"/>
      <c r="E3287" s="1"/>
      <c r="F3287" s="1"/>
      <c r="G3287" s="1"/>
      <c r="H3287" s="1"/>
      <c r="I3287" s="1"/>
      <c r="J3287" s="1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</row>
    <row r="3288" spans="2:73" s="38" customFormat="1">
      <c r="B3288" s="1"/>
      <c r="C3288" s="1"/>
      <c r="D3288" s="1"/>
      <c r="E3288" s="1"/>
      <c r="F3288" s="1"/>
      <c r="G3288" s="1"/>
      <c r="H3288" s="1"/>
      <c r="I3288" s="1"/>
      <c r="J3288" s="1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</row>
    <row r="3289" spans="2:73" s="38" customFormat="1">
      <c r="B3289" s="1"/>
      <c r="C3289" s="1"/>
      <c r="D3289" s="1"/>
      <c r="E3289" s="1"/>
      <c r="F3289" s="1"/>
      <c r="G3289" s="1"/>
      <c r="H3289" s="1"/>
      <c r="I3289" s="1"/>
      <c r="J3289" s="1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</row>
    <row r="3290" spans="2:73" s="38" customFormat="1">
      <c r="B3290" s="1"/>
      <c r="C3290" s="1"/>
      <c r="D3290" s="1"/>
      <c r="E3290" s="1"/>
      <c r="F3290" s="1"/>
      <c r="G3290" s="1"/>
      <c r="H3290" s="1"/>
      <c r="I3290" s="1"/>
      <c r="J3290" s="1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</row>
    <row r="3291" spans="2:73" s="38" customFormat="1">
      <c r="B3291" s="1"/>
      <c r="C3291" s="1"/>
      <c r="D3291" s="1"/>
      <c r="E3291" s="1"/>
      <c r="F3291" s="1"/>
      <c r="G3291" s="1"/>
      <c r="H3291" s="1"/>
      <c r="I3291" s="1"/>
      <c r="J3291" s="1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</row>
    <row r="3292" spans="2:73" s="38" customFormat="1">
      <c r="B3292" s="1"/>
      <c r="C3292" s="1"/>
      <c r="D3292" s="1"/>
      <c r="E3292" s="1"/>
      <c r="F3292" s="1"/>
      <c r="G3292" s="1"/>
      <c r="H3292" s="1"/>
      <c r="I3292" s="1"/>
      <c r="J3292" s="1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</row>
    <row r="3293" spans="2:73" s="38" customFormat="1">
      <c r="B3293" s="1"/>
      <c r="C3293" s="1"/>
      <c r="D3293" s="1"/>
      <c r="E3293" s="1"/>
      <c r="F3293" s="1"/>
      <c r="G3293" s="1"/>
      <c r="H3293" s="1"/>
      <c r="I3293" s="1"/>
      <c r="J3293" s="1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</row>
    <row r="3294" spans="2:73" s="38" customFormat="1">
      <c r="B3294" s="1"/>
      <c r="C3294" s="1"/>
      <c r="D3294" s="1"/>
      <c r="E3294" s="1"/>
      <c r="F3294" s="1"/>
      <c r="G3294" s="1"/>
      <c r="H3294" s="1"/>
      <c r="I3294" s="1"/>
      <c r="J3294" s="1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</row>
    <row r="3295" spans="2:73" s="38" customFormat="1">
      <c r="B3295" s="1"/>
      <c r="C3295" s="1"/>
      <c r="D3295" s="1"/>
      <c r="E3295" s="1"/>
      <c r="F3295" s="1"/>
      <c r="G3295" s="1"/>
      <c r="H3295" s="1"/>
      <c r="I3295" s="1"/>
      <c r="J3295" s="1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</row>
    <row r="3296" spans="2:73" s="38" customFormat="1">
      <c r="B3296" s="1"/>
      <c r="C3296" s="1"/>
      <c r="D3296" s="1"/>
      <c r="E3296" s="1"/>
      <c r="F3296" s="1"/>
      <c r="G3296" s="1"/>
      <c r="H3296" s="1"/>
      <c r="I3296" s="1"/>
      <c r="J3296" s="1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</row>
    <row r="3297" spans="2:73" s="38" customFormat="1">
      <c r="B3297" s="1"/>
      <c r="C3297" s="1"/>
      <c r="D3297" s="1"/>
      <c r="E3297" s="1"/>
      <c r="F3297" s="1"/>
      <c r="G3297" s="1"/>
      <c r="H3297" s="1"/>
      <c r="I3297" s="1"/>
      <c r="J3297" s="1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</row>
    <row r="3298" spans="2:73" s="38" customFormat="1">
      <c r="B3298" s="1"/>
      <c r="C3298" s="1"/>
      <c r="D3298" s="1"/>
      <c r="E3298" s="1"/>
      <c r="F3298" s="1"/>
      <c r="G3298" s="1"/>
      <c r="H3298" s="1"/>
      <c r="I3298" s="1"/>
      <c r="J3298" s="1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</row>
    <row r="3299" spans="2:73" s="38" customFormat="1">
      <c r="B3299" s="1"/>
      <c r="C3299" s="1"/>
      <c r="D3299" s="1"/>
      <c r="E3299" s="1"/>
      <c r="F3299" s="1"/>
      <c r="G3299" s="1"/>
      <c r="H3299" s="1"/>
      <c r="I3299" s="1"/>
      <c r="J3299" s="1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</row>
    <row r="3300" spans="2:73" s="38" customFormat="1">
      <c r="B3300" s="1"/>
      <c r="C3300" s="1"/>
      <c r="D3300" s="1"/>
      <c r="E3300" s="1"/>
      <c r="F3300" s="1"/>
      <c r="G3300" s="1"/>
      <c r="H3300" s="1"/>
      <c r="I3300" s="1"/>
      <c r="J3300" s="1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</row>
    <row r="3301" spans="2:73" s="38" customFormat="1">
      <c r="B3301" s="1"/>
      <c r="C3301" s="1"/>
      <c r="D3301" s="1"/>
      <c r="E3301" s="1"/>
      <c r="F3301" s="1"/>
      <c r="G3301" s="1"/>
      <c r="H3301" s="1"/>
      <c r="I3301" s="1"/>
      <c r="J3301" s="1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</row>
    <row r="3302" spans="2:73" s="38" customFormat="1">
      <c r="B3302" s="1"/>
      <c r="C3302" s="1"/>
      <c r="D3302" s="1"/>
      <c r="E3302" s="1"/>
      <c r="F3302" s="1"/>
      <c r="G3302" s="1"/>
      <c r="H3302" s="1"/>
      <c r="I3302" s="1"/>
      <c r="J3302" s="1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</row>
    <row r="3303" spans="2:73" s="38" customFormat="1">
      <c r="B3303" s="1"/>
      <c r="C3303" s="1"/>
      <c r="D3303" s="1"/>
      <c r="E3303" s="1"/>
      <c r="F3303" s="1"/>
      <c r="G3303" s="1"/>
      <c r="H3303" s="1"/>
      <c r="I3303" s="1"/>
      <c r="J3303" s="1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</row>
    <row r="3304" spans="2:73" s="38" customFormat="1">
      <c r="B3304" s="1"/>
      <c r="C3304" s="1"/>
      <c r="D3304" s="1"/>
      <c r="E3304" s="1"/>
      <c r="F3304" s="1"/>
      <c r="G3304" s="1"/>
      <c r="H3304" s="1"/>
      <c r="I3304" s="1"/>
      <c r="J3304" s="1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</row>
    <row r="3305" spans="2:73" s="38" customFormat="1">
      <c r="B3305" s="1"/>
      <c r="C3305" s="1"/>
      <c r="D3305" s="1"/>
      <c r="E3305" s="1"/>
      <c r="F3305" s="1"/>
      <c r="G3305" s="1"/>
      <c r="H3305" s="1"/>
      <c r="I3305" s="1"/>
      <c r="J3305" s="1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</row>
    <row r="3306" spans="2:73" s="38" customFormat="1">
      <c r="B3306" s="1"/>
      <c r="C3306" s="1"/>
      <c r="D3306" s="1"/>
      <c r="E3306" s="1"/>
      <c r="F3306" s="1"/>
      <c r="G3306" s="1"/>
      <c r="H3306" s="1"/>
      <c r="I3306" s="1"/>
      <c r="J3306" s="1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</row>
    <row r="3307" spans="2:73" s="38" customFormat="1">
      <c r="B3307" s="1"/>
      <c r="C3307" s="1"/>
      <c r="D3307" s="1"/>
      <c r="E3307" s="1"/>
      <c r="F3307" s="1"/>
      <c r="G3307" s="1"/>
      <c r="H3307" s="1"/>
      <c r="I3307" s="1"/>
      <c r="J3307" s="1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</row>
    <row r="3308" spans="2:73" s="38" customFormat="1">
      <c r="B3308" s="1"/>
      <c r="C3308" s="1"/>
      <c r="D3308" s="1"/>
      <c r="E3308" s="1"/>
      <c r="F3308" s="1"/>
      <c r="G3308" s="1"/>
      <c r="H3308" s="1"/>
      <c r="I3308" s="1"/>
      <c r="J3308" s="1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</row>
    <row r="3309" spans="2:73" s="38" customFormat="1">
      <c r="B3309" s="1"/>
      <c r="C3309" s="1"/>
      <c r="D3309" s="1"/>
      <c r="E3309" s="1"/>
      <c r="F3309" s="1"/>
      <c r="G3309" s="1"/>
      <c r="H3309" s="1"/>
      <c r="I3309" s="1"/>
      <c r="J3309" s="1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</row>
    <row r="3310" spans="2:73" s="38" customFormat="1">
      <c r="B3310" s="1"/>
      <c r="C3310" s="1"/>
      <c r="D3310" s="1"/>
      <c r="E3310" s="1"/>
      <c r="F3310" s="1"/>
      <c r="G3310" s="1"/>
      <c r="H3310" s="1"/>
      <c r="I3310" s="1"/>
      <c r="J3310" s="1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</row>
    <row r="3311" spans="2:73" s="38" customFormat="1">
      <c r="B3311" s="1"/>
      <c r="C3311" s="1"/>
      <c r="D3311" s="1"/>
      <c r="E3311" s="1"/>
      <c r="F3311" s="1"/>
      <c r="G3311" s="1"/>
      <c r="H3311" s="1"/>
      <c r="I3311" s="1"/>
      <c r="J3311" s="1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</row>
    <row r="3312" spans="2:73" s="38" customFormat="1">
      <c r="B3312" s="1"/>
      <c r="C3312" s="1"/>
      <c r="D3312" s="1"/>
      <c r="E3312" s="1"/>
      <c r="F3312" s="1"/>
      <c r="G3312" s="1"/>
      <c r="H3312" s="1"/>
      <c r="I3312" s="1"/>
      <c r="J3312" s="1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</row>
    <row r="3313" spans="2:73" s="38" customFormat="1">
      <c r="B3313" s="1"/>
      <c r="C3313" s="1"/>
      <c r="D3313" s="1"/>
      <c r="E3313" s="1"/>
      <c r="F3313" s="1"/>
      <c r="G3313" s="1"/>
      <c r="H3313" s="1"/>
      <c r="I3313" s="1"/>
      <c r="J3313" s="1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</row>
    <row r="3314" spans="2:73" s="38" customFormat="1">
      <c r="B3314" s="1"/>
      <c r="C3314" s="1"/>
      <c r="D3314" s="1"/>
      <c r="E3314" s="1"/>
      <c r="F3314" s="1"/>
      <c r="G3314" s="1"/>
      <c r="H3314" s="1"/>
      <c r="I3314" s="1"/>
      <c r="J3314" s="1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</row>
    <row r="3315" spans="2:73" s="38" customFormat="1">
      <c r="B3315" s="1"/>
      <c r="C3315" s="1"/>
      <c r="D3315" s="1"/>
      <c r="E3315" s="1"/>
      <c r="F3315" s="1"/>
      <c r="G3315" s="1"/>
      <c r="H3315" s="1"/>
      <c r="I3315" s="1"/>
      <c r="J3315" s="1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</row>
    <row r="3316" spans="2:73" s="38" customFormat="1">
      <c r="B3316" s="1"/>
      <c r="C3316" s="1"/>
      <c r="D3316" s="1"/>
      <c r="E3316" s="1"/>
      <c r="F3316" s="1"/>
      <c r="G3316" s="1"/>
      <c r="H3316" s="1"/>
      <c r="I3316" s="1"/>
      <c r="J3316" s="1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</row>
    <row r="3317" spans="2:73" s="38" customFormat="1">
      <c r="B3317" s="1"/>
      <c r="C3317" s="1"/>
      <c r="D3317" s="1"/>
      <c r="E3317" s="1"/>
      <c r="F3317" s="1"/>
      <c r="G3317" s="1"/>
      <c r="H3317" s="1"/>
      <c r="I3317" s="1"/>
      <c r="J3317" s="1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</row>
    <row r="3318" spans="2:73" s="38" customFormat="1">
      <c r="B3318" s="1"/>
      <c r="C3318" s="1"/>
      <c r="D3318" s="1"/>
      <c r="E3318" s="1"/>
      <c r="F3318" s="1"/>
      <c r="G3318" s="1"/>
      <c r="H3318" s="1"/>
      <c r="I3318" s="1"/>
      <c r="J3318" s="1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</row>
    <row r="3319" spans="2:73" s="38" customFormat="1">
      <c r="B3319" s="1"/>
      <c r="C3319" s="1"/>
      <c r="D3319" s="1"/>
      <c r="E3319" s="1"/>
      <c r="F3319" s="1"/>
      <c r="G3319" s="1"/>
      <c r="H3319" s="1"/>
      <c r="I3319" s="1"/>
      <c r="J3319" s="1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</row>
    <row r="3320" spans="2:73" s="38" customFormat="1">
      <c r="B3320" s="1"/>
      <c r="C3320" s="1"/>
      <c r="D3320" s="1"/>
      <c r="E3320" s="1"/>
      <c r="F3320" s="1"/>
      <c r="G3320" s="1"/>
      <c r="H3320" s="1"/>
      <c r="I3320" s="1"/>
      <c r="J3320" s="1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</row>
    <row r="3321" spans="2:73" s="38" customFormat="1">
      <c r="B3321" s="1"/>
      <c r="C3321" s="1"/>
      <c r="D3321" s="1"/>
      <c r="E3321" s="1"/>
      <c r="F3321" s="1"/>
      <c r="G3321" s="1"/>
      <c r="H3321" s="1"/>
      <c r="I3321" s="1"/>
      <c r="J3321" s="1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</row>
    <row r="3322" spans="2:73" s="38" customFormat="1">
      <c r="B3322" s="1"/>
      <c r="C3322" s="1"/>
      <c r="D3322" s="1"/>
      <c r="E3322" s="1"/>
      <c r="F3322" s="1"/>
      <c r="G3322" s="1"/>
      <c r="H3322" s="1"/>
      <c r="I3322" s="1"/>
      <c r="J3322" s="1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</row>
    <row r="3323" spans="2:73" s="38" customFormat="1">
      <c r="B3323" s="1"/>
      <c r="C3323" s="1"/>
      <c r="D3323" s="1"/>
      <c r="E3323" s="1"/>
      <c r="F3323" s="1"/>
      <c r="G3323" s="1"/>
      <c r="H3323" s="1"/>
      <c r="I3323" s="1"/>
      <c r="J3323" s="1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</row>
    <row r="3324" spans="2:73" s="38" customFormat="1">
      <c r="B3324" s="1"/>
      <c r="C3324" s="1"/>
      <c r="D3324" s="1"/>
      <c r="E3324" s="1"/>
      <c r="F3324" s="1"/>
      <c r="G3324" s="1"/>
      <c r="H3324" s="1"/>
      <c r="I3324" s="1"/>
      <c r="J3324" s="1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</row>
    <row r="3325" spans="2:73" s="38" customFormat="1">
      <c r="B3325" s="1"/>
      <c r="C3325" s="1"/>
      <c r="D3325" s="1"/>
      <c r="E3325" s="1"/>
      <c r="F3325" s="1"/>
      <c r="G3325" s="1"/>
      <c r="H3325" s="1"/>
      <c r="I3325" s="1"/>
      <c r="J3325" s="1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</row>
    <row r="3326" spans="2:73" s="38" customFormat="1">
      <c r="B3326" s="1"/>
      <c r="C3326" s="1"/>
      <c r="D3326" s="1"/>
      <c r="E3326" s="1"/>
      <c r="F3326" s="1"/>
      <c r="G3326" s="1"/>
      <c r="H3326" s="1"/>
      <c r="I3326" s="1"/>
      <c r="J3326" s="1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</row>
    <row r="3327" spans="2:73" s="38" customFormat="1">
      <c r="B3327" s="1"/>
      <c r="C3327" s="1"/>
      <c r="D3327" s="1"/>
      <c r="E3327" s="1"/>
      <c r="F3327" s="1"/>
      <c r="G3327" s="1"/>
      <c r="H3327" s="1"/>
      <c r="I3327" s="1"/>
      <c r="J3327" s="1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</row>
    <row r="3328" spans="2:73" s="38" customFormat="1">
      <c r="B3328" s="1"/>
      <c r="C3328" s="1"/>
      <c r="D3328" s="1"/>
      <c r="E3328" s="1"/>
      <c r="F3328" s="1"/>
      <c r="G3328" s="1"/>
      <c r="H3328" s="1"/>
      <c r="I3328" s="1"/>
      <c r="J3328" s="1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</row>
    <row r="3329" spans="2:73" s="38" customFormat="1">
      <c r="B3329" s="1"/>
      <c r="C3329" s="1"/>
      <c r="D3329" s="1"/>
      <c r="E3329" s="1"/>
      <c r="F3329" s="1"/>
      <c r="G3329" s="1"/>
      <c r="H3329" s="1"/>
      <c r="I3329" s="1"/>
      <c r="J3329" s="1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</row>
    <row r="3330" spans="2:73" s="38" customFormat="1">
      <c r="B3330" s="1"/>
      <c r="C3330" s="1"/>
      <c r="D3330" s="1"/>
      <c r="E3330" s="1"/>
      <c r="F3330" s="1"/>
      <c r="G3330" s="1"/>
      <c r="H3330" s="1"/>
      <c r="I3330" s="1"/>
      <c r="J3330" s="1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</row>
    <row r="3331" spans="2:73" s="38" customFormat="1">
      <c r="B3331" s="1"/>
      <c r="C3331" s="1"/>
      <c r="D3331" s="1"/>
      <c r="E3331" s="1"/>
      <c r="F3331" s="1"/>
      <c r="G3331" s="1"/>
      <c r="H3331" s="1"/>
      <c r="I3331" s="1"/>
      <c r="J3331" s="1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</row>
    <row r="3332" spans="2:73" s="38" customFormat="1">
      <c r="B3332" s="1"/>
      <c r="C3332" s="1"/>
      <c r="D3332" s="1"/>
      <c r="E3332" s="1"/>
      <c r="F3332" s="1"/>
      <c r="G3332" s="1"/>
      <c r="H3332" s="1"/>
      <c r="I3332" s="1"/>
      <c r="J3332" s="1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</row>
    <row r="3333" spans="2:73" s="38" customFormat="1">
      <c r="B3333" s="1"/>
      <c r="C3333" s="1"/>
      <c r="D3333" s="1"/>
      <c r="E3333" s="1"/>
      <c r="F3333" s="1"/>
      <c r="G3333" s="1"/>
      <c r="H3333" s="1"/>
      <c r="I3333" s="1"/>
      <c r="J3333" s="1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</row>
    <row r="3334" spans="2:73" s="38" customFormat="1">
      <c r="B3334" s="1"/>
      <c r="C3334" s="1"/>
      <c r="D3334" s="1"/>
      <c r="E3334" s="1"/>
      <c r="F3334" s="1"/>
      <c r="G3334" s="1"/>
      <c r="H3334" s="1"/>
      <c r="I3334" s="1"/>
      <c r="J3334" s="1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</row>
    <row r="3335" spans="2:73" s="38" customFormat="1">
      <c r="B3335" s="1"/>
      <c r="C3335" s="1"/>
      <c r="D3335" s="1"/>
      <c r="E3335" s="1"/>
      <c r="F3335" s="1"/>
      <c r="G3335" s="1"/>
      <c r="H3335" s="1"/>
      <c r="I3335" s="1"/>
      <c r="J3335" s="1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</row>
    <row r="3336" spans="2:73" s="38" customFormat="1">
      <c r="B3336" s="1"/>
      <c r="C3336" s="1"/>
      <c r="D3336" s="1"/>
      <c r="E3336" s="1"/>
      <c r="F3336" s="1"/>
      <c r="G3336" s="1"/>
      <c r="H3336" s="1"/>
      <c r="I3336" s="1"/>
      <c r="J3336" s="1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</row>
    <row r="3337" spans="2:73" s="38" customFormat="1">
      <c r="B3337" s="1"/>
      <c r="C3337" s="1"/>
      <c r="D3337" s="1"/>
      <c r="E3337" s="1"/>
      <c r="F3337" s="1"/>
      <c r="G3337" s="1"/>
      <c r="H3337" s="1"/>
      <c r="I3337" s="1"/>
      <c r="J3337" s="1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</row>
    <row r="3338" spans="2:73" s="38" customFormat="1">
      <c r="B3338" s="1"/>
      <c r="C3338" s="1"/>
      <c r="D3338" s="1"/>
      <c r="E3338" s="1"/>
      <c r="F3338" s="1"/>
      <c r="G3338" s="1"/>
      <c r="H3338" s="1"/>
      <c r="I3338" s="1"/>
      <c r="J3338" s="1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</row>
    <row r="3339" spans="2:73" s="38" customFormat="1">
      <c r="B3339" s="1"/>
      <c r="C3339" s="1"/>
      <c r="D3339" s="1"/>
      <c r="E3339" s="1"/>
      <c r="F3339" s="1"/>
      <c r="G3339" s="1"/>
      <c r="H3339" s="1"/>
      <c r="I3339" s="1"/>
      <c r="J3339" s="1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</row>
    <row r="3340" spans="2:73" s="38" customFormat="1">
      <c r="B3340" s="1"/>
      <c r="C3340" s="1"/>
      <c r="D3340" s="1"/>
      <c r="E3340" s="1"/>
      <c r="F3340" s="1"/>
      <c r="G3340" s="1"/>
      <c r="H3340" s="1"/>
      <c r="I3340" s="1"/>
      <c r="J3340" s="1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</row>
    <row r="3341" spans="2:73" s="38" customFormat="1">
      <c r="B3341" s="1"/>
      <c r="C3341" s="1"/>
      <c r="D3341" s="1"/>
      <c r="E3341" s="1"/>
      <c r="F3341" s="1"/>
      <c r="G3341" s="1"/>
      <c r="H3341" s="1"/>
      <c r="I3341" s="1"/>
      <c r="J3341" s="1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</row>
    <row r="3342" spans="2:73" s="38" customFormat="1">
      <c r="B3342" s="1"/>
      <c r="C3342" s="1"/>
      <c r="D3342" s="1"/>
      <c r="E3342" s="1"/>
      <c r="F3342" s="1"/>
      <c r="G3342" s="1"/>
      <c r="H3342" s="1"/>
      <c r="I3342" s="1"/>
      <c r="J3342" s="1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</row>
    <row r="3343" spans="2:73" s="38" customFormat="1">
      <c r="B3343" s="1"/>
      <c r="C3343" s="1"/>
      <c r="D3343" s="1"/>
      <c r="E3343" s="1"/>
      <c r="F3343" s="1"/>
      <c r="G3343" s="1"/>
      <c r="H3343" s="1"/>
      <c r="I3343" s="1"/>
      <c r="J3343" s="1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</row>
    <row r="3344" spans="2:73" s="38" customFormat="1">
      <c r="B3344" s="1"/>
      <c r="C3344" s="1"/>
      <c r="D3344" s="1"/>
      <c r="E3344" s="1"/>
      <c r="F3344" s="1"/>
      <c r="G3344" s="1"/>
      <c r="H3344" s="1"/>
      <c r="I3344" s="1"/>
      <c r="J3344" s="1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</row>
    <row r="3345" spans="2:73" s="38" customFormat="1">
      <c r="B3345" s="1"/>
      <c r="C3345" s="1"/>
      <c r="D3345" s="1"/>
      <c r="E3345" s="1"/>
      <c r="F3345" s="1"/>
      <c r="G3345" s="1"/>
      <c r="H3345" s="1"/>
      <c r="I3345" s="1"/>
      <c r="J3345" s="1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</row>
    <row r="3346" spans="2:73" s="38" customFormat="1">
      <c r="B3346" s="1"/>
      <c r="C3346" s="1"/>
      <c r="D3346" s="1"/>
      <c r="E3346" s="1"/>
      <c r="F3346" s="1"/>
      <c r="G3346" s="1"/>
      <c r="H3346" s="1"/>
      <c r="I3346" s="1"/>
      <c r="J3346" s="1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</row>
    <row r="3347" spans="2:73" s="38" customFormat="1">
      <c r="B3347" s="1"/>
      <c r="C3347" s="1"/>
      <c r="D3347" s="1"/>
      <c r="E3347" s="1"/>
      <c r="F3347" s="1"/>
      <c r="G3347" s="1"/>
      <c r="H3347" s="1"/>
      <c r="I3347" s="1"/>
      <c r="J3347" s="1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</row>
    <row r="3348" spans="2:73" s="38" customFormat="1">
      <c r="B3348" s="1"/>
      <c r="C3348" s="1"/>
      <c r="D3348" s="1"/>
      <c r="E3348" s="1"/>
      <c r="F3348" s="1"/>
      <c r="G3348" s="1"/>
      <c r="H3348" s="1"/>
      <c r="I3348" s="1"/>
      <c r="J3348" s="1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</row>
    <row r="3349" spans="2:73" s="38" customFormat="1">
      <c r="B3349" s="1"/>
      <c r="C3349" s="1"/>
      <c r="D3349" s="1"/>
      <c r="E3349" s="1"/>
      <c r="F3349" s="1"/>
      <c r="G3349" s="1"/>
      <c r="H3349" s="1"/>
      <c r="I3349" s="1"/>
      <c r="J3349" s="1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</row>
    <row r="3350" spans="2:73" s="38" customFormat="1">
      <c r="B3350" s="1"/>
      <c r="C3350" s="1"/>
      <c r="D3350" s="1"/>
      <c r="E3350" s="1"/>
      <c r="F3350" s="1"/>
      <c r="G3350" s="1"/>
      <c r="H3350" s="1"/>
      <c r="I3350" s="1"/>
      <c r="J3350" s="1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</row>
    <row r="3351" spans="2:73" s="38" customFormat="1">
      <c r="B3351" s="1"/>
      <c r="C3351" s="1"/>
      <c r="D3351" s="1"/>
      <c r="E3351" s="1"/>
      <c r="F3351" s="1"/>
      <c r="G3351" s="1"/>
      <c r="H3351" s="1"/>
      <c r="I3351" s="1"/>
      <c r="J3351" s="1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</row>
    <row r="3352" spans="2:73" s="38" customFormat="1">
      <c r="B3352" s="1"/>
      <c r="C3352" s="1"/>
      <c r="D3352" s="1"/>
      <c r="E3352" s="1"/>
      <c r="F3352" s="1"/>
      <c r="G3352" s="1"/>
      <c r="H3352" s="1"/>
      <c r="I3352" s="1"/>
      <c r="J3352" s="1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</row>
    <row r="3353" spans="2:73" s="38" customFormat="1">
      <c r="B3353" s="1"/>
      <c r="C3353" s="1"/>
      <c r="D3353" s="1"/>
      <c r="E3353" s="1"/>
      <c r="F3353" s="1"/>
      <c r="G3353" s="1"/>
      <c r="H3353" s="1"/>
      <c r="I3353" s="1"/>
      <c r="J3353" s="1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</row>
    <row r="3354" spans="2:73" s="38" customFormat="1">
      <c r="B3354" s="1"/>
      <c r="C3354" s="1"/>
      <c r="D3354" s="1"/>
      <c r="E3354" s="1"/>
      <c r="F3354" s="1"/>
      <c r="G3354" s="1"/>
      <c r="H3354" s="1"/>
      <c r="I3354" s="1"/>
      <c r="J3354" s="1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</row>
    <row r="3355" spans="2:73" s="38" customFormat="1">
      <c r="B3355" s="1"/>
      <c r="C3355" s="1"/>
      <c r="D3355" s="1"/>
      <c r="E3355" s="1"/>
      <c r="F3355" s="1"/>
      <c r="G3355" s="1"/>
      <c r="H3355" s="1"/>
      <c r="I3355" s="1"/>
      <c r="J3355" s="1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</row>
    <row r="3356" spans="2:73" s="38" customFormat="1">
      <c r="B3356" s="1"/>
      <c r="C3356" s="1"/>
      <c r="D3356" s="1"/>
      <c r="E3356" s="1"/>
      <c r="F3356" s="1"/>
      <c r="G3356" s="1"/>
      <c r="H3356" s="1"/>
      <c r="I3356" s="1"/>
      <c r="J3356" s="1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</row>
    <row r="3357" spans="2:73" s="38" customFormat="1">
      <c r="B3357" s="1"/>
      <c r="C3357" s="1"/>
      <c r="D3357" s="1"/>
      <c r="E3357" s="1"/>
      <c r="F3357" s="1"/>
      <c r="G3357" s="1"/>
      <c r="H3357" s="1"/>
      <c r="I3357" s="1"/>
      <c r="J3357" s="1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</row>
    <row r="3358" spans="2:73" s="38" customFormat="1">
      <c r="B3358" s="1"/>
      <c r="C3358" s="1"/>
      <c r="D3358" s="1"/>
      <c r="E3358" s="1"/>
      <c r="F3358" s="1"/>
      <c r="G3358" s="1"/>
      <c r="H3358" s="1"/>
      <c r="I3358" s="1"/>
      <c r="J3358" s="1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</row>
    <row r="3359" spans="2:73" s="38" customFormat="1">
      <c r="B3359" s="1"/>
      <c r="C3359" s="1"/>
      <c r="D3359" s="1"/>
      <c r="E3359" s="1"/>
      <c r="F3359" s="1"/>
      <c r="G3359" s="1"/>
      <c r="H3359" s="1"/>
      <c r="I3359" s="1"/>
      <c r="J3359" s="1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</row>
    <row r="3360" spans="2:73" s="38" customFormat="1">
      <c r="B3360" s="1"/>
      <c r="C3360" s="1"/>
      <c r="D3360" s="1"/>
      <c r="E3360" s="1"/>
      <c r="F3360" s="1"/>
      <c r="G3360" s="1"/>
      <c r="H3360" s="1"/>
      <c r="I3360" s="1"/>
      <c r="J3360" s="1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</row>
    <row r="3361" spans="2:73" s="38" customFormat="1">
      <c r="B3361" s="1"/>
      <c r="C3361" s="1"/>
      <c r="D3361" s="1"/>
      <c r="E3361" s="1"/>
      <c r="F3361" s="1"/>
      <c r="G3361" s="1"/>
      <c r="H3361" s="1"/>
      <c r="I3361" s="1"/>
      <c r="J3361" s="1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</row>
    <row r="3362" spans="2:73" s="38" customFormat="1">
      <c r="B3362" s="1"/>
      <c r="C3362" s="1"/>
      <c r="D3362" s="1"/>
      <c r="E3362" s="1"/>
      <c r="F3362" s="1"/>
      <c r="G3362" s="1"/>
      <c r="H3362" s="1"/>
      <c r="I3362" s="1"/>
      <c r="J3362" s="1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</row>
    <row r="3363" spans="2:73" s="38" customFormat="1">
      <c r="B3363" s="1"/>
      <c r="C3363" s="1"/>
      <c r="D3363" s="1"/>
      <c r="E3363" s="1"/>
      <c r="F3363" s="1"/>
      <c r="G3363" s="1"/>
      <c r="H3363" s="1"/>
      <c r="I3363" s="1"/>
      <c r="J3363" s="1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</row>
    <row r="3364" spans="2:73" s="38" customFormat="1">
      <c r="B3364" s="1"/>
      <c r="C3364" s="1"/>
      <c r="D3364" s="1"/>
      <c r="E3364" s="1"/>
      <c r="F3364" s="1"/>
      <c r="G3364" s="1"/>
      <c r="H3364" s="1"/>
      <c r="I3364" s="1"/>
      <c r="J3364" s="1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</row>
    <row r="3365" spans="2:73" s="38" customFormat="1">
      <c r="B3365" s="1"/>
      <c r="C3365" s="1"/>
      <c r="D3365" s="1"/>
      <c r="E3365" s="1"/>
      <c r="F3365" s="1"/>
      <c r="G3365" s="1"/>
      <c r="H3365" s="1"/>
      <c r="I3365" s="1"/>
      <c r="J3365" s="1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</row>
    <row r="3366" spans="2:73" s="38" customFormat="1">
      <c r="B3366" s="1"/>
      <c r="C3366" s="1"/>
      <c r="D3366" s="1"/>
      <c r="E3366" s="1"/>
      <c r="F3366" s="1"/>
      <c r="G3366" s="1"/>
      <c r="H3366" s="1"/>
      <c r="I3366" s="1"/>
      <c r="J3366" s="1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</row>
    <row r="3367" spans="2:73" s="38" customFormat="1">
      <c r="B3367" s="1"/>
      <c r="C3367" s="1"/>
      <c r="D3367" s="1"/>
      <c r="E3367" s="1"/>
      <c r="F3367" s="1"/>
      <c r="G3367" s="1"/>
      <c r="H3367" s="1"/>
      <c r="I3367" s="1"/>
      <c r="J3367" s="1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</row>
    <row r="3368" spans="2:73" s="38" customFormat="1">
      <c r="B3368" s="1"/>
      <c r="C3368" s="1"/>
      <c r="D3368" s="1"/>
      <c r="E3368" s="1"/>
      <c r="F3368" s="1"/>
      <c r="G3368" s="1"/>
      <c r="H3368" s="1"/>
      <c r="I3368" s="1"/>
      <c r="J3368" s="1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</row>
    <row r="3369" spans="2:73" s="38" customFormat="1">
      <c r="B3369" s="1"/>
      <c r="C3369" s="1"/>
      <c r="D3369" s="1"/>
      <c r="E3369" s="1"/>
      <c r="F3369" s="1"/>
      <c r="G3369" s="1"/>
      <c r="H3369" s="1"/>
      <c r="I3369" s="1"/>
      <c r="J3369" s="1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</row>
    <row r="3370" spans="2:73" s="38" customFormat="1">
      <c r="B3370" s="1"/>
      <c r="C3370" s="1"/>
      <c r="D3370" s="1"/>
      <c r="E3370" s="1"/>
      <c r="F3370" s="1"/>
      <c r="G3370" s="1"/>
      <c r="H3370" s="1"/>
      <c r="I3370" s="1"/>
      <c r="J3370" s="1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</row>
    <row r="3371" spans="2:73" s="38" customFormat="1">
      <c r="B3371" s="1"/>
      <c r="C3371" s="1"/>
      <c r="D3371" s="1"/>
      <c r="E3371" s="1"/>
      <c r="F3371" s="1"/>
      <c r="G3371" s="1"/>
      <c r="H3371" s="1"/>
      <c r="I3371" s="1"/>
      <c r="J3371" s="1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</row>
    <row r="3372" spans="2:73" s="38" customFormat="1">
      <c r="B3372" s="1"/>
      <c r="C3372" s="1"/>
      <c r="D3372" s="1"/>
      <c r="E3372" s="1"/>
      <c r="F3372" s="1"/>
      <c r="G3372" s="1"/>
      <c r="H3372" s="1"/>
      <c r="I3372" s="1"/>
      <c r="J3372" s="1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</row>
    <row r="3373" spans="2:73" s="38" customFormat="1">
      <c r="B3373" s="1"/>
      <c r="C3373" s="1"/>
      <c r="D3373" s="1"/>
      <c r="E3373" s="1"/>
      <c r="F3373" s="1"/>
      <c r="G3373" s="1"/>
      <c r="H3373" s="1"/>
      <c r="I3373" s="1"/>
      <c r="J3373" s="1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</row>
    <row r="3374" spans="2:73" s="38" customFormat="1">
      <c r="B3374" s="1"/>
      <c r="C3374" s="1"/>
      <c r="D3374" s="1"/>
      <c r="E3374" s="1"/>
      <c r="F3374" s="1"/>
      <c r="G3374" s="1"/>
      <c r="H3374" s="1"/>
      <c r="I3374" s="1"/>
      <c r="J3374" s="1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</row>
    <row r="3375" spans="2:73" s="38" customFormat="1">
      <c r="B3375" s="1"/>
      <c r="C3375" s="1"/>
      <c r="D3375" s="1"/>
      <c r="E3375" s="1"/>
      <c r="F3375" s="1"/>
      <c r="G3375" s="1"/>
      <c r="H3375" s="1"/>
      <c r="I3375" s="1"/>
      <c r="J3375" s="1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</row>
    <row r="3376" spans="2:73" s="38" customFormat="1">
      <c r="B3376" s="1"/>
      <c r="C3376" s="1"/>
      <c r="D3376" s="1"/>
      <c r="E3376" s="1"/>
      <c r="F3376" s="1"/>
      <c r="G3376" s="1"/>
      <c r="H3376" s="1"/>
      <c r="I3376" s="1"/>
      <c r="J3376" s="1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</row>
    <row r="3377" spans="2:73" s="38" customFormat="1">
      <c r="B3377" s="1"/>
      <c r="C3377" s="1"/>
      <c r="D3377" s="1"/>
      <c r="E3377" s="1"/>
      <c r="F3377" s="1"/>
      <c r="G3377" s="1"/>
      <c r="H3377" s="1"/>
      <c r="I3377" s="1"/>
      <c r="J3377" s="1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</row>
    <row r="3378" spans="2:73" s="38" customFormat="1">
      <c r="B3378" s="1"/>
      <c r="C3378" s="1"/>
      <c r="D3378" s="1"/>
      <c r="E3378" s="1"/>
      <c r="F3378" s="1"/>
      <c r="G3378" s="1"/>
      <c r="H3378" s="1"/>
      <c r="I3378" s="1"/>
      <c r="J3378" s="1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</row>
    <row r="3379" spans="2:73" s="38" customFormat="1">
      <c r="B3379" s="1"/>
      <c r="C3379" s="1"/>
      <c r="D3379" s="1"/>
      <c r="E3379" s="1"/>
      <c r="F3379" s="1"/>
      <c r="G3379" s="1"/>
      <c r="H3379" s="1"/>
      <c r="I3379" s="1"/>
      <c r="J3379" s="1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</row>
    <row r="3380" spans="2:73" s="38" customFormat="1">
      <c r="B3380" s="1"/>
      <c r="C3380" s="1"/>
      <c r="D3380" s="1"/>
      <c r="E3380" s="1"/>
      <c r="F3380" s="1"/>
      <c r="G3380" s="1"/>
      <c r="H3380" s="1"/>
      <c r="I3380" s="1"/>
      <c r="J3380" s="1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</row>
    <row r="3381" spans="2:73" s="38" customFormat="1">
      <c r="B3381" s="1"/>
      <c r="C3381" s="1"/>
      <c r="D3381" s="1"/>
      <c r="E3381" s="1"/>
      <c r="F3381" s="1"/>
      <c r="G3381" s="1"/>
      <c r="H3381" s="1"/>
      <c r="I3381" s="1"/>
      <c r="J3381" s="1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</row>
    <row r="3382" spans="2:73" s="38" customFormat="1">
      <c r="B3382" s="1"/>
      <c r="C3382" s="1"/>
      <c r="D3382" s="1"/>
      <c r="E3382" s="1"/>
      <c r="F3382" s="1"/>
      <c r="G3382" s="1"/>
      <c r="H3382" s="1"/>
      <c r="I3382" s="1"/>
      <c r="J3382" s="1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</row>
    <row r="3383" spans="2:73" s="38" customFormat="1">
      <c r="B3383" s="1"/>
      <c r="C3383" s="1"/>
      <c r="D3383" s="1"/>
      <c r="E3383" s="1"/>
      <c r="F3383" s="1"/>
      <c r="G3383" s="1"/>
      <c r="H3383" s="1"/>
      <c r="I3383" s="1"/>
      <c r="J3383" s="1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</row>
    <row r="3384" spans="2:73" s="38" customFormat="1">
      <c r="B3384" s="1"/>
      <c r="C3384" s="1"/>
      <c r="D3384" s="1"/>
      <c r="E3384" s="1"/>
      <c r="F3384" s="1"/>
      <c r="G3384" s="1"/>
      <c r="H3384" s="1"/>
      <c r="I3384" s="1"/>
      <c r="J3384" s="1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</row>
    <row r="3385" spans="2:73" s="38" customFormat="1">
      <c r="B3385" s="1"/>
      <c r="C3385" s="1"/>
      <c r="D3385" s="1"/>
      <c r="E3385" s="1"/>
      <c r="F3385" s="1"/>
      <c r="G3385" s="1"/>
      <c r="H3385" s="1"/>
      <c r="I3385" s="1"/>
      <c r="J3385" s="1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</row>
    <row r="3386" spans="2:73" s="38" customFormat="1">
      <c r="B3386" s="1"/>
      <c r="C3386" s="1"/>
      <c r="D3386" s="1"/>
      <c r="E3386" s="1"/>
      <c r="F3386" s="1"/>
      <c r="G3386" s="1"/>
      <c r="H3386" s="1"/>
      <c r="I3386" s="1"/>
      <c r="J3386" s="1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</row>
    <row r="3387" spans="2:73" s="38" customFormat="1">
      <c r="B3387" s="1"/>
      <c r="C3387" s="1"/>
      <c r="D3387" s="1"/>
      <c r="E3387" s="1"/>
      <c r="F3387" s="1"/>
      <c r="G3387" s="1"/>
      <c r="H3387" s="1"/>
      <c r="I3387" s="1"/>
      <c r="J3387" s="1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</row>
    <row r="3388" spans="2:73" s="38" customFormat="1">
      <c r="B3388" s="1"/>
      <c r="C3388" s="1"/>
      <c r="D3388" s="1"/>
      <c r="E3388" s="1"/>
      <c r="F3388" s="1"/>
      <c r="G3388" s="1"/>
      <c r="H3388" s="1"/>
      <c r="I3388" s="1"/>
      <c r="J3388" s="1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</row>
    <row r="3389" spans="2:73" s="38" customFormat="1">
      <c r="B3389" s="1"/>
      <c r="C3389" s="1"/>
      <c r="D3389" s="1"/>
      <c r="E3389" s="1"/>
      <c r="F3389" s="1"/>
      <c r="G3389" s="1"/>
      <c r="H3389" s="1"/>
      <c r="I3389" s="1"/>
      <c r="J3389" s="1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</row>
    <row r="3390" spans="2:73" s="38" customFormat="1">
      <c r="B3390" s="1"/>
      <c r="C3390" s="1"/>
      <c r="D3390" s="1"/>
      <c r="E3390" s="1"/>
      <c r="F3390" s="1"/>
      <c r="G3390" s="1"/>
      <c r="H3390" s="1"/>
      <c r="I3390" s="1"/>
      <c r="J3390" s="1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</row>
    <row r="3391" spans="2:73" s="38" customFormat="1">
      <c r="B3391" s="1"/>
      <c r="C3391" s="1"/>
      <c r="D3391" s="1"/>
      <c r="E3391" s="1"/>
      <c r="F3391" s="1"/>
      <c r="G3391" s="1"/>
      <c r="H3391" s="1"/>
      <c r="I3391" s="1"/>
      <c r="J3391" s="1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</row>
    <row r="3392" spans="2:73" s="38" customFormat="1">
      <c r="B3392" s="1"/>
      <c r="C3392" s="1"/>
      <c r="D3392" s="1"/>
      <c r="E3392" s="1"/>
      <c r="F3392" s="1"/>
      <c r="G3392" s="1"/>
      <c r="H3392" s="1"/>
      <c r="I3392" s="1"/>
      <c r="J3392" s="1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</row>
    <row r="3393" spans="2:73" s="38" customFormat="1">
      <c r="B3393" s="1"/>
      <c r="C3393" s="1"/>
      <c r="D3393" s="1"/>
      <c r="E3393" s="1"/>
      <c r="F3393" s="1"/>
      <c r="G3393" s="1"/>
      <c r="H3393" s="1"/>
      <c r="I3393" s="1"/>
      <c r="J3393" s="1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</row>
    <row r="3394" spans="2:73" s="38" customFormat="1">
      <c r="B3394" s="1"/>
      <c r="C3394" s="1"/>
      <c r="D3394" s="1"/>
      <c r="E3394" s="1"/>
      <c r="F3394" s="1"/>
      <c r="G3394" s="1"/>
      <c r="H3394" s="1"/>
      <c r="I3394" s="1"/>
      <c r="J3394" s="1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</row>
    <row r="3395" spans="2:73" s="38" customFormat="1">
      <c r="B3395" s="1"/>
      <c r="C3395" s="1"/>
      <c r="D3395" s="1"/>
      <c r="E3395" s="1"/>
      <c r="F3395" s="1"/>
      <c r="G3395" s="1"/>
      <c r="H3395" s="1"/>
      <c r="I3395" s="1"/>
      <c r="J3395" s="1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</row>
    <row r="3396" spans="2:73" s="38" customFormat="1">
      <c r="B3396" s="1"/>
      <c r="C3396" s="1"/>
      <c r="D3396" s="1"/>
      <c r="E3396" s="1"/>
      <c r="F3396" s="1"/>
      <c r="G3396" s="1"/>
      <c r="H3396" s="1"/>
      <c r="I3396" s="1"/>
      <c r="J3396" s="1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</row>
    <row r="3397" spans="2:73" s="38" customFormat="1">
      <c r="B3397" s="1"/>
      <c r="C3397" s="1"/>
      <c r="D3397" s="1"/>
      <c r="E3397" s="1"/>
      <c r="F3397" s="1"/>
      <c r="G3397" s="1"/>
      <c r="H3397" s="1"/>
      <c r="I3397" s="1"/>
      <c r="J3397" s="1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</row>
    <row r="3398" spans="2:73" s="38" customFormat="1">
      <c r="B3398" s="1"/>
      <c r="C3398" s="1"/>
      <c r="D3398" s="1"/>
      <c r="E3398" s="1"/>
      <c r="F3398" s="1"/>
      <c r="G3398" s="1"/>
      <c r="H3398" s="1"/>
      <c r="I3398" s="1"/>
      <c r="J3398" s="1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</row>
    <row r="3399" spans="2:73" s="38" customFormat="1">
      <c r="B3399" s="1"/>
      <c r="C3399" s="1"/>
      <c r="D3399" s="1"/>
      <c r="E3399" s="1"/>
      <c r="F3399" s="1"/>
      <c r="G3399" s="1"/>
      <c r="H3399" s="1"/>
      <c r="I3399" s="1"/>
      <c r="J3399" s="1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</row>
    <row r="3400" spans="2:73" s="38" customFormat="1">
      <c r="B3400" s="1"/>
      <c r="C3400" s="1"/>
      <c r="D3400" s="1"/>
      <c r="E3400" s="1"/>
      <c r="F3400" s="1"/>
      <c r="G3400" s="1"/>
      <c r="H3400" s="1"/>
      <c r="I3400" s="1"/>
      <c r="J3400" s="1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</row>
    <row r="3401" spans="2:73" s="38" customFormat="1">
      <c r="B3401" s="1"/>
      <c r="C3401" s="1"/>
      <c r="D3401" s="1"/>
      <c r="E3401" s="1"/>
      <c r="F3401" s="1"/>
      <c r="G3401" s="1"/>
      <c r="H3401" s="1"/>
      <c r="I3401" s="1"/>
      <c r="J3401" s="1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</row>
    <row r="3402" spans="2:73" s="38" customFormat="1">
      <c r="B3402" s="1"/>
      <c r="C3402" s="1"/>
      <c r="D3402" s="1"/>
      <c r="E3402" s="1"/>
      <c r="F3402" s="1"/>
      <c r="G3402" s="1"/>
      <c r="H3402" s="1"/>
      <c r="I3402" s="1"/>
      <c r="J3402" s="1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</row>
    <row r="3403" spans="2:73" s="38" customFormat="1">
      <c r="B3403" s="1"/>
      <c r="C3403" s="1"/>
      <c r="D3403" s="1"/>
      <c r="E3403" s="1"/>
      <c r="F3403" s="1"/>
      <c r="G3403" s="1"/>
      <c r="H3403" s="1"/>
      <c r="I3403" s="1"/>
      <c r="J3403" s="1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</row>
    <row r="3404" spans="2:73" s="38" customFormat="1">
      <c r="B3404" s="1"/>
      <c r="C3404" s="1"/>
      <c r="D3404" s="1"/>
      <c r="E3404" s="1"/>
      <c r="F3404" s="1"/>
      <c r="G3404" s="1"/>
      <c r="H3404" s="1"/>
      <c r="I3404" s="1"/>
      <c r="J3404" s="1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</row>
    <row r="3405" spans="2:73" s="38" customFormat="1">
      <c r="B3405" s="1"/>
      <c r="C3405" s="1"/>
      <c r="D3405" s="1"/>
      <c r="E3405" s="1"/>
      <c r="F3405" s="1"/>
      <c r="G3405" s="1"/>
      <c r="H3405" s="1"/>
      <c r="I3405" s="1"/>
      <c r="J3405" s="1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</row>
    <row r="3406" spans="2:73" s="38" customFormat="1">
      <c r="B3406" s="1"/>
      <c r="C3406" s="1"/>
      <c r="D3406" s="1"/>
      <c r="E3406" s="1"/>
      <c r="F3406" s="1"/>
      <c r="G3406" s="1"/>
      <c r="H3406" s="1"/>
      <c r="I3406" s="1"/>
      <c r="J3406" s="1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</row>
    <row r="3407" spans="2:73" s="38" customFormat="1">
      <c r="B3407" s="1"/>
      <c r="C3407" s="1"/>
      <c r="D3407" s="1"/>
      <c r="E3407" s="1"/>
      <c r="F3407" s="1"/>
      <c r="G3407" s="1"/>
      <c r="H3407" s="1"/>
      <c r="I3407" s="1"/>
      <c r="J3407" s="1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</row>
    <row r="3408" spans="2:73" s="38" customFormat="1">
      <c r="B3408" s="1"/>
      <c r="C3408" s="1"/>
      <c r="D3408" s="1"/>
      <c r="E3408" s="1"/>
      <c r="F3408" s="1"/>
      <c r="G3408" s="1"/>
      <c r="H3408" s="1"/>
      <c r="I3408" s="1"/>
      <c r="J3408" s="1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</row>
    <row r="3409" spans="2:73" s="38" customFormat="1">
      <c r="B3409" s="1"/>
      <c r="C3409" s="1"/>
      <c r="D3409" s="1"/>
      <c r="E3409" s="1"/>
      <c r="F3409" s="1"/>
      <c r="G3409" s="1"/>
      <c r="H3409" s="1"/>
      <c r="I3409" s="1"/>
      <c r="J3409" s="1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</row>
    <row r="3410" spans="2:73" s="38" customFormat="1">
      <c r="B3410" s="1"/>
      <c r="C3410" s="1"/>
      <c r="D3410" s="1"/>
      <c r="E3410" s="1"/>
      <c r="F3410" s="1"/>
      <c r="G3410" s="1"/>
      <c r="H3410" s="1"/>
      <c r="I3410" s="1"/>
      <c r="J3410" s="1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</row>
    <row r="3411" spans="2:73" s="38" customFormat="1">
      <c r="B3411" s="1"/>
      <c r="C3411" s="1"/>
      <c r="D3411" s="1"/>
      <c r="E3411" s="1"/>
      <c r="F3411" s="1"/>
      <c r="G3411" s="1"/>
      <c r="H3411" s="1"/>
      <c r="I3411" s="1"/>
      <c r="J3411" s="1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</row>
    <row r="3412" spans="2:73" s="38" customFormat="1">
      <c r="B3412" s="1"/>
      <c r="C3412" s="1"/>
      <c r="D3412" s="1"/>
      <c r="E3412" s="1"/>
      <c r="F3412" s="1"/>
      <c r="G3412" s="1"/>
      <c r="H3412" s="1"/>
      <c r="I3412" s="1"/>
      <c r="J3412" s="1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</row>
    <row r="3413" spans="2:73" s="38" customFormat="1">
      <c r="B3413" s="1"/>
      <c r="C3413" s="1"/>
      <c r="D3413" s="1"/>
      <c r="E3413" s="1"/>
      <c r="F3413" s="1"/>
      <c r="G3413" s="1"/>
      <c r="H3413" s="1"/>
      <c r="I3413" s="1"/>
      <c r="J3413" s="1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</row>
    <row r="3414" spans="2:73" s="38" customFormat="1">
      <c r="B3414" s="1"/>
      <c r="C3414" s="1"/>
      <c r="D3414" s="1"/>
      <c r="E3414" s="1"/>
      <c r="F3414" s="1"/>
      <c r="G3414" s="1"/>
      <c r="H3414" s="1"/>
      <c r="I3414" s="1"/>
      <c r="J3414" s="1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</row>
    <row r="3415" spans="2:73" s="38" customFormat="1">
      <c r="B3415" s="1"/>
      <c r="C3415" s="1"/>
      <c r="D3415" s="1"/>
      <c r="E3415" s="1"/>
      <c r="F3415" s="1"/>
      <c r="G3415" s="1"/>
      <c r="H3415" s="1"/>
      <c r="I3415" s="1"/>
      <c r="J3415" s="1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</row>
    <row r="3416" spans="2:73" s="38" customFormat="1">
      <c r="B3416" s="1"/>
      <c r="C3416" s="1"/>
      <c r="D3416" s="1"/>
      <c r="E3416" s="1"/>
      <c r="F3416" s="1"/>
      <c r="G3416" s="1"/>
      <c r="H3416" s="1"/>
      <c r="I3416" s="1"/>
      <c r="J3416" s="1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</row>
    <row r="3417" spans="2:73" s="38" customFormat="1">
      <c r="B3417" s="1"/>
      <c r="C3417" s="1"/>
      <c r="D3417" s="1"/>
      <c r="E3417" s="1"/>
      <c r="F3417" s="1"/>
      <c r="G3417" s="1"/>
      <c r="H3417" s="1"/>
      <c r="I3417" s="1"/>
      <c r="J3417" s="1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</row>
    <row r="3418" spans="2:73" s="38" customFormat="1">
      <c r="B3418" s="1"/>
      <c r="C3418" s="1"/>
      <c r="D3418" s="1"/>
      <c r="E3418" s="1"/>
      <c r="F3418" s="1"/>
      <c r="G3418" s="1"/>
      <c r="H3418" s="1"/>
      <c r="I3418" s="1"/>
      <c r="J3418" s="1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</row>
    <row r="3419" spans="2:73" s="38" customFormat="1">
      <c r="B3419" s="1"/>
      <c r="C3419" s="1"/>
      <c r="D3419" s="1"/>
      <c r="E3419" s="1"/>
      <c r="F3419" s="1"/>
      <c r="G3419" s="1"/>
      <c r="H3419" s="1"/>
      <c r="I3419" s="1"/>
      <c r="J3419" s="1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</row>
    <row r="3420" spans="2:73" s="38" customFormat="1">
      <c r="B3420" s="1"/>
      <c r="C3420" s="1"/>
      <c r="D3420" s="1"/>
      <c r="E3420" s="1"/>
      <c r="F3420" s="1"/>
      <c r="G3420" s="1"/>
      <c r="H3420" s="1"/>
      <c r="I3420" s="1"/>
      <c r="J3420" s="1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</row>
    <row r="3421" spans="2:73" s="38" customFormat="1">
      <c r="B3421" s="1"/>
      <c r="C3421" s="1"/>
      <c r="D3421" s="1"/>
      <c r="E3421" s="1"/>
      <c r="F3421" s="1"/>
      <c r="G3421" s="1"/>
      <c r="H3421" s="1"/>
      <c r="I3421" s="1"/>
      <c r="J3421" s="1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</row>
    <row r="3422" spans="2:73" s="38" customFormat="1">
      <c r="B3422" s="1"/>
      <c r="C3422" s="1"/>
      <c r="D3422" s="1"/>
      <c r="E3422" s="1"/>
      <c r="F3422" s="1"/>
      <c r="G3422" s="1"/>
      <c r="H3422" s="1"/>
      <c r="I3422" s="1"/>
      <c r="J3422" s="1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</row>
    <row r="3423" spans="2:73" s="38" customFormat="1">
      <c r="B3423" s="1"/>
      <c r="C3423" s="1"/>
      <c r="D3423" s="1"/>
      <c r="E3423" s="1"/>
      <c r="F3423" s="1"/>
      <c r="G3423" s="1"/>
      <c r="H3423" s="1"/>
      <c r="I3423" s="1"/>
      <c r="J3423" s="1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</row>
    <row r="3424" spans="2:73" s="38" customFormat="1">
      <c r="B3424" s="1"/>
      <c r="C3424" s="1"/>
      <c r="D3424" s="1"/>
      <c r="E3424" s="1"/>
      <c r="F3424" s="1"/>
      <c r="G3424" s="1"/>
      <c r="H3424" s="1"/>
      <c r="I3424" s="1"/>
      <c r="J3424" s="1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</row>
    <row r="3425" spans="2:73" s="38" customFormat="1">
      <c r="B3425" s="1"/>
      <c r="C3425" s="1"/>
      <c r="D3425" s="1"/>
      <c r="E3425" s="1"/>
      <c r="F3425" s="1"/>
      <c r="G3425" s="1"/>
      <c r="H3425" s="1"/>
      <c r="I3425" s="1"/>
      <c r="J3425" s="1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</row>
    <row r="3426" spans="2:73" s="38" customFormat="1">
      <c r="B3426" s="1"/>
      <c r="C3426" s="1"/>
      <c r="D3426" s="1"/>
      <c r="E3426" s="1"/>
      <c r="F3426" s="1"/>
      <c r="G3426" s="1"/>
      <c r="H3426" s="1"/>
      <c r="I3426" s="1"/>
      <c r="J3426" s="1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</row>
    <row r="3427" spans="2:73" s="38" customFormat="1">
      <c r="B3427" s="1"/>
      <c r="C3427" s="1"/>
      <c r="D3427" s="1"/>
      <c r="E3427" s="1"/>
      <c r="F3427" s="1"/>
      <c r="G3427" s="1"/>
      <c r="H3427" s="1"/>
      <c r="I3427" s="1"/>
      <c r="J3427" s="1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</row>
    <row r="3428" spans="2:73" s="38" customFormat="1">
      <c r="B3428" s="1"/>
      <c r="C3428" s="1"/>
      <c r="D3428" s="1"/>
      <c r="E3428" s="1"/>
      <c r="F3428" s="1"/>
      <c r="G3428" s="1"/>
      <c r="H3428" s="1"/>
      <c r="I3428" s="1"/>
      <c r="J3428" s="1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</row>
    <row r="3429" spans="2:73" s="38" customFormat="1">
      <c r="B3429" s="1"/>
      <c r="C3429" s="1"/>
      <c r="D3429" s="1"/>
      <c r="E3429" s="1"/>
      <c r="F3429" s="1"/>
      <c r="G3429" s="1"/>
      <c r="H3429" s="1"/>
      <c r="I3429" s="1"/>
      <c r="J3429" s="1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</row>
    <row r="3430" spans="2:73" s="38" customFormat="1">
      <c r="B3430" s="1"/>
      <c r="C3430" s="1"/>
      <c r="D3430" s="1"/>
      <c r="E3430" s="1"/>
      <c r="F3430" s="1"/>
      <c r="G3430" s="1"/>
      <c r="H3430" s="1"/>
      <c r="I3430" s="1"/>
      <c r="J3430" s="1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</row>
    <row r="3431" spans="2:73" s="38" customFormat="1">
      <c r="B3431" s="1"/>
      <c r="C3431" s="1"/>
      <c r="D3431" s="1"/>
      <c r="E3431" s="1"/>
      <c r="F3431" s="1"/>
      <c r="G3431" s="1"/>
      <c r="H3431" s="1"/>
      <c r="I3431" s="1"/>
      <c r="J3431" s="1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</row>
    <row r="3432" spans="2:73" s="38" customFormat="1">
      <c r="B3432" s="1"/>
      <c r="C3432" s="1"/>
      <c r="D3432" s="1"/>
      <c r="E3432" s="1"/>
      <c r="F3432" s="1"/>
      <c r="G3432" s="1"/>
      <c r="H3432" s="1"/>
      <c r="I3432" s="1"/>
      <c r="J3432" s="1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</row>
    <row r="3433" spans="2:73" s="38" customFormat="1">
      <c r="B3433" s="1"/>
      <c r="C3433" s="1"/>
      <c r="D3433" s="1"/>
      <c r="E3433" s="1"/>
      <c r="F3433" s="1"/>
      <c r="G3433" s="1"/>
      <c r="H3433" s="1"/>
      <c r="I3433" s="1"/>
      <c r="J3433" s="1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</row>
    <row r="3434" spans="2:73" s="38" customFormat="1">
      <c r="B3434" s="1"/>
      <c r="C3434" s="1"/>
      <c r="D3434" s="1"/>
      <c r="E3434" s="1"/>
      <c r="F3434" s="1"/>
      <c r="G3434" s="1"/>
      <c r="H3434" s="1"/>
      <c r="I3434" s="1"/>
      <c r="J3434" s="1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</row>
    <row r="3435" spans="2:73" s="38" customFormat="1">
      <c r="B3435" s="1"/>
      <c r="C3435" s="1"/>
      <c r="D3435" s="1"/>
      <c r="E3435" s="1"/>
      <c r="F3435" s="1"/>
      <c r="G3435" s="1"/>
      <c r="H3435" s="1"/>
      <c r="I3435" s="1"/>
      <c r="J3435" s="1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</row>
    <row r="3436" spans="2:73" s="38" customFormat="1">
      <c r="B3436" s="1"/>
      <c r="C3436" s="1"/>
      <c r="D3436" s="1"/>
      <c r="E3436" s="1"/>
      <c r="F3436" s="1"/>
      <c r="G3436" s="1"/>
      <c r="H3436" s="1"/>
      <c r="I3436" s="1"/>
      <c r="J3436" s="1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</row>
    <row r="3437" spans="2:73" s="38" customFormat="1">
      <c r="B3437" s="1"/>
      <c r="C3437" s="1"/>
      <c r="D3437" s="1"/>
      <c r="E3437" s="1"/>
      <c r="F3437" s="1"/>
      <c r="G3437" s="1"/>
      <c r="H3437" s="1"/>
      <c r="I3437" s="1"/>
      <c r="J3437" s="1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</row>
    <row r="3438" spans="2:73" s="38" customFormat="1">
      <c r="B3438" s="1"/>
      <c r="C3438" s="1"/>
      <c r="D3438" s="1"/>
      <c r="E3438" s="1"/>
      <c r="F3438" s="1"/>
      <c r="G3438" s="1"/>
      <c r="H3438" s="1"/>
      <c r="I3438" s="1"/>
      <c r="J3438" s="1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</row>
    <row r="3439" spans="2:73" s="38" customFormat="1">
      <c r="B3439" s="1"/>
      <c r="C3439" s="1"/>
      <c r="D3439" s="1"/>
      <c r="E3439" s="1"/>
      <c r="F3439" s="1"/>
      <c r="G3439" s="1"/>
      <c r="H3439" s="1"/>
      <c r="I3439" s="1"/>
      <c r="J3439" s="1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</row>
    <row r="3440" spans="2:73" s="38" customFormat="1">
      <c r="B3440" s="1"/>
      <c r="C3440" s="1"/>
      <c r="D3440" s="1"/>
      <c r="E3440" s="1"/>
      <c r="F3440" s="1"/>
      <c r="G3440" s="1"/>
      <c r="H3440" s="1"/>
      <c r="I3440" s="1"/>
      <c r="J3440" s="1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</row>
    <row r="3441" spans="2:73" s="38" customFormat="1">
      <c r="B3441" s="1"/>
      <c r="C3441" s="1"/>
      <c r="D3441" s="1"/>
      <c r="E3441" s="1"/>
      <c r="F3441" s="1"/>
      <c r="G3441" s="1"/>
      <c r="H3441" s="1"/>
      <c r="I3441" s="1"/>
      <c r="J3441" s="1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</row>
    <row r="3442" spans="2:73" s="38" customFormat="1">
      <c r="B3442" s="1"/>
      <c r="C3442" s="1"/>
      <c r="D3442" s="1"/>
      <c r="E3442" s="1"/>
      <c r="F3442" s="1"/>
      <c r="G3442" s="1"/>
      <c r="H3442" s="1"/>
      <c r="I3442" s="1"/>
      <c r="J3442" s="1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</row>
    <row r="3443" spans="2:73" s="38" customFormat="1">
      <c r="B3443" s="1"/>
      <c r="C3443" s="1"/>
      <c r="D3443" s="1"/>
      <c r="E3443" s="1"/>
      <c r="F3443" s="1"/>
      <c r="G3443" s="1"/>
      <c r="H3443" s="1"/>
      <c r="I3443" s="1"/>
      <c r="J3443" s="1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</row>
    <row r="3444" spans="2:73" s="38" customFormat="1">
      <c r="B3444" s="1"/>
      <c r="C3444" s="1"/>
      <c r="D3444" s="1"/>
      <c r="E3444" s="1"/>
      <c r="F3444" s="1"/>
      <c r="G3444" s="1"/>
      <c r="H3444" s="1"/>
      <c r="I3444" s="1"/>
      <c r="J3444" s="1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</row>
    <row r="3445" spans="2:73" s="38" customFormat="1">
      <c r="B3445" s="1"/>
      <c r="C3445" s="1"/>
      <c r="D3445" s="1"/>
      <c r="E3445" s="1"/>
      <c r="F3445" s="1"/>
      <c r="G3445" s="1"/>
      <c r="H3445" s="1"/>
      <c r="I3445" s="1"/>
      <c r="J3445" s="1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</row>
    <row r="3446" spans="2:73" s="38" customFormat="1">
      <c r="B3446" s="1"/>
      <c r="C3446" s="1"/>
      <c r="D3446" s="1"/>
      <c r="E3446" s="1"/>
      <c r="F3446" s="1"/>
      <c r="G3446" s="1"/>
      <c r="H3446" s="1"/>
      <c r="I3446" s="1"/>
      <c r="J3446" s="1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</row>
    <row r="3447" spans="2:73" s="38" customFormat="1">
      <c r="B3447" s="1"/>
      <c r="C3447" s="1"/>
      <c r="D3447" s="1"/>
      <c r="E3447" s="1"/>
      <c r="F3447" s="1"/>
      <c r="G3447" s="1"/>
      <c r="H3447" s="1"/>
      <c r="I3447" s="1"/>
      <c r="J3447" s="1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</row>
    <row r="3448" spans="2:73" s="38" customFormat="1">
      <c r="B3448" s="1"/>
      <c r="C3448" s="1"/>
      <c r="D3448" s="1"/>
      <c r="E3448" s="1"/>
      <c r="F3448" s="1"/>
      <c r="G3448" s="1"/>
      <c r="H3448" s="1"/>
      <c r="I3448" s="1"/>
      <c r="J3448" s="1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</row>
    <row r="3449" spans="2:73" s="38" customFormat="1">
      <c r="B3449" s="1"/>
      <c r="C3449" s="1"/>
      <c r="D3449" s="1"/>
      <c r="E3449" s="1"/>
      <c r="F3449" s="1"/>
      <c r="G3449" s="1"/>
      <c r="H3449" s="1"/>
      <c r="I3449" s="1"/>
      <c r="J3449" s="1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</row>
    <row r="3450" spans="2:73" s="38" customFormat="1">
      <c r="B3450" s="1"/>
      <c r="C3450" s="1"/>
      <c r="D3450" s="1"/>
      <c r="E3450" s="1"/>
      <c r="F3450" s="1"/>
      <c r="G3450" s="1"/>
      <c r="H3450" s="1"/>
      <c r="I3450" s="1"/>
      <c r="J3450" s="1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</row>
    <row r="3451" spans="2:73" s="38" customFormat="1">
      <c r="B3451" s="1"/>
      <c r="C3451" s="1"/>
      <c r="D3451" s="1"/>
      <c r="E3451" s="1"/>
      <c r="F3451" s="1"/>
      <c r="G3451" s="1"/>
      <c r="H3451" s="1"/>
      <c r="I3451" s="1"/>
      <c r="J3451" s="1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</row>
    <row r="3452" spans="2:73" s="38" customFormat="1">
      <c r="B3452" s="1"/>
      <c r="C3452" s="1"/>
      <c r="D3452" s="1"/>
      <c r="E3452" s="1"/>
      <c r="F3452" s="1"/>
      <c r="G3452" s="1"/>
      <c r="H3452" s="1"/>
      <c r="I3452" s="1"/>
      <c r="J3452" s="1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</row>
    <row r="3453" spans="2:73" s="38" customFormat="1">
      <c r="B3453" s="1"/>
      <c r="C3453" s="1"/>
      <c r="D3453" s="1"/>
      <c r="E3453" s="1"/>
      <c r="F3453" s="1"/>
      <c r="G3453" s="1"/>
      <c r="H3453" s="1"/>
      <c r="I3453" s="1"/>
      <c r="J3453" s="1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</row>
    <row r="3454" spans="2:73" s="38" customFormat="1">
      <c r="B3454" s="1"/>
      <c r="C3454" s="1"/>
      <c r="D3454" s="1"/>
      <c r="E3454" s="1"/>
      <c r="F3454" s="1"/>
      <c r="G3454" s="1"/>
      <c r="H3454" s="1"/>
      <c r="I3454" s="1"/>
      <c r="J3454" s="1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</row>
    <row r="3455" spans="2:73" s="38" customFormat="1">
      <c r="B3455" s="1"/>
      <c r="C3455" s="1"/>
      <c r="D3455" s="1"/>
      <c r="E3455" s="1"/>
      <c r="F3455" s="1"/>
      <c r="G3455" s="1"/>
      <c r="H3455" s="1"/>
      <c r="I3455" s="1"/>
      <c r="J3455" s="1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</row>
    <row r="3456" spans="2:73" s="38" customFormat="1">
      <c r="B3456" s="1"/>
      <c r="C3456" s="1"/>
      <c r="D3456" s="1"/>
      <c r="E3456" s="1"/>
      <c r="F3456" s="1"/>
      <c r="G3456" s="1"/>
      <c r="H3456" s="1"/>
      <c r="I3456" s="1"/>
      <c r="J3456" s="1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</row>
    <row r="3457" spans="2:73" s="38" customFormat="1">
      <c r="B3457" s="1"/>
      <c r="C3457" s="1"/>
      <c r="D3457" s="1"/>
      <c r="E3457" s="1"/>
      <c r="F3457" s="1"/>
      <c r="G3457" s="1"/>
      <c r="H3457" s="1"/>
      <c r="I3457" s="1"/>
      <c r="J3457" s="1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</row>
    <row r="3458" spans="2:73" s="38" customFormat="1">
      <c r="B3458" s="1"/>
      <c r="C3458" s="1"/>
      <c r="D3458" s="1"/>
      <c r="E3458" s="1"/>
      <c r="F3458" s="1"/>
      <c r="G3458" s="1"/>
      <c r="H3458" s="1"/>
      <c r="I3458" s="1"/>
      <c r="J3458" s="1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</row>
    <row r="3459" spans="2:73" s="38" customFormat="1">
      <c r="B3459" s="1"/>
      <c r="C3459" s="1"/>
      <c r="D3459" s="1"/>
      <c r="E3459" s="1"/>
      <c r="F3459" s="1"/>
      <c r="G3459" s="1"/>
      <c r="H3459" s="1"/>
      <c r="I3459" s="1"/>
      <c r="J3459" s="1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</row>
    <row r="3460" spans="2:73" s="38" customFormat="1">
      <c r="B3460" s="1"/>
      <c r="C3460" s="1"/>
      <c r="D3460" s="1"/>
      <c r="E3460" s="1"/>
      <c r="F3460" s="1"/>
      <c r="G3460" s="1"/>
      <c r="H3460" s="1"/>
      <c r="I3460" s="1"/>
      <c r="J3460" s="1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</row>
    <row r="3461" spans="2:73" s="38" customFormat="1">
      <c r="B3461" s="1"/>
      <c r="C3461" s="1"/>
      <c r="D3461" s="1"/>
      <c r="E3461" s="1"/>
      <c r="F3461" s="1"/>
      <c r="G3461" s="1"/>
      <c r="H3461" s="1"/>
      <c r="I3461" s="1"/>
      <c r="J3461" s="1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</row>
    <row r="3462" spans="2:73" s="38" customFormat="1">
      <c r="B3462" s="1"/>
      <c r="C3462" s="1"/>
      <c r="D3462" s="1"/>
      <c r="E3462" s="1"/>
      <c r="F3462" s="1"/>
      <c r="G3462" s="1"/>
      <c r="H3462" s="1"/>
      <c r="I3462" s="1"/>
      <c r="J3462" s="1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</row>
    <row r="3463" spans="2:73" s="38" customFormat="1">
      <c r="B3463" s="1"/>
      <c r="C3463" s="1"/>
      <c r="D3463" s="1"/>
      <c r="E3463" s="1"/>
      <c r="F3463" s="1"/>
      <c r="G3463" s="1"/>
      <c r="H3463" s="1"/>
      <c r="I3463" s="1"/>
      <c r="J3463" s="1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</row>
    <row r="3464" spans="2:73" s="38" customFormat="1">
      <c r="B3464" s="1"/>
      <c r="C3464" s="1"/>
      <c r="D3464" s="1"/>
      <c r="E3464" s="1"/>
      <c r="F3464" s="1"/>
      <c r="G3464" s="1"/>
      <c r="H3464" s="1"/>
      <c r="I3464" s="1"/>
      <c r="J3464" s="1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</row>
    <row r="3465" spans="2:73" s="38" customFormat="1">
      <c r="B3465" s="1"/>
      <c r="C3465" s="1"/>
      <c r="D3465" s="1"/>
      <c r="E3465" s="1"/>
      <c r="F3465" s="1"/>
      <c r="G3465" s="1"/>
      <c r="H3465" s="1"/>
      <c r="I3465" s="1"/>
      <c r="J3465" s="1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</row>
    <row r="3466" spans="2:73" s="38" customFormat="1">
      <c r="B3466" s="1"/>
      <c r="C3466" s="1"/>
      <c r="D3466" s="1"/>
      <c r="E3466" s="1"/>
      <c r="F3466" s="1"/>
      <c r="G3466" s="1"/>
      <c r="H3466" s="1"/>
      <c r="I3466" s="1"/>
      <c r="J3466" s="1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</row>
    <row r="3467" spans="2:73" s="38" customFormat="1">
      <c r="B3467" s="1"/>
      <c r="C3467" s="1"/>
      <c r="D3467" s="1"/>
      <c r="E3467" s="1"/>
      <c r="F3467" s="1"/>
      <c r="G3467" s="1"/>
      <c r="H3467" s="1"/>
      <c r="I3467" s="1"/>
      <c r="J3467" s="1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</row>
    <row r="3468" spans="2:73" s="38" customFormat="1">
      <c r="B3468" s="1"/>
      <c r="C3468" s="1"/>
      <c r="D3468" s="1"/>
      <c r="E3468" s="1"/>
      <c r="F3468" s="1"/>
      <c r="G3468" s="1"/>
      <c r="H3468" s="1"/>
      <c r="I3468" s="1"/>
      <c r="J3468" s="1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</row>
    <row r="3469" spans="2:73" s="38" customFormat="1">
      <c r="B3469" s="1"/>
      <c r="C3469" s="1"/>
      <c r="D3469" s="1"/>
      <c r="E3469" s="1"/>
      <c r="F3469" s="1"/>
      <c r="G3469" s="1"/>
      <c r="H3469" s="1"/>
      <c r="I3469" s="1"/>
      <c r="J3469" s="1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</row>
    <row r="3470" spans="2:73" s="38" customFormat="1">
      <c r="B3470" s="1"/>
      <c r="C3470" s="1"/>
      <c r="D3470" s="1"/>
      <c r="E3470" s="1"/>
      <c r="F3470" s="1"/>
      <c r="G3470" s="1"/>
      <c r="H3470" s="1"/>
      <c r="I3470" s="1"/>
      <c r="J3470" s="1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</row>
    <row r="3471" spans="2:73" s="38" customFormat="1">
      <c r="B3471" s="1"/>
      <c r="C3471" s="1"/>
      <c r="D3471" s="1"/>
      <c r="E3471" s="1"/>
      <c r="F3471" s="1"/>
      <c r="G3471" s="1"/>
      <c r="H3471" s="1"/>
      <c r="I3471" s="1"/>
      <c r="J3471" s="1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</row>
    <row r="3472" spans="2:73" s="38" customFormat="1">
      <c r="B3472" s="1"/>
      <c r="C3472" s="1"/>
      <c r="D3472" s="1"/>
      <c r="E3472" s="1"/>
      <c r="F3472" s="1"/>
      <c r="G3472" s="1"/>
      <c r="H3472" s="1"/>
      <c r="I3472" s="1"/>
      <c r="J3472" s="1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</row>
    <row r="3473" spans="2:73" s="38" customFormat="1">
      <c r="B3473" s="1"/>
      <c r="C3473" s="1"/>
      <c r="D3473" s="1"/>
      <c r="E3473" s="1"/>
      <c r="F3473" s="1"/>
      <c r="G3473" s="1"/>
      <c r="H3473" s="1"/>
      <c r="I3473" s="1"/>
      <c r="J3473" s="1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</row>
    <row r="3474" spans="2:73" s="38" customFormat="1">
      <c r="B3474" s="1"/>
      <c r="C3474" s="1"/>
      <c r="D3474" s="1"/>
      <c r="E3474" s="1"/>
      <c r="F3474" s="1"/>
      <c r="G3474" s="1"/>
      <c r="H3474" s="1"/>
      <c r="I3474" s="1"/>
      <c r="J3474" s="1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</row>
    <row r="3475" spans="2:73" s="38" customFormat="1">
      <c r="B3475" s="1"/>
      <c r="C3475" s="1"/>
      <c r="D3475" s="1"/>
      <c r="E3475" s="1"/>
      <c r="F3475" s="1"/>
      <c r="G3475" s="1"/>
      <c r="H3475" s="1"/>
      <c r="I3475" s="1"/>
      <c r="J3475" s="1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</row>
    <row r="3476" spans="2:73" s="38" customFormat="1">
      <c r="B3476" s="1"/>
      <c r="C3476" s="1"/>
      <c r="D3476" s="1"/>
      <c r="E3476" s="1"/>
      <c r="F3476" s="1"/>
      <c r="G3476" s="1"/>
      <c r="H3476" s="1"/>
      <c r="I3476" s="1"/>
      <c r="J3476" s="1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</row>
    <row r="3477" spans="2:73" s="38" customFormat="1">
      <c r="B3477" s="1"/>
      <c r="C3477" s="1"/>
      <c r="D3477" s="1"/>
      <c r="E3477" s="1"/>
      <c r="F3477" s="1"/>
      <c r="G3477" s="1"/>
      <c r="H3477" s="1"/>
      <c r="I3477" s="1"/>
      <c r="J3477" s="1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</row>
    <row r="3478" spans="2:73" s="38" customFormat="1">
      <c r="B3478" s="1"/>
      <c r="C3478" s="1"/>
      <c r="D3478" s="1"/>
      <c r="E3478" s="1"/>
      <c r="F3478" s="1"/>
      <c r="G3478" s="1"/>
      <c r="H3478" s="1"/>
      <c r="I3478" s="1"/>
      <c r="J3478" s="1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</row>
    <row r="3479" spans="2:73" s="38" customFormat="1">
      <c r="B3479" s="1"/>
      <c r="C3479" s="1"/>
      <c r="D3479" s="1"/>
      <c r="E3479" s="1"/>
      <c r="F3479" s="1"/>
      <c r="G3479" s="1"/>
      <c r="H3479" s="1"/>
      <c r="I3479" s="1"/>
      <c r="J3479" s="1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</row>
    <row r="3480" spans="2:73" s="38" customFormat="1">
      <c r="B3480" s="1"/>
      <c r="C3480" s="1"/>
      <c r="D3480" s="1"/>
      <c r="E3480" s="1"/>
      <c r="F3480" s="1"/>
      <c r="G3480" s="1"/>
      <c r="H3480" s="1"/>
      <c r="I3480" s="1"/>
      <c r="J3480" s="1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</row>
    <row r="3481" spans="2:73" s="38" customFormat="1">
      <c r="B3481" s="1"/>
      <c r="C3481" s="1"/>
      <c r="D3481" s="1"/>
      <c r="E3481" s="1"/>
      <c r="F3481" s="1"/>
      <c r="G3481" s="1"/>
      <c r="H3481" s="1"/>
      <c r="I3481" s="1"/>
      <c r="J3481" s="1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</row>
    <row r="3482" spans="2:73" s="38" customFormat="1">
      <c r="B3482" s="1"/>
      <c r="C3482" s="1"/>
      <c r="D3482" s="1"/>
      <c r="E3482" s="1"/>
      <c r="F3482" s="1"/>
      <c r="G3482" s="1"/>
      <c r="H3482" s="1"/>
      <c r="I3482" s="1"/>
      <c r="J3482" s="1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</row>
    <row r="3483" spans="2:73" s="38" customFormat="1">
      <c r="B3483" s="1"/>
      <c r="C3483" s="1"/>
      <c r="D3483" s="1"/>
      <c r="E3483" s="1"/>
      <c r="F3483" s="1"/>
      <c r="G3483" s="1"/>
      <c r="H3483" s="1"/>
      <c r="I3483" s="1"/>
      <c r="J3483" s="1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</row>
    <row r="3484" spans="2:73" s="38" customFormat="1">
      <c r="B3484" s="1"/>
      <c r="C3484" s="1"/>
      <c r="D3484" s="1"/>
      <c r="E3484" s="1"/>
      <c r="F3484" s="1"/>
      <c r="G3484" s="1"/>
      <c r="H3484" s="1"/>
      <c r="I3484" s="1"/>
      <c r="J3484" s="1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</row>
    <row r="3485" spans="2:73" s="38" customFormat="1">
      <c r="B3485" s="1"/>
      <c r="C3485" s="1"/>
      <c r="D3485" s="1"/>
      <c r="E3485" s="1"/>
      <c r="F3485" s="1"/>
      <c r="G3485" s="1"/>
      <c r="H3485" s="1"/>
      <c r="I3485" s="1"/>
      <c r="J3485" s="1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</row>
    <row r="3486" spans="2:73" s="38" customFormat="1">
      <c r="B3486" s="1"/>
      <c r="C3486" s="1"/>
      <c r="D3486" s="1"/>
      <c r="E3486" s="1"/>
      <c r="F3486" s="1"/>
      <c r="G3486" s="1"/>
      <c r="H3486" s="1"/>
      <c r="I3486" s="1"/>
      <c r="J3486" s="1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</row>
    <row r="3487" spans="2:73" s="38" customFormat="1">
      <c r="B3487" s="1"/>
      <c r="C3487" s="1"/>
      <c r="D3487" s="1"/>
      <c r="E3487" s="1"/>
      <c r="F3487" s="1"/>
      <c r="G3487" s="1"/>
      <c r="H3487" s="1"/>
      <c r="I3487" s="1"/>
      <c r="J3487" s="1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</row>
    <row r="3488" spans="2:73" s="38" customFormat="1">
      <c r="B3488" s="1"/>
      <c r="C3488" s="1"/>
      <c r="D3488" s="1"/>
      <c r="E3488" s="1"/>
      <c r="F3488" s="1"/>
      <c r="G3488" s="1"/>
      <c r="H3488" s="1"/>
      <c r="I3488" s="1"/>
      <c r="J3488" s="1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</row>
    <row r="3489" spans="2:73" s="38" customFormat="1">
      <c r="B3489" s="1"/>
      <c r="C3489" s="1"/>
      <c r="D3489" s="1"/>
      <c r="E3489" s="1"/>
      <c r="F3489" s="1"/>
      <c r="G3489" s="1"/>
      <c r="H3489" s="1"/>
      <c r="I3489" s="1"/>
      <c r="J3489" s="1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</row>
    <row r="3490" spans="2:73" s="38" customFormat="1">
      <c r="B3490" s="1"/>
      <c r="C3490" s="1"/>
      <c r="D3490" s="1"/>
      <c r="E3490" s="1"/>
      <c r="F3490" s="1"/>
      <c r="G3490" s="1"/>
      <c r="H3490" s="1"/>
      <c r="I3490" s="1"/>
      <c r="J3490" s="1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</row>
    <row r="3491" spans="2:73" s="38" customFormat="1">
      <c r="B3491" s="1"/>
      <c r="C3491" s="1"/>
      <c r="D3491" s="1"/>
      <c r="E3491" s="1"/>
      <c r="F3491" s="1"/>
      <c r="G3491" s="1"/>
      <c r="H3491" s="1"/>
      <c r="I3491" s="1"/>
      <c r="J3491" s="1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</row>
    <row r="3492" spans="2:73" s="38" customFormat="1">
      <c r="B3492" s="1"/>
      <c r="C3492" s="1"/>
      <c r="D3492" s="1"/>
      <c r="E3492" s="1"/>
      <c r="F3492" s="1"/>
      <c r="G3492" s="1"/>
      <c r="H3492" s="1"/>
      <c r="I3492" s="1"/>
      <c r="J3492" s="1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</row>
    <row r="3493" spans="2:73" s="38" customFormat="1">
      <c r="B3493" s="1"/>
      <c r="C3493" s="1"/>
      <c r="D3493" s="1"/>
      <c r="E3493" s="1"/>
      <c r="F3493" s="1"/>
      <c r="G3493" s="1"/>
      <c r="H3493" s="1"/>
      <c r="I3493" s="1"/>
      <c r="J3493" s="1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</row>
    <row r="3494" spans="2:73" s="38" customFormat="1">
      <c r="B3494" s="1"/>
      <c r="C3494" s="1"/>
      <c r="D3494" s="1"/>
      <c r="E3494" s="1"/>
      <c r="F3494" s="1"/>
      <c r="G3494" s="1"/>
      <c r="H3494" s="1"/>
      <c r="I3494" s="1"/>
      <c r="J3494" s="1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</row>
    <row r="3495" spans="2:73" s="38" customFormat="1">
      <c r="B3495" s="1"/>
      <c r="C3495" s="1"/>
      <c r="D3495" s="1"/>
      <c r="E3495" s="1"/>
      <c r="F3495" s="1"/>
      <c r="G3495" s="1"/>
      <c r="H3495" s="1"/>
      <c r="I3495" s="1"/>
      <c r="J3495" s="1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</row>
    <row r="3496" spans="2:73" s="38" customFormat="1">
      <c r="B3496" s="1"/>
      <c r="C3496" s="1"/>
      <c r="D3496" s="1"/>
      <c r="E3496" s="1"/>
      <c r="F3496" s="1"/>
      <c r="G3496" s="1"/>
      <c r="H3496" s="1"/>
      <c r="I3496" s="1"/>
      <c r="J3496" s="1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</row>
    <row r="3497" spans="2:73" s="38" customFormat="1">
      <c r="B3497" s="1"/>
      <c r="C3497" s="1"/>
      <c r="D3497" s="1"/>
      <c r="E3497" s="1"/>
      <c r="F3497" s="1"/>
      <c r="G3497" s="1"/>
      <c r="H3497" s="1"/>
      <c r="I3497" s="1"/>
      <c r="J3497" s="1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</row>
    <row r="3498" spans="2:73" s="38" customFormat="1">
      <c r="B3498" s="1"/>
      <c r="C3498" s="1"/>
      <c r="D3498" s="1"/>
      <c r="E3498" s="1"/>
      <c r="F3498" s="1"/>
      <c r="G3498" s="1"/>
      <c r="H3498" s="1"/>
      <c r="I3498" s="1"/>
      <c r="J3498" s="1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</row>
    <row r="3499" spans="2:73" s="38" customFormat="1">
      <c r="B3499" s="1"/>
      <c r="C3499" s="1"/>
      <c r="D3499" s="1"/>
      <c r="E3499" s="1"/>
      <c r="F3499" s="1"/>
      <c r="G3499" s="1"/>
      <c r="H3499" s="1"/>
      <c r="I3499" s="1"/>
      <c r="J3499" s="1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</row>
    <row r="3500" spans="2:73" s="38" customFormat="1">
      <c r="B3500" s="1"/>
      <c r="C3500" s="1"/>
      <c r="D3500" s="1"/>
      <c r="E3500" s="1"/>
      <c r="F3500" s="1"/>
      <c r="G3500" s="1"/>
      <c r="H3500" s="1"/>
      <c r="I3500" s="1"/>
      <c r="J3500" s="1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</row>
    <row r="3501" spans="2:73" s="38" customFormat="1">
      <c r="B3501" s="1"/>
      <c r="C3501" s="1"/>
      <c r="D3501" s="1"/>
      <c r="E3501" s="1"/>
      <c r="F3501" s="1"/>
      <c r="G3501" s="1"/>
      <c r="H3501" s="1"/>
      <c r="I3501" s="1"/>
      <c r="J3501" s="1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</row>
    <row r="3502" spans="2:73" s="38" customFormat="1">
      <c r="B3502" s="1"/>
      <c r="C3502" s="1"/>
      <c r="D3502" s="1"/>
      <c r="E3502" s="1"/>
      <c r="F3502" s="1"/>
      <c r="G3502" s="1"/>
      <c r="H3502" s="1"/>
      <c r="I3502" s="1"/>
      <c r="J3502" s="1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2"/>
      <c r="BA3502" s="2"/>
      <c r="BB3502" s="2"/>
      <c r="BC3502" s="2"/>
      <c r="BD3502" s="2"/>
      <c r="BE3502" s="2"/>
      <c r="BF3502" s="2"/>
      <c r="BG3502" s="2"/>
      <c r="BH3502" s="2"/>
      <c r="BI3502" s="2"/>
      <c r="BJ3502" s="2"/>
      <c r="BK3502" s="2"/>
      <c r="BL3502" s="2"/>
      <c r="BM3502" s="2"/>
      <c r="BN3502" s="2"/>
      <c r="BO3502" s="2"/>
      <c r="BP3502" s="2"/>
      <c r="BQ3502" s="2"/>
      <c r="BR3502" s="2"/>
      <c r="BS3502" s="2"/>
      <c r="BT3502" s="2"/>
      <c r="BU3502" s="2"/>
    </row>
    <row r="3503" spans="2:73" s="38" customFormat="1">
      <c r="B3503" s="1"/>
      <c r="C3503" s="1"/>
      <c r="D3503" s="1"/>
      <c r="E3503" s="1"/>
      <c r="F3503" s="1"/>
      <c r="G3503" s="1"/>
      <c r="H3503" s="1"/>
      <c r="I3503" s="1"/>
      <c r="J3503" s="1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  <c r="BA3503" s="2"/>
      <c r="BB3503" s="2"/>
      <c r="BC3503" s="2"/>
      <c r="BD3503" s="2"/>
      <c r="BE3503" s="2"/>
      <c r="BF3503" s="2"/>
      <c r="BG3503" s="2"/>
      <c r="BH3503" s="2"/>
      <c r="BI3503" s="2"/>
      <c r="BJ3503" s="2"/>
      <c r="BK3503" s="2"/>
      <c r="BL3503" s="2"/>
      <c r="BM3503" s="2"/>
      <c r="BN3503" s="2"/>
      <c r="BO3503" s="2"/>
      <c r="BP3503" s="2"/>
      <c r="BQ3503" s="2"/>
      <c r="BR3503" s="2"/>
      <c r="BS3503" s="2"/>
      <c r="BT3503" s="2"/>
      <c r="BU3503" s="2"/>
    </row>
    <row r="3504" spans="2:73" s="38" customFormat="1">
      <c r="B3504" s="1"/>
      <c r="C3504" s="1"/>
      <c r="D3504" s="1"/>
      <c r="E3504" s="1"/>
      <c r="F3504" s="1"/>
      <c r="G3504" s="1"/>
      <c r="H3504" s="1"/>
      <c r="I3504" s="1"/>
      <c r="J3504" s="1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  <c r="BA3504" s="2"/>
      <c r="BB3504" s="2"/>
      <c r="BC3504" s="2"/>
      <c r="BD3504" s="2"/>
      <c r="BE3504" s="2"/>
      <c r="BF3504" s="2"/>
      <c r="BG3504" s="2"/>
      <c r="BH3504" s="2"/>
      <c r="BI3504" s="2"/>
      <c r="BJ3504" s="2"/>
      <c r="BK3504" s="2"/>
      <c r="BL3504" s="2"/>
      <c r="BM3504" s="2"/>
      <c r="BN3504" s="2"/>
      <c r="BO3504" s="2"/>
      <c r="BP3504" s="2"/>
      <c r="BQ3504" s="2"/>
      <c r="BR3504" s="2"/>
      <c r="BS3504" s="2"/>
      <c r="BT3504" s="2"/>
      <c r="BU3504" s="2"/>
    </row>
    <row r="3505" spans="2:73" s="38" customFormat="1">
      <c r="B3505" s="1"/>
      <c r="C3505" s="1"/>
      <c r="D3505" s="1"/>
      <c r="E3505" s="1"/>
      <c r="F3505" s="1"/>
      <c r="G3505" s="1"/>
      <c r="H3505" s="1"/>
      <c r="I3505" s="1"/>
      <c r="J3505" s="1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2"/>
      <c r="BA3505" s="2"/>
      <c r="BB3505" s="2"/>
      <c r="BC3505" s="2"/>
      <c r="BD3505" s="2"/>
      <c r="BE3505" s="2"/>
      <c r="BF3505" s="2"/>
      <c r="BG3505" s="2"/>
      <c r="BH3505" s="2"/>
      <c r="BI3505" s="2"/>
      <c r="BJ3505" s="2"/>
      <c r="BK3505" s="2"/>
      <c r="BL3505" s="2"/>
      <c r="BM3505" s="2"/>
      <c r="BN3505" s="2"/>
      <c r="BO3505" s="2"/>
      <c r="BP3505" s="2"/>
      <c r="BQ3505" s="2"/>
      <c r="BR3505" s="2"/>
      <c r="BS3505" s="2"/>
      <c r="BT3505" s="2"/>
      <c r="BU3505" s="2"/>
    </row>
    <row r="3506" spans="2:73" s="38" customFormat="1">
      <c r="B3506" s="1"/>
      <c r="C3506" s="1"/>
      <c r="D3506" s="1"/>
      <c r="E3506" s="1"/>
      <c r="F3506" s="1"/>
      <c r="G3506" s="1"/>
      <c r="H3506" s="1"/>
      <c r="I3506" s="1"/>
      <c r="J3506" s="1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2"/>
      <c r="BA3506" s="2"/>
      <c r="BB3506" s="2"/>
      <c r="BC3506" s="2"/>
      <c r="BD3506" s="2"/>
      <c r="BE3506" s="2"/>
      <c r="BF3506" s="2"/>
      <c r="BG3506" s="2"/>
      <c r="BH3506" s="2"/>
      <c r="BI3506" s="2"/>
      <c r="BJ3506" s="2"/>
      <c r="BK3506" s="2"/>
      <c r="BL3506" s="2"/>
      <c r="BM3506" s="2"/>
      <c r="BN3506" s="2"/>
      <c r="BO3506" s="2"/>
      <c r="BP3506" s="2"/>
      <c r="BQ3506" s="2"/>
      <c r="BR3506" s="2"/>
      <c r="BS3506" s="2"/>
      <c r="BT3506" s="2"/>
      <c r="BU3506" s="2"/>
    </row>
    <row r="3507" spans="2:73" s="38" customFormat="1">
      <c r="B3507" s="1"/>
      <c r="C3507" s="1"/>
      <c r="D3507" s="1"/>
      <c r="E3507" s="1"/>
      <c r="F3507" s="1"/>
      <c r="G3507" s="1"/>
      <c r="H3507" s="1"/>
      <c r="I3507" s="1"/>
      <c r="J3507" s="1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  <c r="BA3507" s="2"/>
      <c r="BB3507" s="2"/>
      <c r="BC3507" s="2"/>
      <c r="BD3507" s="2"/>
      <c r="BE3507" s="2"/>
      <c r="BF3507" s="2"/>
      <c r="BG3507" s="2"/>
      <c r="BH3507" s="2"/>
      <c r="BI3507" s="2"/>
      <c r="BJ3507" s="2"/>
      <c r="BK3507" s="2"/>
      <c r="BL3507" s="2"/>
      <c r="BM3507" s="2"/>
      <c r="BN3507" s="2"/>
      <c r="BO3507" s="2"/>
      <c r="BP3507" s="2"/>
      <c r="BQ3507" s="2"/>
      <c r="BR3507" s="2"/>
      <c r="BS3507" s="2"/>
      <c r="BT3507" s="2"/>
      <c r="BU3507" s="2"/>
    </row>
    <row r="3508" spans="2:73" s="38" customFormat="1">
      <c r="B3508" s="1"/>
      <c r="C3508" s="1"/>
      <c r="D3508" s="1"/>
      <c r="E3508" s="1"/>
      <c r="F3508" s="1"/>
      <c r="G3508" s="1"/>
      <c r="H3508" s="1"/>
      <c r="I3508" s="1"/>
      <c r="J3508" s="1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  <c r="BB3508" s="2"/>
      <c r="BC3508" s="2"/>
      <c r="BD3508" s="2"/>
      <c r="BE3508" s="2"/>
      <c r="BF3508" s="2"/>
      <c r="BG3508" s="2"/>
      <c r="BH3508" s="2"/>
      <c r="BI3508" s="2"/>
      <c r="BJ3508" s="2"/>
      <c r="BK3508" s="2"/>
      <c r="BL3508" s="2"/>
      <c r="BM3508" s="2"/>
      <c r="BN3508" s="2"/>
      <c r="BO3508" s="2"/>
      <c r="BP3508" s="2"/>
      <c r="BQ3508" s="2"/>
      <c r="BR3508" s="2"/>
      <c r="BS3508" s="2"/>
      <c r="BT3508" s="2"/>
      <c r="BU3508" s="2"/>
    </row>
    <row r="3509" spans="2:73" s="38" customFormat="1">
      <c r="B3509" s="1"/>
      <c r="C3509" s="1"/>
      <c r="D3509" s="1"/>
      <c r="E3509" s="1"/>
      <c r="F3509" s="1"/>
      <c r="G3509" s="1"/>
      <c r="H3509" s="1"/>
      <c r="I3509" s="1"/>
      <c r="J3509" s="1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  <c r="BA3509" s="2"/>
      <c r="BB3509" s="2"/>
      <c r="BC3509" s="2"/>
      <c r="BD3509" s="2"/>
      <c r="BE3509" s="2"/>
      <c r="BF3509" s="2"/>
      <c r="BG3509" s="2"/>
      <c r="BH3509" s="2"/>
      <c r="BI3509" s="2"/>
      <c r="BJ3509" s="2"/>
      <c r="BK3509" s="2"/>
      <c r="BL3509" s="2"/>
      <c r="BM3509" s="2"/>
      <c r="BN3509" s="2"/>
      <c r="BO3509" s="2"/>
      <c r="BP3509" s="2"/>
      <c r="BQ3509" s="2"/>
      <c r="BR3509" s="2"/>
      <c r="BS3509" s="2"/>
      <c r="BT3509" s="2"/>
      <c r="BU3509" s="2"/>
    </row>
    <row r="3510" spans="2:73" s="38" customFormat="1">
      <c r="B3510" s="1"/>
      <c r="C3510" s="1"/>
      <c r="D3510" s="1"/>
      <c r="E3510" s="1"/>
      <c r="F3510" s="1"/>
      <c r="G3510" s="1"/>
      <c r="H3510" s="1"/>
      <c r="I3510" s="1"/>
      <c r="J3510" s="1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2"/>
      <c r="BA3510" s="2"/>
      <c r="BB3510" s="2"/>
      <c r="BC3510" s="2"/>
      <c r="BD3510" s="2"/>
      <c r="BE3510" s="2"/>
      <c r="BF3510" s="2"/>
      <c r="BG3510" s="2"/>
      <c r="BH3510" s="2"/>
      <c r="BI3510" s="2"/>
      <c r="BJ3510" s="2"/>
      <c r="BK3510" s="2"/>
      <c r="BL3510" s="2"/>
      <c r="BM3510" s="2"/>
      <c r="BN3510" s="2"/>
      <c r="BO3510" s="2"/>
      <c r="BP3510" s="2"/>
      <c r="BQ3510" s="2"/>
      <c r="BR3510" s="2"/>
      <c r="BS3510" s="2"/>
      <c r="BT3510" s="2"/>
      <c r="BU3510" s="2"/>
    </row>
    <row r="3511" spans="2:73" s="38" customFormat="1">
      <c r="B3511" s="1"/>
      <c r="C3511" s="1"/>
      <c r="D3511" s="1"/>
      <c r="E3511" s="1"/>
      <c r="F3511" s="1"/>
      <c r="G3511" s="1"/>
      <c r="H3511" s="1"/>
      <c r="I3511" s="1"/>
      <c r="J3511" s="1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  <c r="BA3511" s="2"/>
      <c r="BB3511" s="2"/>
      <c r="BC3511" s="2"/>
      <c r="BD3511" s="2"/>
      <c r="BE3511" s="2"/>
      <c r="BF3511" s="2"/>
      <c r="BG3511" s="2"/>
      <c r="BH3511" s="2"/>
      <c r="BI3511" s="2"/>
      <c r="BJ3511" s="2"/>
      <c r="BK3511" s="2"/>
      <c r="BL3511" s="2"/>
      <c r="BM3511" s="2"/>
      <c r="BN3511" s="2"/>
      <c r="BO3511" s="2"/>
      <c r="BP3511" s="2"/>
      <c r="BQ3511" s="2"/>
      <c r="BR3511" s="2"/>
      <c r="BS3511" s="2"/>
      <c r="BT3511" s="2"/>
      <c r="BU3511" s="2"/>
    </row>
    <row r="3512" spans="2:73" s="38" customFormat="1">
      <c r="B3512" s="1"/>
      <c r="C3512" s="1"/>
      <c r="D3512" s="1"/>
      <c r="E3512" s="1"/>
      <c r="F3512" s="1"/>
      <c r="G3512" s="1"/>
      <c r="H3512" s="1"/>
      <c r="I3512" s="1"/>
      <c r="J3512" s="1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  <c r="BA3512" s="2"/>
      <c r="BB3512" s="2"/>
      <c r="BC3512" s="2"/>
      <c r="BD3512" s="2"/>
      <c r="BE3512" s="2"/>
      <c r="BF3512" s="2"/>
      <c r="BG3512" s="2"/>
      <c r="BH3512" s="2"/>
      <c r="BI3512" s="2"/>
      <c r="BJ3512" s="2"/>
      <c r="BK3512" s="2"/>
      <c r="BL3512" s="2"/>
      <c r="BM3512" s="2"/>
      <c r="BN3512" s="2"/>
      <c r="BO3512" s="2"/>
      <c r="BP3512" s="2"/>
      <c r="BQ3512" s="2"/>
      <c r="BR3512" s="2"/>
      <c r="BS3512" s="2"/>
      <c r="BT3512" s="2"/>
      <c r="BU3512" s="2"/>
    </row>
    <row r="3513" spans="2:73" s="38" customFormat="1">
      <c r="B3513" s="1"/>
      <c r="C3513" s="1"/>
      <c r="D3513" s="1"/>
      <c r="E3513" s="1"/>
      <c r="F3513" s="1"/>
      <c r="G3513" s="1"/>
      <c r="H3513" s="1"/>
      <c r="I3513" s="1"/>
      <c r="J3513" s="1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  <c r="BA3513" s="2"/>
      <c r="BB3513" s="2"/>
      <c r="BC3513" s="2"/>
      <c r="BD3513" s="2"/>
      <c r="BE3513" s="2"/>
      <c r="BF3513" s="2"/>
      <c r="BG3513" s="2"/>
      <c r="BH3513" s="2"/>
      <c r="BI3513" s="2"/>
      <c r="BJ3513" s="2"/>
      <c r="BK3513" s="2"/>
      <c r="BL3513" s="2"/>
      <c r="BM3513" s="2"/>
      <c r="BN3513" s="2"/>
      <c r="BO3513" s="2"/>
      <c r="BP3513" s="2"/>
      <c r="BQ3513" s="2"/>
      <c r="BR3513" s="2"/>
      <c r="BS3513" s="2"/>
      <c r="BT3513" s="2"/>
      <c r="BU3513" s="2"/>
    </row>
    <row r="3514" spans="2:73" s="38" customFormat="1">
      <c r="B3514" s="1"/>
      <c r="C3514" s="1"/>
      <c r="D3514" s="1"/>
      <c r="E3514" s="1"/>
      <c r="F3514" s="1"/>
      <c r="G3514" s="1"/>
      <c r="H3514" s="1"/>
      <c r="I3514" s="1"/>
      <c r="J3514" s="1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  <c r="BB3514" s="2"/>
      <c r="BC3514" s="2"/>
      <c r="BD3514" s="2"/>
      <c r="BE3514" s="2"/>
      <c r="BF3514" s="2"/>
      <c r="BG3514" s="2"/>
      <c r="BH3514" s="2"/>
      <c r="BI3514" s="2"/>
      <c r="BJ3514" s="2"/>
      <c r="BK3514" s="2"/>
      <c r="BL3514" s="2"/>
      <c r="BM3514" s="2"/>
      <c r="BN3514" s="2"/>
      <c r="BO3514" s="2"/>
      <c r="BP3514" s="2"/>
      <c r="BQ3514" s="2"/>
      <c r="BR3514" s="2"/>
      <c r="BS3514" s="2"/>
      <c r="BT3514" s="2"/>
      <c r="BU3514" s="2"/>
    </row>
    <row r="3515" spans="2:73" s="38" customFormat="1">
      <c r="B3515" s="1"/>
      <c r="C3515" s="1"/>
      <c r="D3515" s="1"/>
      <c r="E3515" s="1"/>
      <c r="F3515" s="1"/>
      <c r="G3515" s="1"/>
      <c r="H3515" s="1"/>
      <c r="I3515" s="1"/>
      <c r="J3515" s="1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  <c r="BB3515" s="2"/>
      <c r="BC3515" s="2"/>
      <c r="BD3515" s="2"/>
      <c r="BE3515" s="2"/>
      <c r="BF3515" s="2"/>
      <c r="BG3515" s="2"/>
      <c r="BH3515" s="2"/>
      <c r="BI3515" s="2"/>
      <c r="BJ3515" s="2"/>
      <c r="BK3515" s="2"/>
      <c r="BL3515" s="2"/>
      <c r="BM3515" s="2"/>
      <c r="BN3515" s="2"/>
      <c r="BO3515" s="2"/>
      <c r="BP3515" s="2"/>
      <c r="BQ3515" s="2"/>
      <c r="BR3515" s="2"/>
      <c r="BS3515" s="2"/>
      <c r="BT3515" s="2"/>
      <c r="BU3515" s="2"/>
    </row>
    <row r="3516" spans="2:73" s="38" customFormat="1">
      <c r="B3516" s="1"/>
      <c r="C3516" s="1"/>
      <c r="D3516" s="1"/>
      <c r="E3516" s="1"/>
      <c r="F3516" s="1"/>
      <c r="G3516" s="1"/>
      <c r="H3516" s="1"/>
      <c r="I3516" s="1"/>
      <c r="J3516" s="1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  <c r="BB3516" s="2"/>
      <c r="BC3516" s="2"/>
      <c r="BD3516" s="2"/>
      <c r="BE3516" s="2"/>
      <c r="BF3516" s="2"/>
      <c r="BG3516" s="2"/>
      <c r="BH3516" s="2"/>
      <c r="BI3516" s="2"/>
      <c r="BJ3516" s="2"/>
      <c r="BK3516" s="2"/>
      <c r="BL3516" s="2"/>
      <c r="BM3516" s="2"/>
      <c r="BN3516" s="2"/>
      <c r="BO3516" s="2"/>
      <c r="BP3516" s="2"/>
      <c r="BQ3516" s="2"/>
      <c r="BR3516" s="2"/>
      <c r="BS3516" s="2"/>
      <c r="BT3516" s="2"/>
      <c r="BU3516" s="2"/>
    </row>
    <row r="3517" spans="2:73" s="38" customFormat="1">
      <c r="B3517" s="1"/>
      <c r="C3517" s="1"/>
      <c r="D3517" s="1"/>
      <c r="E3517" s="1"/>
      <c r="F3517" s="1"/>
      <c r="G3517" s="1"/>
      <c r="H3517" s="1"/>
      <c r="I3517" s="1"/>
      <c r="J3517" s="1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  <c r="BA3517" s="2"/>
      <c r="BB3517" s="2"/>
      <c r="BC3517" s="2"/>
      <c r="BD3517" s="2"/>
      <c r="BE3517" s="2"/>
      <c r="BF3517" s="2"/>
      <c r="BG3517" s="2"/>
      <c r="BH3517" s="2"/>
      <c r="BI3517" s="2"/>
      <c r="BJ3517" s="2"/>
      <c r="BK3517" s="2"/>
      <c r="BL3517" s="2"/>
      <c r="BM3517" s="2"/>
      <c r="BN3517" s="2"/>
      <c r="BO3517" s="2"/>
      <c r="BP3517" s="2"/>
      <c r="BQ3517" s="2"/>
      <c r="BR3517" s="2"/>
      <c r="BS3517" s="2"/>
      <c r="BT3517" s="2"/>
      <c r="BU3517" s="2"/>
    </row>
    <row r="3518" spans="2:73" s="38" customFormat="1">
      <c r="B3518" s="1"/>
      <c r="C3518" s="1"/>
      <c r="D3518" s="1"/>
      <c r="E3518" s="1"/>
      <c r="F3518" s="1"/>
      <c r="G3518" s="1"/>
      <c r="H3518" s="1"/>
      <c r="I3518" s="1"/>
      <c r="J3518" s="1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  <c r="BA3518" s="2"/>
      <c r="BB3518" s="2"/>
      <c r="BC3518" s="2"/>
      <c r="BD3518" s="2"/>
      <c r="BE3518" s="2"/>
      <c r="BF3518" s="2"/>
      <c r="BG3518" s="2"/>
      <c r="BH3518" s="2"/>
      <c r="BI3518" s="2"/>
      <c r="BJ3518" s="2"/>
      <c r="BK3518" s="2"/>
      <c r="BL3518" s="2"/>
      <c r="BM3518" s="2"/>
      <c r="BN3518" s="2"/>
      <c r="BO3518" s="2"/>
      <c r="BP3518" s="2"/>
      <c r="BQ3518" s="2"/>
      <c r="BR3518" s="2"/>
      <c r="BS3518" s="2"/>
      <c r="BT3518" s="2"/>
      <c r="BU3518" s="2"/>
    </row>
    <row r="3519" spans="2:73" s="38" customFormat="1">
      <c r="B3519" s="1"/>
      <c r="C3519" s="1"/>
      <c r="D3519" s="1"/>
      <c r="E3519" s="1"/>
      <c r="F3519" s="1"/>
      <c r="G3519" s="1"/>
      <c r="H3519" s="1"/>
      <c r="I3519" s="1"/>
      <c r="J3519" s="1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  <c r="BA3519" s="2"/>
      <c r="BB3519" s="2"/>
      <c r="BC3519" s="2"/>
      <c r="BD3519" s="2"/>
      <c r="BE3519" s="2"/>
      <c r="BF3519" s="2"/>
      <c r="BG3519" s="2"/>
      <c r="BH3519" s="2"/>
      <c r="BI3519" s="2"/>
      <c r="BJ3519" s="2"/>
      <c r="BK3519" s="2"/>
      <c r="BL3519" s="2"/>
      <c r="BM3519" s="2"/>
      <c r="BN3519" s="2"/>
      <c r="BO3519" s="2"/>
      <c r="BP3519" s="2"/>
      <c r="BQ3519" s="2"/>
      <c r="BR3519" s="2"/>
      <c r="BS3519" s="2"/>
      <c r="BT3519" s="2"/>
      <c r="BU3519" s="2"/>
    </row>
    <row r="3520" spans="2:73" s="38" customFormat="1">
      <c r="B3520" s="1"/>
      <c r="C3520" s="1"/>
      <c r="D3520" s="1"/>
      <c r="E3520" s="1"/>
      <c r="F3520" s="1"/>
      <c r="G3520" s="1"/>
      <c r="H3520" s="1"/>
      <c r="I3520" s="1"/>
      <c r="J3520" s="1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  <c r="BB3520" s="2"/>
      <c r="BC3520" s="2"/>
      <c r="BD3520" s="2"/>
      <c r="BE3520" s="2"/>
      <c r="BF3520" s="2"/>
      <c r="BG3520" s="2"/>
      <c r="BH3520" s="2"/>
      <c r="BI3520" s="2"/>
      <c r="BJ3520" s="2"/>
      <c r="BK3520" s="2"/>
      <c r="BL3520" s="2"/>
      <c r="BM3520" s="2"/>
      <c r="BN3520" s="2"/>
      <c r="BO3520" s="2"/>
      <c r="BP3520" s="2"/>
      <c r="BQ3520" s="2"/>
      <c r="BR3520" s="2"/>
      <c r="BS3520" s="2"/>
      <c r="BT3520" s="2"/>
      <c r="BU3520" s="2"/>
    </row>
    <row r="3521" spans="2:73" s="38" customFormat="1">
      <c r="B3521" s="1"/>
      <c r="C3521" s="1"/>
      <c r="D3521" s="1"/>
      <c r="E3521" s="1"/>
      <c r="F3521" s="1"/>
      <c r="G3521" s="1"/>
      <c r="H3521" s="1"/>
      <c r="I3521" s="1"/>
      <c r="J3521" s="1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  <c r="BA3521" s="2"/>
      <c r="BB3521" s="2"/>
      <c r="BC3521" s="2"/>
      <c r="BD3521" s="2"/>
      <c r="BE3521" s="2"/>
      <c r="BF3521" s="2"/>
      <c r="BG3521" s="2"/>
      <c r="BH3521" s="2"/>
      <c r="BI3521" s="2"/>
      <c r="BJ3521" s="2"/>
      <c r="BK3521" s="2"/>
      <c r="BL3521" s="2"/>
      <c r="BM3521" s="2"/>
      <c r="BN3521" s="2"/>
      <c r="BO3521" s="2"/>
      <c r="BP3521" s="2"/>
      <c r="BQ3521" s="2"/>
      <c r="BR3521" s="2"/>
      <c r="BS3521" s="2"/>
      <c r="BT3521" s="2"/>
      <c r="BU3521" s="2"/>
    </row>
    <row r="3522" spans="2:73" s="38" customFormat="1">
      <c r="B3522" s="1"/>
      <c r="C3522" s="1"/>
      <c r="D3522" s="1"/>
      <c r="E3522" s="1"/>
      <c r="F3522" s="1"/>
      <c r="G3522" s="1"/>
      <c r="H3522" s="1"/>
      <c r="I3522" s="1"/>
      <c r="J3522" s="1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  <c r="BA3522" s="2"/>
      <c r="BB3522" s="2"/>
      <c r="BC3522" s="2"/>
      <c r="BD3522" s="2"/>
      <c r="BE3522" s="2"/>
      <c r="BF3522" s="2"/>
      <c r="BG3522" s="2"/>
      <c r="BH3522" s="2"/>
      <c r="BI3522" s="2"/>
      <c r="BJ3522" s="2"/>
      <c r="BK3522" s="2"/>
      <c r="BL3522" s="2"/>
      <c r="BM3522" s="2"/>
      <c r="BN3522" s="2"/>
      <c r="BO3522" s="2"/>
      <c r="BP3522" s="2"/>
      <c r="BQ3522" s="2"/>
      <c r="BR3522" s="2"/>
      <c r="BS3522" s="2"/>
      <c r="BT3522" s="2"/>
      <c r="BU3522" s="2"/>
    </row>
    <row r="3523" spans="2:73" s="38" customFormat="1">
      <c r="B3523" s="1"/>
      <c r="C3523" s="1"/>
      <c r="D3523" s="1"/>
      <c r="E3523" s="1"/>
      <c r="F3523" s="1"/>
      <c r="G3523" s="1"/>
      <c r="H3523" s="1"/>
      <c r="I3523" s="1"/>
      <c r="J3523" s="1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2"/>
      <c r="BA3523" s="2"/>
      <c r="BB3523" s="2"/>
      <c r="BC3523" s="2"/>
      <c r="BD3523" s="2"/>
      <c r="BE3523" s="2"/>
      <c r="BF3523" s="2"/>
      <c r="BG3523" s="2"/>
      <c r="BH3523" s="2"/>
      <c r="BI3523" s="2"/>
      <c r="BJ3523" s="2"/>
      <c r="BK3523" s="2"/>
      <c r="BL3523" s="2"/>
      <c r="BM3523" s="2"/>
      <c r="BN3523" s="2"/>
      <c r="BO3523" s="2"/>
      <c r="BP3523" s="2"/>
      <c r="BQ3523" s="2"/>
      <c r="BR3523" s="2"/>
      <c r="BS3523" s="2"/>
      <c r="BT3523" s="2"/>
      <c r="BU3523" s="2"/>
    </row>
    <row r="3524" spans="2:73" s="38" customFormat="1">
      <c r="B3524" s="1"/>
      <c r="C3524" s="1"/>
      <c r="D3524" s="1"/>
      <c r="E3524" s="1"/>
      <c r="F3524" s="1"/>
      <c r="G3524" s="1"/>
      <c r="H3524" s="1"/>
      <c r="I3524" s="1"/>
      <c r="J3524" s="1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  <c r="BB3524" s="2"/>
      <c r="BC3524" s="2"/>
      <c r="BD3524" s="2"/>
      <c r="BE3524" s="2"/>
      <c r="BF3524" s="2"/>
      <c r="BG3524" s="2"/>
      <c r="BH3524" s="2"/>
      <c r="BI3524" s="2"/>
      <c r="BJ3524" s="2"/>
      <c r="BK3524" s="2"/>
      <c r="BL3524" s="2"/>
      <c r="BM3524" s="2"/>
      <c r="BN3524" s="2"/>
      <c r="BO3524" s="2"/>
      <c r="BP3524" s="2"/>
      <c r="BQ3524" s="2"/>
      <c r="BR3524" s="2"/>
      <c r="BS3524" s="2"/>
      <c r="BT3524" s="2"/>
      <c r="BU3524" s="2"/>
    </row>
    <row r="3525" spans="2:73" s="38" customFormat="1">
      <c r="B3525" s="1"/>
      <c r="C3525" s="1"/>
      <c r="D3525" s="1"/>
      <c r="E3525" s="1"/>
      <c r="F3525" s="1"/>
      <c r="G3525" s="1"/>
      <c r="H3525" s="1"/>
      <c r="I3525" s="1"/>
      <c r="J3525" s="1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  <c r="BB3525" s="2"/>
      <c r="BC3525" s="2"/>
      <c r="BD3525" s="2"/>
      <c r="BE3525" s="2"/>
      <c r="BF3525" s="2"/>
      <c r="BG3525" s="2"/>
      <c r="BH3525" s="2"/>
      <c r="BI3525" s="2"/>
      <c r="BJ3525" s="2"/>
      <c r="BK3525" s="2"/>
      <c r="BL3525" s="2"/>
      <c r="BM3525" s="2"/>
      <c r="BN3525" s="2"/>
      <c r="BO3525" s="2"/>
      <c r="BP3525" s="2"/>
      <c r="BQ3525" s="2"/>
      <c r="BR3525" s="2"/>
      <c r="BS3525" s="2"/>
      <c r="BT3525" s="2"/>
      <c r="BU3525" s="2"/>
    </row>
    <row r="3526" spans="2:73" s="38" customFormat="1">
      <c r="B3526" s="1"/>
      <c r="C3526" s="1"/>
      <c r="D3526" s="1"/>
      <c r="E3526" s="1"/>
      <c r="F3526" s="1"/>
      <c r="G3526" s="1"/>
      <c r="H3526" s="1"/>
      <c r="I3526" s="1"/>
      <c r="J3526" s="1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  <c r="BA3526" s="2"/>
      <c r="BB3526" s="2"/>
      <c r="BC3526" s="2"/>
      <c r="BD3526" s="2"/>
      <c r="BE3526" s="2"/>
      <c r="BF3526" s="2"/>
      <c r="BG3526" s="2"/>
      <c r="BH3526" s="2"/>
      <c r="BI3526" s="2"/>
      <c r="BJ3526" s="2"/>
      <c r="BK3526" s="2"/>
      <c r="BL3526" s="2"/>
      <c r="BM3526" s="2"/>
      <c r="BN3526" s="2"/>
      <c r="BO3526" s="2"/>
      <c r="BP3526" s="2"/>
      <c r="BQ3526" s="2"/>
      <c r="BR3526" s="2"/>
      <c r="BS3526" s="2"/>
      <c r="BT3526" s="2"/>
      <c r="BU3526" s="2"/>
    </row>
    <row r="3527" spans="2:73" s="38" customFormat="1">
      <c r="B3527" s="1"/>
      <c r="C3527" s="1"/>
      <c r="D3527" s="1"/>
      <c r="E3527" s="1"/>
      <c r="F3527" s="1"/>
      <c r="G3527" s="1"/>
      <c r="H3527" s="1"/>
      <c r="I3527" s="1"/>
      <c r="J3527" s="1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  <c r="BA3527" s="2"/>
      <c r="BB3527" s="2"/>
      <c r="BC3527" s="2"/>
      <c r="BD3527" s="2"/>
      <c r="BE3527" s="2"/>
      <c r="BF3527" s="2"/>
      <c r="BG3527" s="2"/>
      <c r="BH3527" s="2"/>
      <c r="BI3527" s="2"/>
      <c r="BJ3527" s="2"/>
      <c r="BK3527" s="2"/>
      <c r="BL3527" s="2"/>
      <c r="BM3527" s="2"/>
      <c r="BN3527" s="2"/>
      <c r="BO3527" s="2"/>
      <c r="BP3527" s="2"/>
      <c r="BQ3527" s="2"/>
      <c r="BR3527" s="2"/>
      <c r="BS3527" s="2"/>
      <c r="BT3527" s="2"/>
      <c r="BU3527" s="2"/>
    </row>
    <row r="3528" spans="2:73" s="38" customFormat="1">
      <c r="B3528" s="1"/>
      <c r="C3528" s="1"/>
      <c r="D3528" s="1"/>
      <c r="E3528" s="1"/>
      <c r="F3528" s="1"/>
      <c r="G3528" s="1"/>
      <c r="H3528" s="1"/>
      <c r="I3528" s="1"/>
      <c r="J3528" s="1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  <c r="BA3528" s="2"/>
      <c r="BB3528" s="2"/>
      <c r="BC3528" s="2"/>
      <c r="BD3528" s="2"/>
      <c r="BE3528" s="2"/>
      <c r="BF3528" s="2"/>
      <c r="BG3528" s="2"/>
      <c r="BH3528" s="2"/>
      <c r="BI3528" s="2"/>
      <c r="BJ3528" s="2"/>
      <c r="BK3528" s="2"/>
      <c r="BL3528" s="2"/>
      <c r="BM3528" s="2"/>
      <c r="BN3528" s="2"/>
      <c r="BO3528" s="2"/>
      <c r="BP3528" s="2"/>
      <c r="BQ3528" s="2"/>
      <c r="BR3528" s="2"/>
      <c r="BS3528" s="2"/>
      <c r="BT3528" s="2"/>
      <c r="BU3528" s="2"/>
    </row>
    <row r="3529" spans="2:73" s="38" customFormat="1">
      <c r="B3529" s="1"/>
      <c r="C3529" s="1"/>
      <c r="D3529" s="1"/>
      <c r="E3529" s="1"/>
      <c r="F3529" s="1"/>
      <c r="G3529" s="1"/>
      <c r="H3529" s="1"/>
      <c r="I3529" s="1"/>
      <c r="J3529" s="1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/>
      <c r="AZ3529" s="2"/>
      <c r="BA3529" s="2"/>
      <c r="BB3529" s="2"/>
      <c r="BC3529" s="2"/>
      <c r="BD3529" s="2"/>
      <c r="BE3529" s="2"/>
      <c r="BF3529" s="2"/>
      <c r="BG3529" s="2"/>
      <c r="BH3529" s="2"/>
      <c r="BI3529" s="2"/>
      <c r="BJ3529" s="2"/>
      <c r="BK3529" s="2"/>
      <c r="BL3529" s="2"/>
      <c r="BM3529" s="2"/>
      <c r="BN3529" s="2"/>
      <c r="BO3529" s="2"/>
      <c r="BP3529" s="2"/>
      <c r="BQ3529" s="2"/>
      <c r="BR3529" s="2"/>
      <c r="BS3529" s="2"/>
      <c r="BT3529" s="2"/>
      <c r="BU3529" s="2"/>
    </row>
    <row r="3530" spans="2:73" s="38" customFormat="1">
      <c r="B3530" s="1"/>
      <c r="C3530" s="1"/>
      <c r="D3530" s="1"/>
      <c r="E3530" s="1"/>
      <c r="F3530" s="1"/>
      <c r="G3530" s="1"/>
      <c r="H3530" s="1"/>
      <c r="I3530" s="1"/>
      <c r="J3530" s="1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  <c r="BA3530" s="2"/>
      <c r="BB3530" s="2"/>
      <c r="BC3530" s="2"/>
      <c r="BD3530" s="2"/>
      <c r="BE3530" s="2"/>
      <c r="BF3530" s="2"/>
      <c r="BG3530" s="2"/>
      <c r="BH3530" s="2"/>
      <c r="BI3530" s="2"/>
      <c r="BJ3530" s="2"/>
      <c r="BK3530" s="2"/>
      <c r="BL3530" s="2"/>
      <c r="BM3530" s="2"/>
      <c r="BN3530" s="2"/>
      <c r="BO3530" s="2"/>
      <c r="BP3530" s="2"/>
      <c r="BQ3530" s="2"/>
      <c r="BR3530" s="2"/>
      <c r="BS3530" s="2"/>
      <c r="BT3530" s="2"/>
      <c r="BU3530" s="2"/>
    </row>
    <row r="3531" spans="2:73" s="38" customFormat="1">
      <c r="B3531" s="1"/>
      <c r="C3531" s="1"/>
      <c r="D3531" s="1"/>
      <c r="E3531" s="1"/>
      <c r="F3531" s="1"/>
      <c r="G3531" s="1"/>
      <c r="H3531" s="1"/>
      <c r="I3531" s="1"/>
      <c r="J3531" s="1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  <c r="BB3531" s="2"/>
      <c r="BC3531" s="2"/>
      <c r="BD3531" s="2"/>
      <c r="BE3531" s="2"/>
      <c r="BF3531" s="2"/>
      <c r="BG3531" s="2"/>
      <c r="BH3531" s="2"/>
      <c r="BI3531" s="2"/>
      <c r="BJ3531" s="2"/>
      <c r="BK3531" s="2"/>
      <c r="BL3531" s="2"/>
      <c r="BM3531" s="2"/>
      <c r="BN3531" s="2"/>
      <c r="BO3531" s="2"/>
      <c r="BP3531" s="2"/>
      <c r="BQ3531" s="2"/>
      <c r="BR3531" s="2"/>
      <c r="BS3531" s="2"/>
      <c r="BT3531" s="2"/>
      <c r="BU3531" s="2"/>
    </row>
    <row r="3532" spans="2:73" s="38" customFormat="1">
      <c r="B3532" s="1"/>
      <c r="C3532" s="1"/>
      <c r="D3532" s="1"/>
      <c r="E3532" s="1"/>
      <c r="F3532" s="1"/>
      <c r="G3532" s="1"/>
      <c r="H3532" s="1"/>
      <c r="I3532" s="1"/>
      <c r="J3532" s="1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  <c r="BG3532" s="2"/>
      <c r="BH3532" s="2"/>
      <c r="BI3532" s="2"/>
      <c r="BJ3532" s="2"/>
      <c r="BK3532" s="2"/>
      <c r="BL3532" s="2"/>
      <c r="BM3532" s="2"/>
      <c r="BN3532" s="2"/>
      <c r="BO3532" s="2"/>
      <c r="BP3532" s="2"/>
      <c r="BQ3532" s="2"/>
      <c r="BR3532" s="2"/>
      <c r="BS3532" s="2"/>
      <c r="BT3532" s="2"/>
      <c r="BU3532" s="2"/>
    </row>
    <row r="3533" spans="2:73" s="38" customFormat="1">
      <c r="B3533" s="1"/>
      <c r="C3533" s="1"/>
      <c r="D3533" s="1"/>
      <c r="E3533" s="1"/>
      <c r="F3533" s="1"/>
      <c r="G3533" s="1"/>
      <c r="H3533" s="1"/>
      <c r="I3533" s="1"/>
      <c r="J3533" s="1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  <c r="BA3533" s="2"/>
      <c r="BB3533" s="2"/>
      <c r="BC3533" s="2"/>
      <c r="BD3533" s="2"/>
      <c r="BE3533" s="2"/>
      <c r="BF3533" s="2"/>
      <c r="BG3533" s="2"/>
      <c r="BH3533" s="2"/>
      <c r="BI3533" s="2"/>
      <c r="BJ3533" s="2"/>
      <c r="BK3533" s="2"/>
      <c r="BL3533" s="2"/>
      <c r="BM3533" s="2"/>
      <c r="BN3533" s="2"/>
      <c r="BO3533" s="2"/>
      <c r="BP3533" s="2"/>
      <c r="BQ3533" s="2"/>
      <c r="BR3533" s="2"/>
      <c r="BS3533" s="2"/>
      <c r="BT3533" s="2"/>
      <c r="BU3533" s="2"/>
    </row>
    <row r="3534" spans="2:73" s="38" customFormat="1">
      <c r="B3534" s="1"/>
      <c r="C3534" s="1"/>
      <c r="D3534" s="1"/>
      <c r="E3534" s="1"/>
      <c r="F3534" s="1"/>
      <c r="G3534" s="1"/>
      <c r="H3534" s="1"/>
      <c r="I3534" s="1"/>
      <c r="J3534" s="1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  <c r="BA3534" s="2"/>
      <c r="BB3534" s="2"/>
      <c r="BC3534" s="2"/>
      <c r="BD3534" s="2"/>
      <c r="BE3534" s="2"/>
      <c r="BF3534" s="2"/>
      <c r="BG3534" s="2"/>
      <c r="BH3534" s="2"/>
      <c r="BI3534" s="2"/>
      <c r="BJ3534" s="2"/>
      <c r="BK3534" s="2"/>
      <c r="BL3534" s="2"/>
      <c r="BM3534" s="2"/>
      <c r="BN3534" s="2"/>
      <c r="BO3534" s="2"/>
      <c r="BP3534" s="2"/>
      <c r="BQ3534" s="2"/>
      <c r="BR3534" s="2"/>
      <c r="BS3534" s="2"/>
      <c r="BT3534" s="2"/>
      <c r="BU3534" s="2"/>
    </row>
    <row r="3535" spans="2:73" s="38" customFormat="1">
      <c r="B3535" s="1"/>
      <c r="C3535" s="1"/>
      <c r="D3535" s="1"/>
      <c r="E3535" s="1"/>
      <c r="F3535" s="1"/>
      <c r="G3535" s="1"/>
      <c r="H3535" s="1"/>
      <c r="I3535" s="1"/>
      <c r="J3535" s="1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  <c r="BB3535" s="2"/>
      <c r="BC3535" s="2"/>
      <c r="BD3535" s="2"/>
      <c r="BE3535" s="2"/>
      <c r="BF3535" s="2"/>
      <c r="BG3535" s="2"/>
      <c r="BH3535" s="2"/>
      <c r="BI3535" s="2"/>
      <c r="BJ3535" s="2"/>
      <c r="BK3535" s="2"/>
      <c r="BL3535" s="2"/>
      <c r="BM3535" s="2"/>
      <c r="BN3535" s="2"/>
      <c r="BO3535" s="2"/>
      <c r="BP3535" s="2"/>
      <c r="BQ3535" s="2"/>
      <c r="BR3535" s="2"/>
      <c r="BS3535" s="2"/>
      <c r="BT3535" s="2"/>
      <c r="BU3535" s="2"/>
    </row>
    <row r="3536" spans="2:73" s="38" customFormat="1">
      <c r="B3536" s="1"/>
      <c r="C3536" s="1"/>
      <c r="D3536" s="1"/>
      <c r="E3536" s="1"/>
      <c r="F3536" s="1"/>
      <c r="G3536" s="1"/>
      <c r="H3536" s="1"/>
      <c r="I3536" s="1"/>
      <c r="J3536" s="1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  <c r="BA3536" s="2"/>
      <c r="BB3536" s="2"/>
      <c r="BC3536" s="2"/>
      <c r="BD3536" s="2"/>
      <c r="BE3536" s="2"/>
      <c r="BF3536" s="2"/>
      <c r="BG3536" s="2"/>
      <c r="BH3536" s="2"/>
      <c r="BI3536" s="2"/>
      <c r="BJ3536" s="2"/>
      <c r="BK3536" s="2"/>
      <c r="BL3536" s="2"/>
      <c r="BM3536" s="2"/>
      <c r="BN3536" s="2"/>
      <c r="BO3536" s="2"/>
      <c r="BP3536" s="2"/>
      <c r="BQ3536" s="2"/>
      <c r="BR3536" s="2"/>
      <c r="BS3536" s="2"/>
      <c r="BT3536" s="2"/>
      <c r="BU3536" s="2"/>
    </row>
    <row r="3537" spans="2:73" s="38" customFormat="1">
      <c r="B3537" s="1"/>
      <c r="C3537" s="1"/>
      <c r="D3537" s="1"/>
      <c r="E3537" s="1"/>
      <c r="F3537" s="1"/>
      <c r="G3537" s="1"/>
      <c r="H3537" s="1"/>
      <c r="I3537" s="1"/>
      <c r="J3537" s="1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  <c r="BB3537" s="2"/>
      <c r="BC3537" s="2"/>
      <c r="BD3537" s="2"/>
      <c r="BE3537" s="2"/>
      <c r="BF3537" s="2"/>
      <c r="BG3537" s="2"/>
      <c r="BH3537" s="2"/>
      <c r="BI3537" s="2"/>
      <c r="BJ3537" s="2"/>
      <c r="BK3537" s="2"/>
      <c r="BL3537" s="2"/>
      <c r="BM3537" s="2"/>
      <c r="BN3537" s="2"/>
      <c r="BO3537" s="2"/>
      <c r="BP3537" s="2"/>
      <c r="BQ3537" s="2"/>
      <c r="BR3537" s="2"/>
      <c r="BS3537" s="2"/>
      <c r="BT3537" s="2"/>
      <c r="BU3537" s="2"/>
    </row>
    <row r="3538" spans="2:73" s="38" customFormat="1">
      <c r="B3538" s="1"/>
      <c r="C3538" s="1"/>
      <c r="D3538" s="1"/>
      <c r="E3538" s="1"/>
      <c r="F3538" s="1"/>
      <c r="G3538" s="1"/>
      <c r="H3538" s="1"/>
      <c r="I3538" s="1"/>
      <c r="J3538" s="1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  <c r="BA3538" s="2"/>
      <c r="BB3538" s="2"/>
      <c r="BC3538" s="2"/>
      <c r="BD3538" s="2"/>
      <c r="BE3538" s="2"/>
      <c r="BF3538" s="2"/>
      <c r="BG3538" s="2"/>
      <c r="BH3538" s="2"/>
      <c r="BI3538" s="2"/>
      <c r="BJ3538" s="2"/>
      <c r="BK3538" s="2"/>
      <c r="BL3538" s="2"/>
      <c r="BM3538" s="2"/>
      <c r="BN3538" s="2"/>
      <c r="BO3538" s="2"/>
      <c r="BP3538" s="2"/>
      <c r="BQ3538" s="2"/>
      <c r="BR3538" s="2"/>
      <c r="BS3538" s="2"/>
      <c r="BT3538" s="2"/>
      <c r="BU3538" s="2"/>
    </row>
    <row r="3539" spans="2:73" s="38" customFormat="1">
      <c r="B3539" s="1"/>
      <c r="C3539" s="1"/>
      <c r="D3539" s="1"/>
      <c r="E3539" s="1"/>
      <c r="F3539" s="1"/>
      <c r="G3539" s="1"/>
      <c r="H3539" s="1"/>
      <c r="I3539" s="1"/>
      <c r="J3539" s="1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  <c r="BB3539" s="2"/>
      <c r="BC3539" s="2"/>
      <c r="BD3539" s="2"/>
      <c r="BE3539" s="2"/>
      <c r="BF3539" s="2"/>
      <c r="BG3539" s="2"/>
      <c r="BH3539" s="2"/>
      <c r="BI3539" s="2"/>
      <c r="BJ3539" s="2"/>
      <c r="BK3539" s="2"/>
      <c r="BL3539" s="2"/>
      <c r="BM3539" s="2"/>
      <c r="BN3539" s="2"/>
      <c r="BO3539" s="2"/>
      <c r="BP3539" s="2"/>
      <c r="BQ3539" s="2"/>
      <c r="BR3539" s="2"/>
      <c r="BS3539" s="2"/>
      <c r="BT3539" s="2"/>
      <c r="BU3539" s="2"/>
    </row>
    <row r="3540" spans="2:73" s="38" customFormat="1">
      <c r="B3540" s="1"/>
      <c r="C3540" s="1"/>
      <c r="D3540" s="1"/>
      <c r="E3540" s="1"/>
      <c r="F3540" s="1"/>
      <c r="G3540" s="1"/>
      <c r="H3540" s="1"/>
      <c r="I3540" s="1"/>
      <c r="J3540" s="1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  <c r="BB3540" s="2"/>
      <c r="BC3540" s="2"/>
      <c r="BD3540" s="2"/>
      <c r="BE3540" s="2"/>
      <c r="BF3540" s="2"/>
      <c r="BG3540" s="2"/>
      <c r="BH3540" s="2"/>
      <c r="BI3540" s="2"/>
      <c r="BJ3540" s="2"/>
      <c r="BK3540" s="2"/>
      <c r="BL3540" s="2"/>
      <c r="BM3540" s="2"/>
      <c r="BN3540" s="2"/>
      <c r="BO3540" s="2"/>
      <c r="BP3540" s="2"/>
      <c r="BQ3540" s="2"/>
      <c r="BR3540" s="2"/>
      <c r="BS3540" s="2"/>
      <c r="BT3540" s="2"/>
      <c r="BU3540" s="2"/>
    </row>
    <row r="3541" spans="2:73" s="38" customFormat="1">
      <c r="B3541" s="1"/>
      <c r="C3541" s="1"/>
      <c r="D3541" s="1"/>
      <c r="E3541" s="1"/>
      <c r="F3541" s="1"/>
      <c r="G3541" s="1"/>
      <c r="H3541" s="1"/>
      <c r="I3541" s="1"/>
      <c r="J3541" s="1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  <c r="BA3541" s="2"/>
      <c r="BB3541" s="2"/>
      <c r="BC3541" s="2"/>
      <c r="BD3541" s="2"/>
      <c r="BE3541" s="2"/>
      <c r="BF3541" s="2"/>
      <c r="BG3541" s="2"/>
      <c r="BH3541" s="2"/>
      <c r="BI3541" s="2"/>
      <c r="BJ3541" s="2"/>
      <c r="BK3541" s="2"/>
      <c r="BL3541" s="2"/>
      <c r="BM3541" s="2"/>
      <c r="BN3541" s="2"/>
      <c r="BO3541" s="2"/>
      <c r="BP3541" s="2"/>
      <c r="BQ3541" s="2"/>
      <c r="BR3541" s="2"/>
      <c r="BS3541" s="2"/>
      <c r="BT3541" s="2"/>
      <c r="BU3541" s="2"/>
    </row>
    <row r="3542" spans="2:73" s="38" customFormat="1">
      <c r="B3542" s="1"/>
      <c r="C3542" s="1"/>
      <c r="D3542" s="1"/>
      <c r="E3542" s="1"/>
      <c r="F3542" s="1"/>
      <c r="G3542" s="1"/>
      <c r="H3542" s="1"/>
      <c r="I3542" s="1"/>
      <c r="J3542" s="1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  <c r="BA3542" s="2"/>
      <c r="BB3542" s="2"/>
      <c r="BC3542" s="2"/>
      <c r="BD3542" s="2"/>
      <c r="BE3542" s="2"/>
      <c r="BF3542" s="2"/>
      <c r="BG3542" s="2"/>
      <c r="BH3542" s="2"/>
      <c r="BI3542" s="2"/>
      <c r="BJ3542" s="2"/>
      <c r="BK3542" s="2"/>
      <c r="BL3542" s="2"/>
      <c r="BM3542" s="2"/>
      <c r="BN3542" s="2"/>
      <c r="BO3542" s="2"/>
      <c r="BP3542" s="2"/>
      <c r="BQ3542" s="2"/>
      <c r="BR3542" s="2"/>
      <c r="BS3542" s="2"/>
      <c r="BT3542" s="2"/>
      <c r="BU3542" s="2"/>
    </row>
    <row r="3543" spans="2:73" s="38" customFormat="1">
      <c r="B3543" s="1"/>
      <c r="C3543" s="1"/>
      <c r="D3543" s="1"/>
      <c r="E3543" s="1"/>
      <c r="F3543" s="1"/>
      <c r="G3543" s="1"/>
      <c r="H3543" s="1"/>
      <c r="I3543" s="1"/>
      <c r="J3543" s="1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  <c r="BB3543" s="2"/>
      <c r="BC3543" s="2"/>
      <c r="BD3543" s="2"/>
      <c r="BE3543" s="2"/>
      <c r="BF3543" s="2"/>
      <c r="BG3543" s="2"/>
      <c r="BH3543" s="2"/>
      <c r="BI3543" s="2"/>
      <c r="BJ3543" s="2"/>
      <c r="BK3543" s="2"/>
      <c r="BL3543" s="2"/>
      <c r="BM3543" s="2"/>
      <c r="BN3543" s="2"/>
      <c r="BO3543" s="2"/>
      <c r="BP3543" s="2"/>
      <c r="BQ3543" s="2"/>
      <c r="BR3543" s="2"/>
      <c r="BS3543" s="2"/>
      <c r="BT3543" s="2"/>
      <c r="BU3543" s="2"/>
    </row>
    <row r="3544" spans="2:73" s="38" customFormat="1">
      <c r="B3544" s="1"/>
      <c r="C3544" s="1"/>
      <c r="D3544" s="1"/>
      <c r="E3544" s="1"/>
      <c r="F3544" s="1"/>
      <c r="G3544" s="1"/>
      <c r="H3544" s="1"/>
      <c r="I3544" s="1"/>
      <c r="J3544" s="1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2"/>
      <c r="BC3544" s="2"/>
      <c r="BD3544" s="2"/>
      <c r="BE3544" s="2"/>
      <c r="BF3544" s="2"/>
      <c r="BG3544" s="2"/>
      <c r="BH3544" s="2"/>
      <c r="BI3544" s="2"/>
      <c r="BJ3544" s="2"/>
      <c r="BK3544" s="2"/>
      <c r="BL3544" s="2"/>
      <c r="BM3544" s="2"/>
      <c r="BN3544" s="2"/>
      <c r="BO3544" s="2"/>
      <c r="BP3544" s="2"/>
      <c r="BQ3544" s="2"/>
      <c r="BR3544" s="2"/>
      <c r="BS3544" s="2"/>
      <c r="BT3544" s="2"/>
      <c r="BU3544" s="2"/>
    </row>
    <row r="3545" spans="2:73" s="38" customFormat="1">
      <c r="B3545" s="1"/>
      <c r="C3545" s="1"/>
      <c r="D3545" s="1"/>
      <c r="E3545" s="1"/>
      <c r="F3545" s="1"/>
      <c r="G3545" s="1"/>
      <c r="H3545" s="1"/>
      <c r="I3545" s="1"/>
      <c r="J3545" s="1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/>
      <c r="BB3545" s="2"/>
      <c r="BC3545" s="2"/>
      <c r="BD3545" s="2"/>
      <c r="BE3545" s="2"/>
      <c r="BF3545" s="2"/>
      <c r="BG3545" s="2"/>
      <c r="BH3545" s="2"/>
      <c r="BI3545" s="2"/>
      <c r="BJ3545" s="2"/>
      <c r="BK3545" s="2"/>
      <c r="BL3545" s="2"/>
      <c r="BM3545" s="2"/>
      <c r="BN3545" s="2"/>
      <c r="BO3545" s="2"/>
      <c r="BP3545" s="2"/>
      <c r="BQ3545" s="2"/>
      <c r="BR3545" s="2"/>
      <c r="BS3545" s="2"/>
      <c r="BT3545" s="2"/>
      <c r="BU3545" s="2"/>
    </row>
    <row r="3546" spans="2:73" s="38" customFormat="1">
      <c r="B3546" s="1"/>
      <c r="C3546" s="1"/>
      <c r="D3546" s="1"/>
      <c r="E3546" s="1"/>
      <c r="F3546" s="1"/>
      <c r="G3546" s="1"/>
      <c r="H3546" s="1"/>
      <c r="I3546" s="1"/>
      <c r="J3546" s="1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/>
      <c r="BB3546" s="2"/>
      <c r="BC3546" s="2"/>
      <c r="BD3546" s="2"/>
      <c r="BE3546" s="2"/>
      <c r="BF3546" s="2"/>
      <c r="BG3546" s="2"/>
      <c r="BH3546" s="2"/>
      <c r="BI3546" s="2"/>
      <c r="BJ3546" s="2"/>
      <c r="BK3546" s="2"/>
      <c r="BL3546" s="2"/>
      <c r="BM3546" s="2"/>
      <c r="BN3546" s="2"/>
      <c r="BO3546" s="2"/>
      <c r="BP3546" s="2"/>
      <c r="BQ3546" s="2"/>
      <c r="BR3546" s="2"/>
      <c r="BS3546" s="2"/>
      <c r="BT3546" s="2"/>
      <c r="BU3546" s="2"/>
    </row>
    <row r="3547" spans="2:73" s="38" customFormat="1">
      <c r="B3547" s="1"/>
      <c r="C3547" s="1"/>
      <c r="D3547" s="1"/>
      <c r="E3547" s="1"/>
      <c r="F3547" s="1"/>
      <c r="G3547" s="1"/>
      <c r="H3547" s="1"/>
      <c r="I3547" s="1"/>
      <c r="J3547" s="1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  <c r="BA3547" s="2"/>
      <c r="BB3547" s="2"/>
      <c r="BC3547" s="2"/>
      <c r="BD3547" s="2"/>
      <c r="BE3547" s="2"/>
      <c r="BF3547" s="2"/>
      <c r="BG3547" s="2"/>
      <c r="BH3547" s="2"/>
      <c r="BI3547" s="2"/>
      <c r="BJ3547" s="2"/>
      <c r="BK3547" s="2"/>
      <c r="BL3547" s="2"/>
      <c r="BM3547" s="2"/>
      <c r="BN3547" s="2"/>
      <c r="BO3547" s="2"/>
      <c r="BP3547" s="2"/>
      <c r="BQ3547" s="2"/>
      <c r="BR3547" s="2"/>
      <c r="BS3547" s="2"/>
      <c r="BT3547" s="2"/>
      <c r="BU3547" s="2"/>
    </row>
    <row r="3548" spans="2:73" s="38" customFormat="1">
      <c r="B3548" s="1"/>
      <c r="C3548" s="1"/>
      <c r="D3548" s="1"/>
      <c r="E3548" s="1"/>
      <c r="F3548" s="1"/>
      <c r="G3548" s="1"/>
      <c r="H3548" s="1"/>
      <c r="I3548" s="1"/>
      <c r="J3548" s="1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  <c r="BB3548" s="2"/>
      <c r="BC3548" s="2"/>
      <c r="BD3548" s="2"/>
      <c r="BE3548" s="2"/>
      <c r="BF3548" s="2"/>
      <c r="BG3548" s="2"/>
      <c r="BH3548" s="2"/>
      <c r="BI3548" s="2"/>
      <c r="BJ3548" s="2"/>
      <c r="BK3548" s="2"/>
      <c r="BL3548" s="2"/>
      <c r="BM3548" s="2"/>
      <c r="BN3548" s="2"/>
      <c r="BO3548" s="2"/>
      <c r="BP3548" s="2"/>
      <c r="BQ3548" s="2"/>
      <c r="BR3548" s="2"/>
      <c r="BS3548" s="2"/>
      <c r="BT3548" s="2"/>
      <c r="BU3548" s="2"/>
    </row>
    <row r="3549" spans="2:73" s="38" customFormat="1">
      <c r="B3549" s="1"/>
      <c r="C3549" s="1"/>
      <c r="D3549" s="1"/>
      <c r="E3549" s="1"/>
      <c r="F3549" s="1"/>
      <c r="G3549" s="1"/>
      <c r="H3549" s="1"/>
      <c r="I3549" s="1"/>
      <c r="J3549" s="1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  <c r="BB3549" s="2"/>
      <c r="BC3549" s="2"/>
      <c r="BD3549" s="2"/>
      <c r="BE3549" s="2"/>
      <c r="BF3549" s="2"/>
      <c r="BG3549" s="2"/>
      <c r="BH3549" s="2"/>
      <c r="BI3549" s="2"/>
      <c r="BJ3549" s="2"/>
      <c r="BK3549" s="2"/>
      <c r="BL3549" s="2"/>
      <c r="BM3549" s="2"/>
      <c r="BN3549" s="2"/>
      <c r="BO3549" s="2"/>
      <c r="BP3549" s="2"/>
      <c r="BQ3549" s="2"/>
      <c r="BR3549" s="2"/>
      <c r="BS3549" s="2"/>
      <c r="BT3549" s="2"/>
      <c r="BU3549" s="2"/>
    </row>
    <row r="3550" spans="2:73" s="38" customFormat="1">
      <c r="B3550" s="1"/>
      <c r="C3550" s="1"/>
      <c r="D3550" s="1"/>
      <c r="E3550" s="1"/>
      <c r="F3550" s="1"/>
      <c r="G3550" s="1"/>
      <c r="H3550" s="1"/>
      <c r="I3550" s="1"/>
      <c r="J3550" s="1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  <c r="BB3550" s="2"/>
      <c r="BC3550" s="2"/>
      <c r="BD3550" s="2"/>
      <c r="BE3550" s="2"/>
      <c r="BF3550" s="2"/>
      <c r="BG3550" s="2"/>
      <c r="BH3550" s="2"/>
      <c r="BI3550" s="2"/>
      <c r="BJ3550" s="2"/>
      <c r="BK3550" s="2"/>
      <c r="BL3550" s="2"/>
      <c r="BM3550" s="2"/>
      <c r="BN3550" s="2"/>
      <c r="BO3550" s="2"/>
      <c r="BP3550" s="2"/>
      <c r="BQ3550" s="2"/>
      <c r="BR3550" s="2"/>
      <c r="BS3550" s="2"/>
      <c r="BT3550" s="2"/>
      <c r="BU3550" s="2"/>
    </row>
    <row r="3551" spans="2:73" s="38" customFormat="1">
      <c r="B3551" s="1"/>
      <c r="C3551" s="1"/>
      <c r="D3551" s="1"/>
      <c r="E3551" s="1"/>
      <c r="F3551" s="1"/>
      <c r="G3551" s="1"/>
      <c r="H3551" s="1"/>
      <c r="I3551" s="1"/>
      <c r="J3551" s="1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  <c r="BB3551" s="2"/>
      <c r="BC3551" s="2"/>
      <c r="BD3551" s="2"/>
      <c r="BE3551" s="2"/>
      <c r="BF3551" s="2"/>
      <c r="BG3551" s="2"/>
      <c r="BH3551" s="2"/>
      <c r="BI3551" s="2"/>
      <c r="BJ3551" s="2"/>
      <c r="BK3551" s="2"/>
      <c r="BL3551" s="2"/>
      <c r="BM3551" s="2"/>
      <c r="BN3551" s="2"/>
      <c r="BO3551" s="2"/>
      <c r="BP3551" s="2"/>
      <c r="BQ3551" s="2"/>
      <c r="BR3551" s="2"/>
      <c r="BS3551" s="2"/>
      <c r="BT3551" s="2"/>
      <c r="BU3551" s="2"/>
    </row>
    <row r="3552" spans="2:73" s="38" customFormat="1">
      <c r="B3552" s="1"/>
      <c r="C3552" s="1"/>
      <c r="D3552" s="1"/>
      <c r="E3552" s="1"/>
      <c r="F3552" s="1"/>
      <c r="G3552" s="1"/>
      <c r="H3552" s="1"/>
      <c r="I3552" s="1"/>
      <c r="J3552" s="1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  <c r="BB3552" s="2"/>
      <c r="BC3552" s="2"/>
      <c r="BD3552" s="2"/>
      <c r="BE3552" s="2"/>
      <c r="BF3552" s="2"/>
      <c r="BG3552" s="2"/>
      <c r="BH3552" s="2"/>
      <c r="BI3552" s="2"/>
      <c r="BJ3552" s="2"/>
      <c r="BK3552" s="2"/>
      <c r="BL3552" s="2"/>
      <c r="BM3552" s="2"/>
      <c r="BN3552" s="2"/>
      <c r="BO3552" s="2"/>
      <c r="BP3552" s="2"/>
      <c r="BQ3552" s="2"/>
      <c r="BR3552" s="2"/>
      <c r="BS3552" s="2"/>
      <c r="BT3552" s="2"/>
      <c r="BU3552" s="2"/>
    </row>
    <row r="3553" spans="2:73" s="38" customFormat="1">
      <c r="B3553" s="1"/>
      <c r="C3553" s="1"/>
      <c r="D3553" s="1"/>
      <c r="E3553" s="1"/>
      <c r="F3553" s="1"/>
      <c r="G3553" s="1"/>
      <c r="H3553" s="1"/>
      <c r="I3553" s="1"/>
      <c r="J3553" s="1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  <c r="BB3553" s="2"/>
      <c r="BC3553" s="2"/>
      <c r="BD3553" s="2"/>
      <c r="BE3553" s="2"/>
      <c r="BF3553" s="2"/>
      <c r="BG3553" s="2"/>
      <c r="BH3553" s="2"/>
      <c r="BI3553" s="2"/>
      <c r="BJ3553" s="2"/>
      <c r="BK3553" s="2"/>
      <c r="BL3553" s="2"/>
      <c r="BM3553" s="2"/>
      <c r="BN3553" s="2"/>
      <c r="BO3553" s="2"/>
      <c r="BP3553" s="2"/>
      <c r="BQ3553" s="2"/>
      <c r="BR3553" s="2"/>
      <c r="BS3553" s="2"/>
      <c r="BT3553" s="2"/>
      <c r="BU3553" s="2"/>
    </row>
    <row r="3554" spans="2:73" s="38" customFormat="1">
      <c r="B3554" s="1"/>
      <c r="C3554" s="1"/>
      <c r="D3554" s="1"/>
      <c r="E3554" s="1"/>
      <c r="F3554" s="1"/>
      <c r="G3554" s="1"/>
      <c r="H3554" s="1"/>
      <c r="I3554" s="1"/>
      <c r="J3554" s="1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  <c r="BB3554" s="2"/>
      <c r="BC3554" s="2"/>
      <c r="BD3554" s="2"/>
      <c r="BE3554" s="2"/>
      <c r="BF3554" s="2"/>
      <c r="BG3554" s="2"/>
      <c r="BH3554" s="2"/>
      <c r="BI3554" s="2"/>
      <c r="BJ3554" s="2"/>
      <c r="BK3554" s="2"/>
      <c r="BL3554" s="2"/>
      <c r="BM3554" s="2"/>
      <c r="BN3554" s="2"/>
      <c r="BO3554" s="2"/>
      <c r="BP3554" s="2"/>
      <c r="BQ3554" s="2"/>
      <c r="BR3554" s="2"/>
      <c r="BS3554" s="2"/>
      <c r="BT3554" s="2"/>
      <c r="BU3554" s="2"/>
    </row>
    <row r="3555" spans="2:73" s="38" customFormat="1">
      <c r="B3555" s="1"/>
      <c r="C3555" s="1"/>
      <c r="D3555" s="1"/>
      <c r="E3555" s="1"/>
      <c r="F3555" s="1"/>
      <c r="G3555" s="1"/>
      <c r="H3555" s="1"/>
      <c r="I3555" s="1"/>
      <c r="J3555" s="1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  <c r="BB3555" s="2"/>
      <c r="BC3555" s="2"/>
      <c r="BD3555" s="2"/>
      <c r="BE3555" s="2"/>
      <c r="BF3555" s="2"/>
      <c r="BG3555" s="2"/>
      <c r="BH3555" s="2"/>
      <c r="BI3555" s="2"/>
      <c r="BJ3555" s="2"/>
      <c r="BK3555" s="2"/>
      <c r="BL3555" s="2"/>
      <c r="BM3555" s="2"/>
      <c r="BN3555" s="2"/>
      <c r="BO3555" s="2"/>
      <c r="BP3555" s="2"/>
      <c r="BQ3555" s="2"/>
      <c r="BR3555" s="2"/>
      <c r="BS3555" s="2"/>
      <c r="BT3555" s="2"/>
      <c r="BU3555" s="2"/>
    </row>
    <row r="3556" spans="2:73" s="38" customFormat="1">
      <c r="B3556" s="1"/>
      <c r="C3556" s="1"/>
      <c r="D3556" s="1"/>
      <c r="E3556" s="1"/>
      <c r="F3556" s="1"/>
      <c r="G3556" s="1"/>
      <c r="H3556" s="1"/>
      <c r="I3556" s="1"/>
      <c r="J3556" s="1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  <c r="BA3556" s="2"/>
      <c r="BB3556" s="2"/>
      <c r="BC3556" s="2"/>
      <c r="BD3556" s="2"/>
      <c r="BE3556" s="2"/>
      <c r="BF3556" s="2"/>
      <c r="BG3556" s="2"/>
      <c r="BH3556" s="2"/>
      <c r="BI3556" s="2"/>
      <c r="BJ3556" s="2"/>
      <c r="BK3556" s="2"/>
      <c r="BL3556" s="2"/>
      <c r="BM3556" s="2"/>
      <c r="BN3556" s="2"/>
      <c r="BO3556" s="2"/>
      <c r="BP3556" s="2"/>
      <c r="BQ3556" s="2"/>
      <c r="BR3556" s="2"/>
      <c r="BS3556" s="2"/>
      <c r="BT3556" s="2"/>
      <c r="BU3556" s="2"/>
    </row>
    <row r="3557" spans="2:73" s="38" customFormat="1">
      <c r="B3557" s="1"/>
      <c r="C3557" s="1"/>
      <c r="D3557" s="1"/>
      <c r="E3557" s="1"/>
      <c r="F3557" s="1"/>
      <c r="G3557" s="1"/>
      <c r="H3557" s="1"/>
      <c r="I3557" s="1"/>
      <c r="J3557" s="1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  <c r="BA3557" s="2"/>
      <c r="BB3557" s="2"/>
      <c r="BC3557" s="2"/>
      <c r="BD3557" s="2"/>
      <c r="BE3557" s="2"/>
      <c r="BF3557" s="2"/>
      <c r="BG3557" s="2"/>
      <c r="BH3557" s="2"/>
      <c r="BI3557" s="2"/>
      <c r="BJ3557" s="2"/>
      <c r="BK3557" s="2"/>
      <c r="BL3557" s="2"/>
      <c r="BM3557" s="2"/>
      <c r="BN3557" s="2"/>
      <c r="BO3557" s="2"/>
      <c r="BP3557" s="2"/>
      <c r="BQ3557" s="2"/>
      <c r="BR3557" s="2"/>
      <c r="BS3557" s="2"/>
      <c r="BT3557" s="2"/>
      <c r="BU3557" s="2"/>
    </row>
    <row r="3558" spans="2:73" s="38" customFormat="1">
      <c r="B3558" s="1"/>
      <c r="C3558" s="1"/>
      <c r="D3558" s="1"/>
      <c r="E3558" s="1"/>
      <c r="F3558" s="1"/>
      <c r="G3558" s="1"/>
      <c r="H3558" s="1"/>
      <c r="I3558" s="1"/>
      <c r="J3558" s="1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  <c r="BA3558" s="2"/>
      <c r="BB3558" s="2"/>
      <c r="BC3558" s="2"/>
      <c r="BD3558" s="2"/>
      <c r="BE3558" s="2"/>
      <c r="BF3558" s="2"/>
      <c r="BG3558" s="2"/>
      <c r="BH3558" s="2"/>
      <c r="BI3558" s="2"/>
      <c r="BJ3558" s="2"/>
      <c r="BK3558" s="2"/>
      <c r="BL3558" s="2"/>
      <c r="BM3558" s="2"/>
      <c r="BN3558" s="2"/>
      <c r="BO3558" s="2"/>
      <c r="BP3558" s="2"/>
      <c r="BQ3558" s="2"/>
      <c r="BR3558" s="2"/>
      <c r="BS3558" s="2"/>
      <c r="BT3558" s="2"/>
      <c r="BU3558" s="2"/>
    </row>
    <row r="3559" spans="2:73" s="38" customFormat="1">
      <c r="B3559" s="1"/>
      <c r="C3559" s="1"/>
      <c r="D3559" s="1"/>
      <c r="E3559" s="1"/>
      <c r="F3559" s="1"/>
      <c r="G3559" s="1"/>
      <c r="H3559" s="1"/>
      <c r="I3559" s="1"/>
      <c r="J3559" s="1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  <c r="BA3559" s="2"/>
      <c r="BB3559" s="2"/>
      <c r="BC3559" s="2"/>
      <c r="BD3559" s="2"/>
      <c r="BE3559" s="2"/>
      <c r="BF3559" s="2"/>
      <c r="BG3559" s="2"/>
      <c r="BH3559" s="2"/>
      <c r="BI3559" s="2"/>
      <c r="BJ3559" s="2"/>
      <c r="BK3559" s="2"/>
      <c r="BL3559" s="2"/>
      <c r="BM3559" s="2"/>
      <c r="BN3559" s="2"/>
      <c r="BO3559" s="2"/>
      <c r="BP3559" s="2"/>
      <c r="BQ3559" s="2"/>
      <c r="BR3559" s="2"/>
      <c r="BS3559" s="2"/>
      <c r="BT3559" s="2"/>
      <c r="BU3559" s="2"/>
    </row>
    <row r="3560" spans="2:73" s="38" customFormat="1">
      <c r="B3560" s="1"/>
      <c r="C3560" s="1"/>
      <c r="D3560" s="1"/>
      <c r="E3560" s="1"/>
      <c r="F3560" s="1"/>
      <c r="G3560" s="1"/>
      <c r="H3560" s="1"/>
      <c r="I3560" s="1"/>
      <c r="J3560" s="1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/>
      <c r="BB3560" s="2"/>
      <c r="BC3560" s="2"/>
      <c r="BD3560" s="2"/>
      <c r="BE3560" s="2"/>
      <c r="BF3560" s="2"/>
      <c r="BG3560" s="2"/>
      <c r="BH3560" s="2"/>
      <c r="BI3560" s="2"/>
      <c r="BJ3560" s="2"/>
      <c r="BK3560" s="2"/>
      <c r="BL3560" s="2"/>
      <c r="BM3560" s="2"/>
      <c r="BN3560" s="2"/>
      <c r="BO3560" s="2"/>
      <c r="BP3560" s="2"/>
      <c r="BQ3560" s="2"/>
      <c r="BR3560" s="2"/>
      <c r="BS3560" s="2"/>
      <c r="BT3560" s="2"/>
      <c r="BU3560" s="2"/>
    </row>
    <row r="3561" spans="2:73" s="38" customFormat="1">
      <c r="B3561" s="1"/>
      <c r="C3561" s="1"/>
      <c r="D3561" s="1"/>
      <c r="E3561" s="1"/>
      <c r="F3561" s="1"/>
      <c r="G3561" s="1"/>
      <c r="H3561" s="1"/>
      <c r="I3561" s="1"/>
      <c r="J3561" s="1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  <c r="BA3561" s="2"/>
      <c r="BB3561" s="2"/>
      <c r="BC3561" s="2"/>
      <c r="BD3561" s="2"/>
      <c r="BE3561" s="2"/>
      <c r="BF3561" s="2"/>
      <c r="BG3561" s="2"/>
      <c r="BH3561" s="2"/>
      <c r="BI3561" s="2"/>
      <c r="BJ3561" s="2"/>
      <c r="BK3561" s="2"/>
      <c r="BL3561" s="2"/>
      <c r="BM3561" s="2"/>
      <c r="BN3561" s="2"/>
      <c r="BO3561" s="2"/>
      <c r="BP3561" s="2"/>
      <c r="BQ3561" s="2"/>
      <c r="BR3561" s="2"/>
      <c r="BS3561" s="2"/>
      <c r="BT3561" s="2"/>
      <c r="BU3561" s="2"/>
    </row>
    <row r="3562" spans="2:73" s="38" customFormat="1">
      <c r="B3562" s="1"/>
      <c r="C3562" s="1"/>
      <c r="D3562" s="1"/>
      <c r="E3562" s="1"/>
      <c r="F3562" s="1"/>
      <c r="G3562" s="1"/>
      <c r="H3562" s="1"/>
      <c r="I3562" s="1"/>
      <c r="J3562" s="1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  <c r="BA3562" s="2"/>
      <c r="BB3562" s="2"/>
      <c r="BC3562" s="2"/>
      <c r="BD3562" s="2"/>
      <c r="BE3562" s="2"/>
      <c r="BF3562" s="2"/>
      <c r="BG3562" s="2"/>
      <c r="BH3562" s="2"/>
      <c r="BI3562" s="2"/>
      <c r="BJ3562" s="2"/>
      <c r="BK3562" s="2"/>
      <c r="BL3562" s="2"/>
      <c r="BM3562" s="2"/>
      <c r="BN3562" s="2"/>
      <c r="BO3562" s="2"/>
      <c r="BP3562" s="2"/>
      <c r="BQ3562" s="2"/>
      <c r="BR3562" s="2"/>
      <c r="BS3562" s="2"/>
      <c r="BT3562" s="2"/>
      <c r="BU3562" s="2"/>
    </row>
    <row r="3563" spans="2:73" s="38" customFormat="1">
      <c r="B3563" s="1"/>
      <c r="C3563" s="1"/>
      <c r="D3563" s="1"/>
      <c r="E3563" s="1"/>
      <c r="F3563" s="1"/>
      <c r="G3563" s="1"/>
      <c r="H3563" s="1"/>
      <c r="I3563" s="1"/>
      <c r="J3563" s="1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  <c r="BA3563" s="2"/>
      <c r="BB3563" s="2"/>
      <c r="BC3563" s="2"/>
      <c r="BD3563" s="2"/>
      <c r="BE3563" s="2"/>
      <c r="BF3563" s="2"/>
      <c r="BG3563" s="2"/>
      <c r="BH3563" s="2"/>
      <c r="BI3563" s="2"/>
      <c r="BJ3563" s="2"/>
      <c r="BK3563" s="2"/>
      <c r="BL3563" s="2"/>
      <c r="BM3563" s="2"/>
      <c r="BN3563" s="2"/>
      <c r="BO3563" s="2"/>
      <c r="BP3563" s="2"/>
      <c r="BQ3563" s="2"/>
      <c r="BR3563" s="2"/>
      <c r="BS3563" s="2"/>
      <c r="BT3563" s="2"/>
      <c r="BU3563" s="2"/>
    </row>
    <row r="3564" spans="2:73" s="38" customFormat="1">
      <c r="B3564" s="1"/>
      <c r="C3564" s="1"/>
      <c r="D3564" s="1"/>
      <c r="E3564" s="1"/>
      <c r="F3564" s="1"/>
      <c r="G3564" s="1"/>
      <c r="H3564" s="1"/>
      <c r="I3564" s="1"/>
      <c r="J3564" s="1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  <c r="BA3564" s="2"/>
      <c r="BB3564" s="2"/>
      <c r="BC3564" s="2"/>
      <c r="BD3564" s="2"/>
      <c r="BE3564" s="2"/>
      <c r="BF3564" s="2"/>
      <c r="BG3564" s="2"/>
      <c r="BH3564" s="2"/>
      <c r="BI3564" s="2"/>
      <c r="BJ3564" s="2"/>
      <c r="BK3564" s="2"/>
      <c r="BL3564" s="2"/>
      <c r="BM3564" s="2"/>
      <c r="BN3564" s="2"/>
      <c r="BO3564" s="2"/>
      <c r="BP3564" s="2"/>
      <c r="BQ3564" s="2"/>
      <c r="BR3564" s="2"/>
      <c r="BS3564" s="2"/>
      <c r="BT3564" s="2"/>
      <c r="BU3564" s="2"/>
    </row>
    <row r="3565" spans="2:73" s="38" customFormat="1">
      <c r="B3565" s="1"/>
      <c r="C3565" s="1"/>
      <c r="D3565" s="1"/>
      <c r="E3565" s="1"/>
      <c r="F3565" s="1"/>
      <c r="G3565" s="1"/>
      <c r="H3565" s="1"/>
      <c r="I3565" s="1"/>
      <c r="J3565" s="1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  <c r="BA3565" s="2"/>
      <c r="BB3565" s="2"/>
      <c r="BC3565" s="2"/>
      <c r="BD3565" s="2"/>
      <c r="BE3565" s="2"/>
      <c r="BF3565" s="2"/>
      <c r="BG3565" s="2"/>
      <c r="BH3565" s="2"/>
      <c r="BI3565" s="2"/>
      <c r="BJ3565" s="2"/>
      <c r="BK3565" s="2"/>
      <c r="BL3565" s="2"/>
      <c r="BM3565" s="2"/>
      <c r="BN3565" s="2"/>
      <c r="BO3565" s="2"/>
      <c r="BP3565" s="2"/>
      <c r="BQ3565" s="2"/>
      <c r="BR3565" s="2"/>
      <c r="BS3565" s="2"/>
      <c r="BT3565" s="2"/>
      <c r="BU3565" s="2"/>
    </row>
    <row r="3566" spans="2:73" s="38" customFormat="1">
      <c r="B3566" s="1"/>
      <c r="C3566" s="1"/>
      <c r="D3566" s="1"/>
      <c r="E3566" s="1"/>
      <c r="F3566" s="1"/>
      <c r="G3566" s="1"/>
      <c r="H3566" s="1"/>
      <c r="I3566" s="1"/>
      <c r="J3566" s="1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  <c r="BA3566" s="2"/>
      <c r="BB3566" s="2"/>
      <c r="BC3566" s="2"/>
      <c r="BD3566" s="2"/>
      <c r="BE3566" s="2"/>
      <c r="BF3566" s="2"/>
      <c r="BG3566" s="2"/>
      <c r="BH3566" s="2"/>
      <c r="BI3566" s="2"/>
      <c r="BJ3566" s="2"/>
      <c r="BK3566" s="2"/>
      <c r="BL3566" s="2"/>
      <c r="BM3566" s="2"/>
      <c r="BN3566" s="2"/>
      <c r="BO3566" s="2"/>
      <c r="BP3566" s="2"/>
      <c r="BQ3566" s="2"/>
      <c r="BR3566" s="2"/>
      <c r="BS3566" s="2"/>
      <c r="BT3566" s="2"/>
      <c r="BU3566" s="2"/>
    </row>
    <row r="3567" spans="2:73" s="38" customFormat="1">
      <c r="B3567" s="1"/>
      <c r="C3567" s="1"/>
      <c r="D3567" s="1"/>
      <c r="E3567" s="1"/>
      <c r="F3567" s="1"/>
      <c r="G3567" s="1"/>
      <c r="H3567" s="1"/>
      <c r="I3567" s="1"/>
      <c r="J3567" s="1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  <c r="BA3567" s="2"/>
      <c r="BB3567" s="2"/>
      <c r="BC3567" s="2"/>
      <c r="BD3567" s="2"/>
      <c r="BE3567" s="2"/>
      <c r="BF3567" s="2"/>
      <c r="BG3567" s="2"/>
      <c r="BH3567" s="2"/>
      <c r="BI3567" s="2"/>
      <c r="BJ3567" s="2"/>
      <c r="BK3567" s="2"/>
      <c r="BL3567" s="2"/>
      <c r="BM3567" s="2"/>
      <c r="BN3567" s="2"/>
      <c r="BO3567" s="2"/>
      <c r="BP3567" s="2"/>
      <c r="BQ3567" s="2"/>
      <c r="BR3567" s="2"/>
      <c r="BS3567" s="2"/>
      <c r="BT3567" s="2"/>
      <c r="BU3567" s="2"/>
    </row>
    <row r="3568" spans="2:73" s="38" customFormat="1">
      <c r="B3568" s="1"/>
      <c r="C3568" s="1"/>
      <c r="D3568" s="1"/>
      <c r="E3568" s="1"/>
      <c r="F3568" s="1"/>
      <c r="G3568" s="1"/>
      <c r="H3568" s="1"/>
      <c r="I3568" s="1"/>
      <c r="J3568" s="1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2"/>
      <c r="BC3568" s="2"/>
      <c r="BD3568" s="2"/>
      <c r="BE3568" s="2"/>
      <c r="BF3568" s="2"/>
      <c r="BG3568" s="2"/>
      <c r="BH3568" s="2"/>
      <c r="BI3568" s="2"/>
      <c r="BJ3568" s="2"/>
      <c r="BK3568" s="2"/>
      <c r="BL3568" s="2"/>
      <c r="BM3568" s="2"/>
      <c r="BN3568" s="2"/>
      <c r="BO3568" s="2"/>
      <c r="BP3568" s="2"/>
      <c r="BQ3568" s="2"/>
      <c r="BR3568" s="2"/>
      <c r="BS3568" s="2"/>
      <c r="BT3568" s="2"/>
      <c r="BU3568" s="2"/>
    </row>
    <row r="3569" spans="2:73" s="38" customFormat="1">
      <c r="B3569" s="1"/>
      <c r="C3569" s="1"/>
      <c r="D3569" s="1"/>
      <c r="E3569" s="1"/>
      <c r="F3569" s="1"/>
      <c r="G3569" s="1"/>
      <c r="H3569" s="1"/>
      <c r="I3569" s="1"/>
      <c r="J3569" s="1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  <c r="BB3569" s="2"/>
      <c r="BC3569" s="2"/>
      <c r="BD3569" s="2"/>
      <c r="BE3569" s="2"/>
      <c r="BF3569" s="2"/>
      <c r="BG3569" s="2"/>
      <c r="BH3569" s="2"/>
      <c r="BI3569" s="2"/>
      <c r="BJ3569" s="2"/>
      <c r="BK3569" s="2"/>
      <c r="BL3569" s="2"/>
      <c r="BM3569" s="2"/>
      <c r="BN3569" s="2"/>
      <c r="BO3569" s="2"/>
      <c r="BP3569" s="2"/>
      <c r="BQ3569" s="2"/>
      <c r="BR3569" s="2"/>
      <c r="BS3569" s="2"/>
      <c r="BT3569" s="2"/>
      <c r="BU3569" s="2"/>
    </row>
    <row r="3570" spans="2:73" s="38" customFormat="1">
      <c r="B3570" s="1"/>
      <c r="C3570" s="1"/>
      <c r="D3570" s="1"/>
      <c r="E3570" s="1"/>
      <c r="F3570" s="1"/>
      <c r="G3570" s="1"/>
      <c r="H3570" s="1"/>
      <c r="I3570" s="1"/>
      <c r="J3570" s="1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  <c r="BA3570" s="2"/>
      <c r="BB3570" s="2"/>
      <c r="BC3570" s="2"/>
      <c r="BD3570" s="2"/>
      <c r="BE3570" s="2"/>
      <c r="BF3570" s="2"/>
      <c r="BG3570" s="2"/>
      <c r="BH3570" s="2"/>
      <c r="BI3570" s="2"/>
      <c r="BJ3570" s="2"/>
      <c r="BK3570" s="2"/>
      <c r="BL3570" s="2"/>
      <c r="BM3570" s="2"/>
      <c r="BN3570" s="2"/>
      <c r="BO3570" s="2"/>
      <c r="BP3570" s="2"/>
      <c r="BQ3570" s="2"/>
      <c r="BR3570" s="2"/>
      <c r="BS3570" s="2"/>
      <c r="BT3570" s="2"/>
      <c r="BU3570" s="2"/>
    </row>
    <row r="3571" spans="2:73" s="38" customFormat="1">
      <c r="B3571" s="1"/>
      <c r="C3571" s="1"/>
      <c r="D3571" s="1"/>
      <c r="E3571" s="1"/>
      <c r="F3571" s="1"/>
      <c r="G3571" s="1"/>
      <c r="H3571" s="1"/>
      <c r="I3571" s="1"/>
      <c r="J3571" s="1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  <c r="BA3571" s="2"/>
      <c r="BB3571" s="2"/>
      <c r="BC3571" s="2"/>
      <c r="BD3571" s="2"/>
      <c r="BE3571" s="2"/>
      <c r="BF3571" s="2"/>
      <c r="BG3571" s="2"/>
      <c r="BH3571" s="2"/>
      <c r="BI3571" s="2"/>
      <c r="BJ3571" s="2"/>
      <c r="BK3571" s="2"/>
      <c r="BL3571" s="2"/>
      <c r="BM3571" s="2"/>
      <c r="BN3571" s="2"/>
      <c r="BO3571" s="2"/>
      <c r="BP3571" s="2"/>
      <c r="BQ3571" s="2"/>
      <c r="BR3571" s="2"/>
      <c r="BS3571" s="2"/>
      <c r="BT3571" s="2"/>
      <c r="BU3571" s="2"/>
    </row>
    <row r="3572" spans="2:73" s="38" customFormat="1">
      <c r="B3572" s="1"/>
      <c r="C3572" s="1"/>
      <c r="D3572" s="1"/>
      <c r="E3572" s="1"/>
      <c r="F3572" s="1"/>
      <c r="G3572" s="1"/>
      <c r="H3572" s="1"/>
      <c r="I3572" s="1"/>
      <c r="J3572" s="1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  <c r="BB3572" s="2"/>
      <c r="BC3572" s="2"/>
      <c r="BD3572" s="2"/>
      <c r="BE3572" s="2"/>
      <c r="BF3572" s="2"/>
      <c r="BG3572" s="2"/>
      <c r="BH3572" s="2"/>
      <c r="BI3572" s="2"/>
      <c r="BJ3572" s="2"/>
      <c r="BK3572" s="2"/>
      <c r="BL3572" s="2"/>
      <c r="BM3572" s="2"/>
      <c r="BN3572" s="2"/>
      <c r="BO3572" s="2"/>
      <c r="BP3572" s="2"/>
      <c r="BQ3572" s="2"/>
      <c r="BR3572" s="2"/>
      <c r="BS3572" s="2"/>
      <c r="BT3572" s="2"/>
      <c r="BU3572" s="2"/>
    </row>
    <row r="3573" spans="2:73" s="38" customFormat="1">
      <c r="B3573" s="1"/>
      <c r="C3573" s="1"/>
      <c r="D3573" s="1"/>
      <c r="E3573" s="1"/>
      <c r="F3573" s="1"/>
      <c r="G3573" s="1"/>
      <c r="H3573" s="1"/>
      <c r="I3573" s="1"/>
      <c r="J3573" s="1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  <c r="BA3573" s="2"/>
      <c r="BB3573" s="2"/>
      <c r="BC3573" s="2"/>
      <c r="BD3573" s="2"/>
      <c r="BE3573" s="2"/>
      <c r="BF3573" s="2"/>
      <c r="BG3573" s="2"/>
      <c r="BH3573" s="2"/>
      <c r="BI3573" s="2"/>
      <c r="BJ3573" s="2"/>
      <c r="BK3573" s="2"/>
      <c r="BL3573" s="2"/>
      <c r="BM3573" s="2"/>
      <c r="BN3573" s="2"/>
      <c r="BO3573" s="2"/>
      <c r="BP3573" s="2"/>
      <c r="BQ3573" s="2"/>
      <c r="BR3573" s="2"/>
      <c r="BS3573" s="2"/>
      <c r="BT3573" s="2"/>
      <c r="BU3573" s="2"/>
    </row>
    <row r="3574" spans="2:73" s="38" customFormat="1">
      <c r="B3574" s="1"/>
      <c r="C3574" s="1"/>
      <c r="D3574" s="1"/>
      <c r="E3574" s="1"/>
      <c r="F3574" s="1"/>
      <c r="G3574" s="1"/>
      <c r="H3574" s="1"/>
      <c r="I3574" s="1"/>
      <c r="J3574" s="1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  <c r="BA3574" s="2"/>
      <c r="BB3574" s="2"/>
      <c r="BC3574" s="2"/>
      <c r="BD3574" s="2"/>
      <c r="BE3574" s="2"/>
      <c r="BF3574" s="2"/>
      <c r="BG3574" s="2"/>
      <c r="BH3574" s="2"/>
      <c r="BI3574" s="2"/>
      <c r="BJ3574" s="2"/>
      <c r="BK3574" s="2"/>
      <c r="BL3574" s="2"/>
      <c r="BM3574" s="2"/>
      <c r="BN3574" s="2"/>
      <c r="BO3574" s="2"/>
      <c r="BP3574" s="2"/>
      <c r="BQ3574" s="2"/>
      <c r="BR3574" s="2"/>
      <c r="BS3574" s="2"/>
      <c r="BT3574" s="2"/>
      <c r="BU3574" s="2"/>
    </row>
    <row r="3575" spans="2:73" s="38" customFormat="1">
      <c r="B3575" s="1"/>
      <c r="C3575" s="1"/>
      <c r="D3575" s="1"/>
      <c r="E3575" s="1"/>
      <c r="F3575" s="1"/>
      <c r="G3575" s="1"/>
      <c r="H3575" s="1"/>
      <c r="I3575" s="1"/>
      <c r="J3575" s="1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  <c r="BB3575" s="2"/>
      <c r="BC3575" s="2"/>
      <c r="BD3575" s="2"/>
      <c r="BE3575" s="2"/>
      <c r="BF3575" s="2"/>
      <c r="BG3575" s="2"/>
      <c r="BH3575" s="2"/>
      <c r="BI3575" s="2"/>
      <c r="BJ3575" s="2"/>
      <c r="BK3575" s="2"/>
      <c r="BL3575" s="2"/>
      <c r="BM3575" s="2"/>
      <c r="BN3575" s="2"/>
      <c r="BO3575" s="2"/>
      <c r="BP3575" s="2"/>
      <c r="BQ3575" s="2"/>
      <c r="BR3575" s="2"/>
      <c r="BS3575" s="2"/>
      <c r="BT3575" s="2"/>
      <c r="BU3575" s="2"/>
    </row>
    <row r="3576" spans="2:73" s="38" customFormat="1">
      <c r="B3576" s="1"/>
      <c r="C3576" s="1"/>
      <c r="D3576" s="1"/>
      <c r="E3576" s="1"/>
      <c r="F3576" s="1"/>
      <c r="G3576" s="1"/>
      <c r="H3576" s="1"/>
      <c r="I3576" s="1"/>
      <c r="J3576" s="1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  <c r="BB3576" s="2"/>
      <c r="BC3576" s="2"/>
      <c r="BD3576" s="2"/>
      <c r="BE3576" s="2"/>
      <c r="BF3576" s="2"/>
      <c r="BG3576" s="2"/>
      <c r="BH3576" s="2"/>
      <c r="BI3576" s="2"/>
      <c r="BJ3576" s="2"/>
      <c r="BK3576" s="2"/>
      <c r="BL3576" s="2"/>
      <c r="BM3576" s="2"/>
      <c r="BN3576" s="2"/>
      <c r="BO3576" s="2"/>
      <c r="BP3576" s="2"/>
      <c r="BQ3576" s="2"/>
      <c r="BR3576" s="2"/>
      <c r="BS3576" s="2"/>
      <c r="BT3576" s="2"/>
      <c r="BU3576" s="2"/>
    </row>
    <row r="3577" spans="2:73" s="38" customFormat="1">
      <c r="B3577" s="1"/>
      <c r="C3577" s="1"/>
      <c r="D3577" s="1"/>
      <c r="E3577" s="1"/>
      <c r="F3577" s="1"/>
      <c r="G3577" s="1"/>
      <c r="H3577" s="1"/>
      <c r="I3577" s="1"/>
      <c r="J3577" s="1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  <c r="BA3577" s="2"/>
      <c r="BB3577" s="2"/>
      <c r="BC3577" s="2"/>
      <c r="BD3577" s="2"/>
      <c r="BE3577" s="2"/>
      <c r="BF3577" s="2"/>
      <c r="BG3577" s="2"/>
      <c r="BH3577" s="2"/>
      <c r="BI3577" s="2"/>
      <c r="BJ3577" s="2"/>
      <c r="BK3577" s="2"/>
      <c r="BL3577" s="2"/>
      <c r="BM3577" s="2"/>
      <c r="BN3577" s="2"/>
      <c r="BO3577" s="2"/>
      <c r="BP3577" s="2"/>
      <c r="BQ3577" s="2"/>
      <c r="BR3577" s="2"/>
      <c r="BS3577" s="2"/>
      <c r="BT3577" s="2"/>
      <c r="BU3577" s="2"/>
    </row>
    <row r="3578" spans="2:73" s="38" customFormat="1">
      <c r="B3578" s="1"/>
      <c r="C3578" s="1"/>
      <c r="D3578" s="1"/>
      <c r="E3578" s="1"/>
      <c r="F3578" s="1"/>
      <c r="G3578" s="1"/>
      <c r="H3578" s="1"/>
      <c r="I3578" s="1"/>
      <c r="J3578" s="1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2"/>
      <c r="BA3578" s="2"/>
      <c r="BB3578" s="2"/>
      <c r="BC3578" s="2"/>
      <c r="BD3578" s="2"/>
      <c r="BE3578" s="2"/>
      <c r="BF3578" s="2"/>
      <c r="BG3578" s="2"/>
      <c r="BH3578" s="2"/>
      <c r="BI3578" s="2"/>
      <c r="BJ3578" s="2"/>
      <c r="BK3578" s="2"/>
      <c r="BL3578" s="2"/>
      <c r="BM3578" s="2"/>
      <c r="BN3578" s="2"/>
      <c r="BO3578" s="2"/>
      <c r="BP3578" s="2"/>
      <c r="BQ3578" s="2"/>
      <c r="BR3578" s="2"/>
      <c r="BS3578" s="2"/>
      <c r="BT3578" s="2"/>
      <c r="BU3578" s="2"/>
    </row>
    <row r="3579" spans="2:73" s="38" customFormat="1">
      <c r="B3579" s="1"/>
      <c r="C3579" s="1"/>
      <c r="D3579" s="1"/>
      <c r="E3579" s="1"/>
      <c r="F3579" s="1"/>
      <c r="G3579" s="1"/>
      <c r="H3579" s="1"/>
      <c r="I3579" s="1"/>
      <c r="J3579" s="1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2"/>
      <c r="BA3579" s="2"/>
      <c r="BB3579" s="2"/>
      <c r="BC3579" s="2"/>
      <c r="BD3579" s="2"/>
      <c r="BE3579" s="2"/>
      <c r="BF3579" s="2"/>
      <c r="BG3579" s="2"/>
      <c r="BH3579" s="2"/>
      <c r="BI3579" s="2"/>
      <c r="BJ3579" s="2"/>
      <c r="BK3579" s="2"/>
      <c r="BL3579" s="2"/>
      <c r="BM3579" s="2"/>
      <c r="BN3579" s="2"/>
      <c r="BO3579" s="2"/>
      <c r="BP3579" s="2"/>
      <c r="BQ3579" s="2"/>
      <c r="BR3579" s="2"/>
      <c r="BS3579" s="2"/>
      <c r="BT3579" s="2"/>
      <c r="BU3579" s="2"/>
    </row>
    <row r="3580" spans="2:73" s="38" customFormat="1">
      <c r="B3580" s="1"/>
      <c r="C3580" s="1"/>
      <c r="D3580" s="1"/>
      <c r="E3580" s="1"/>
      <c r="F3580" s="1"/>
      <c r="G3580" s="1"/>
      <c r="H3580" s="1"/>
      <c r="I3580" s="1"/>
      <c r="J3580" s="1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2"/>
      <c r="BC3580" s="2"/>
      <c r="BD3580" s="2"/>
      <c r="BE3580" s="2"/>
      <c r="BF3580" s="2"/>
      <c r="BG3580" s="2"/>
      <c r="BH3580" s="2"/>
      <c r="BI3580" s="2"/>
      <c r="BJ3580" s="2"/>
      <c r="BK3580" s="2"/>
      <c r="BL3580" s="2"/>
      <c r="BM3580" s="2"/>
      <c r="BN3580" s="2"/>
      <c r="BO3580" s="2"/>
      <c r="BP3580" s="2"/>
      <c r="BQ3580" s="2"/>
      <c r="BR3580" s="2"/>
      <c r="BS3580" s="2"/>
      <c r="BT3580" s="2"/>
      <c r="BU3580" s="2"/>
    </row>
    <row r="3581" spans="2:73" s="38" customFormat="1">
      <c r="B3581" s="1"/>
      <c r="C3581" s="1"/>
      <c r="D3581" s="1"/>
      <c r="E3581" s="1"/>
      <c r="F3581" s="1"/>
      <c r="G3581" s="1"/>
      <c r="H3581" s="1"/>
      <c r="I3581" s="1"/>
      <c r="J3581" s="1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  <c r="BB3581" s="2"/>
      <c r="BC3581" s="2"/>
      <c r="BD3581" s="2"/>
      <c r="BE3581" s="2"/>
      <c r="BF3581" s="2"/>
      <c r="BG3581" s="2"/>
      <c r="BH3581" s="2"/>
      <c r="BI3581" s="2"/>
      <c r="BJ3581" s="2"/>
      <c r="BK3581" s="2"/>
      <c r="BL3581" s="2"/>
      <c r="BM3581" s="2"/>
      <c r="BN3581" s="2"/>
      <c r="BO3581" s="2"/>
      <c r="BP3581" s="2"/>
      <c r="BQ3581" s="2"/>
      <c r="BR3581" s="2"/>
      <c r="BS3581" s="2"/>
      <c r="BT3581" s="2"/>
      <c r="BU3581" s="2"/>
    </row>
    <row r="3582" spans="2:73" s="38" customFormat="1">
      <c r="B3582" s="1"/>
      <c r="C3582" s="1"/>
      <c r="D3582" s="1"/>
      <c r="E3582" s="1"/>
      <c r="F3582" s="1"/>
      <c r="G3582" s="1"/>
      <c r="H3582" s="1"/>
      <c r="I3582" s="1"/>
      <c r="J3582" s="1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  <c r="BA3582" s="2"/>
      <c r="BB3582" s="2"/>
      <c r="BC3582" s="2"/>
      <c r="BD3582" s="2"/>
      <c r="BE3582" s="2"/>
      <c r="BF3582" s="2"/>
      <c r="BG3582" s="2"/>
      <c r="BH3582" s="2"/>
      <c r="BI3582" s="2"/>
      <c r="BJ3582" s="2"/>
      <c r="BK3582" s="2"/>
      <c r="BL3582" s="2"/>
      <c r="BM3582" s="2"/>
      <c r="BN3582" s="2"/>
      <c r="BO3582" s="2"/>
      <c r="BP3582" s="2"/>
      <c r="BQ3582" s="2"/>
      <c r="BR3582" s="2"/>
      <c r="BS3582" s="2"/>
      <c r="BT3582" s="2"/>
      <c r="BU3582" s="2"/>
    </row>
    <row r="3583" spans="2:73" s="38" customFormat="1">
      <c r="B3583" s="1"/>
      <c r="C3583" s="1"/>
      <c r="D3583" s="1"/>
      <c r="E3583" s="1"/>
      <c r="F3583" s="1"/>
      <c r="G3583" s="1"/>
      <c r="H3583" s="1"/>
      <c r="I3583" s="1"/>
      <c r="J3583" s="1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  <c r="BA3583" s="2"/>
      <c r="BB3583" s="2"/>
      <c r="BC3583" s="2"/>
      <c r="BD3583" s="2"/>
      <c r="BE3583" s="2"/>
      <c r="BF3583" s="2"/>
      <c r="BG3583" s="2"/>
      <c r="BH3583" s="2"/>
      <c r="BI3583" s="2"/>
      <c r="BJ3583" s="2"/>
      <c r="BK3583" s="2"/>
      <c r="BL3583" s="2"/>
      <c r="BM3583" s="2"/>
      <c r="BN3583" s="2"/>
      <c r="BO3583" s="2"/>
      <c r="BP3583" s="2"/>
      <c r="BQ3583" s="2"/>
      <c r="BR3583" s="2"/>
      <c r="BS3583" s="2"/>
      <c r="BT3583" s="2"/>
      <c r="BU3583" s="2"/>
    </row>
    <row r="3584" spans="2:73" s="38" customFormat="1">
      <c r="B3584" s="1"/>
      <c r="C3584" s="1"/>
      <c r="D3584" s="1"/>
      <c r="E3584" s="1"/>
      <c r="F3584" s="1"/>
      <c r="G3584" s="1"/>
      <c r="H3584" s="1"/>
      <c r="I3584" s="1"/>
      <c r="J3584" s="1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  <c r="BA3584" s="2"/>
      <c r="BB3584" s="2"/>
      <c r="BC3584" s="2"/>
      <c r="BD3584" s="2"/>
      <c r="BE3584" s="2"/>
      <c r="BF3584" s="2"/>
      <c r="BG3584" s="2"/>
      <c r="BH3584" s="2"/>
      <c r="BI3584" s="2"/>
      <c r="BJ3584" s="2"/>
      <c r="BK3584" s="2"/>
      <c r="BL3584" s="2"/>
      <c r="BM3584" s="2"/>
      <c r="BN3584" s="2"/>
      <c r="BO3584" s="2"/>
      <c r="BP3584" s="2"/>
      <c r="BQ3584" s="2"/>
      <c r="BR3584" s="2"/>
      <c r="BS3584" s="2"/>
      <c r="BT3584" s="2"/>
      <c r="BU3584" s="2"/>
    </row>
    <row r="3585" spans="2:73" s="38" customFormat="1">
      <c r="B3585" s="1"/>
      <c r="C3585" s="1"/>
      <c r="D3585" s="1"/>
      <c r="E3585" s="1"/>
      <c r="F3585" s="1"/>
      <c r="G3585" s="1"/>
      <c r="H3585" s="1"/>
      <c r="I3585" s="1"/>
      <c r="J3585" s="1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  <c r="BA3585" s="2"/>
      <c r="BB3585" s="2"/>
      <c r="BC3585" s="2"/>
      <c r="BD3585" s="2"/>
      <c r="BE3585" s="2"/>
      <c r="BF3585" s="2"/>
      <c r="BG3585" s="2"/>
      <c r="BH3585" s="2"/>
      <c r="BI3585" s="2"/>
      <c r="BJ3585" s="2"/>
      <c r="BK3585" s="2"/>
      <c r="BL3585" s="2"/>
      <c r="BM3585" s="2"/>
      <c r="BN3585" s="2"/>
      <c r="BO3585" s="2"/>
      <c r="BP3585" s="2"/>
      <c r="BQ3585" s="2"/>
      <c r="BR3585" s="2"/>
      <c r="BS3585" s="2"/>
      <c r="BT3585" s="2"/>
      <c r="BU3585" s="2"/>
    </row>
    <row r="3586" spans="2:73" s="38" customFormat="1">
      <c r="B3586" s="1"/>
      <c r="C3586" s="1"/>
      <c r="D3586" s="1"/>
      <c r="E3586" s="1"/>
      <c r="F3586" s="1"/>
      <c r="G3586" s="1"/>
      <c r="H3586" s="1"/>
      <c r="I3586" s="1"/>
      <c r="J3586" s="1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2"/>
      <c r="BA3586" s="2"/>
      <c r="BB3586" s="2"/>
      <c r="BC3586" s="2"/>
      <c r="BD3586" s="2"/>
      <c r="BE3586" s="2"/>
      <c r="BF3586" s="2"/>
      <c r="BG3586" s="2"/>
      <c r="BH3586" s="2"/>
      <c r="BI3586" s="2"/>
      <c r="BJ3586" s="2"/>
      <c r="BK3586" s="2"/>
      <c r="BL3586" s="2"/>
      <c r="BM3586" s="2"/>
      <c r="BN3586" s="2"/>
      <c r="BO3586" s="2"/>
      <c r="BP3586" s="2"/>
      <c r="BQ3586" s="2"/>
      <c r="BR3586" s="2"/>
      <c r="BS3586" s="2"/>
      <c r="BT3586" s="2"/>
      <c r="BU3586" s="2"/>
    </row>
    <row r="3587" spans="2:73" s="38" customFormat="1">
      <c r="B3587" s="1"/>
      <c r="C3587" s="1"/>
      <c r="D3587" s="1"/>
      <c r="E3587" s="1"/>
      <c r="F3587" s="1"/>
      <c r="G3587" s="1"/>
      <c r="H3587" s="1"/>
      <c r="I3587" s="1"/>
      <c r="J3587" s="1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2"/>
      <c r="BA3587" s="2"/>
      <c r="BB3587" s="2"/>
      <c r="BC3587" s="2"/>
      <c r="BD3587" s="2"/>
      <c r="BE3587" s="2"/>
      <c r="BF3587" s="2"/>
      <c r="BG3587" s="2"/>
      <c r="BH3587" s="2"/>
      <c r="BI3587" s="2"/>
      <c r="BJ3587" s="2"/>
      <c r="BK3587" s="2"/>
      <c r="BL3587" s="2"/>
      <c r="BM3587" s="2"/>
      <c r="BN3587" s="2"/>
      <c r="BO3587" s="2"/>
      <c r="BP3587" s="2"/>
      <c r="BQ3587" s="2"/>
      <c r="BR3587" s="2"/>
      <c r="BS3587" s="2"/>
      <c r="BT3587" s="2"/>
      <c r="BU3587" s="2"/>
    </row>
    <row r="3588" spans="2:73" s="38" customFormat="1">
      <c r="B3588" s="1"/>
      <c r="C3588" s="1"/>
      <c r="D3588" s="1"/>
      <c r="E3588" s="1"/>
      <c r="F3588" s="1"/>
      <c r="G3588" s="1"/>
      <c r="H3588" s="1"/>
      <c r="I3588" s="1"/>
      <c r="J3588" s="1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  <c r="BA3588" s="2"/>
      <c r="BB3588" s="2"/>
      <c r="BC3588" s="2"/>
      <c r="BD3588" s="2"/>
      <c r="BE3588" s="2"/>
      <c r="BF3588" s="2"/>
      <c r="BG3588" s="2"/>
      <c r="BH3588" s="2"/>
      <c r="BI3588" s="2"/>
      <c r="BJ3588" s="2"/>
      <c r="BK3588" s="2"/>
      <c r="BL3588" s="2"/>
      <c r="BM3588" s="2"/>
      <c r="BN3588" s="2"/>
      <c r="BO3588" s="2"/>
      <c r="BP3588" s="2"/>
      <c r="BQ3588" s="2"/>
      <c r="BR3588" s="2"/>
      <c r="BS3588" s="2"/>
      <c r="BT3588" s="2"/>
      <c r="BU3588" s="2"/>
    </row>
    <row r="3589" spans="2:73" s="38" customFormat="1">
      <c r="B3589" s="1"/>
      <c r="C3589" s="1"/>
      <c r="D3589" s="1"/>
      <c r="E3589" s="1"/>
      <c r="F3589" s="1"/>
      <c r="G3589" s="1"/>
      <c r="H3589" s="1"/>
      <c r="I3589" s="1"/>
      <c r="J3589" s="1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  <c r="BA3589" s="2"/>
      <c r="BB3589" s="2"/>
      <c r="BC3589" s="2"/>
      <c r="BD3589" s="2"/>
      <c r="BE3589" s="2"/>
      <c r="BF3589" s="2"/>
      <c r="BG3589" s="2"/>
      <c r="BH3589" s="2"/>
      <c r="BI3589" s="2"/>
      <c r="BJ3589" s="2"/>
      <c r="BK3589" s="2"/>
      <c r="BL3589" s="2"/>
      <c r="BM3589" s="2"/>
      <c r="BN3589" s="2"/>
      <c r="BO3589" s="2"/>
      <c r="BP3589" s="2"/>
      <c r="BQ3589" s="2"/>
      <c r="BR3589" s="2"/>
      <c r="BS3589" s="2"/>
      <c r="BT3589" s="2"/>
      <c r="BU3589" s="2"/>
    </row>
    <row r="3590" spans="2:73" s="38" customFormat="1">
      <c r="B3590" s="1"/>
      <c r="C3590" s="1"/>
      <c r="D3590" s="1"/>
      <c r="E3590" s="1"/>
      <c r="F3590" s="1"/>
      <c r="G3590" s="1"/>
      <c r="H3590" s="1"/>
      <c r="I3590" s="1"/>
      <c r="J3590" s="1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  <c r="BA3590" s="2"/>
      <c r="BB3590" s="2"/>
      <c r="BC3590" s="2"/>
      <c r="BD3590" s="2"/>
      <c r="BE3590" s="2"/>
      <c r="BF3590" s="2"/>
      <c r="BG3590" s="2"/>
      <c r="BH3590" s="2"/>
      <c r="BI3590" s="2"/>
      <c r="BJ3590" s="2"/>
      <c r="BK3590" s="2"/>
      <c r="BL3590" s="2"/>
      <c r="BM3590" s="2"/>
      <c r="BN3590" s="2"/>
      <c r="BO3590" s="2"/>
      <c r="BP3590" s="2"/>
      <c r="BQ3590" s="2"/>
      <c r="BR3590" s="2"/>
      <c r="BS3590" s="2"/>
      <c r="BT3590" s="2"/>
      <c r="BU3590" s="2"/>
    </row>
    <row r="3591" spans="2:73" s="38" customFormat="1">
      <c r="B3591" s="1"/>
      <c r="C3591" s="1"/>
      <c r="D3591" s="1"/>
      <c r="E3591" s="1"/>
      <c r="F3591" s="1"/>
      <c r="G3591" s="1"/>
      <c r="H3591" s="1"/>
      <c r="I3591" s="1"/>
      <c r="J3591" s="1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2"/>
      <c r="BA3591" s="2"/>
      <c r="BB3591" s="2"/>
      <c r="BC3591" s="2"/>
      <c r="BD3591" s="2"/>
      <c r="BE3591" s="2"/>
      <c r="BF3591" s="2"/>
      <c r="BG3591" s="2"/>
      <c r="BH3591" s="2"/>
      <c r="BI3591" s="2"/>
      <c r="BJ3591" s="2"/>
      <c r="BK3591" s="2"/>
      <c r="BL3591" s="2"/>
      <c r="BM3591" s="2"/>
      <c r="BN3591" s="2"/>
      <c r="BO3591" s="2"/>
      <c r="BP3591" s="2"/>
      <c r="BQ3591" s="2"/>
      <c r="BR3591" s="2"/>
      <c r="BS3591" s="2"/>
      <c r="BT3591" s="2"/>
      <c r="BU3591" s="2"/>
    </row>
    <row r="3592" spans="2:73" s="38" customFormat="1">
      <c r="B3592" s="1"/>
      <c r="C3592" s="1"/>
      <c r="D3592" s="1"/>
      <c r="E3592" s="1"/>
      <c r="F3592" s="1"/>
      <c r="G3592" s="1"/>
      <c r="H3592" s="1"/>
      <c r="I3592" s="1"/>
      <c r="J3592" s="1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  <c r="BA3592" s="2"/>
      <c r="BB3592" s="2"/>
      <c r="BC3592" s="2"/>
      <c r="BD3592" s="2"/>
      <c r="BE3592" s="2"/>
      <c r="BF3592" s="2"/>
      <c r="BG3592" s="2"/>
      <c r="BH3592" s="2"/>
      <c r="BI3592" s="2"/>
      <c r="BJ3592" s="2"/>
      <c r="BK3592" s="2"/>
      <c r="BL3592" s="2"/>
      <c r="BM3592" s="2"/>
      <c r="BN3592" s="2"/>
      <c r="BO3592" s="2"/>
      <c r="BP3592" s="2"/>
      <c r="BQ3592" s="2"/>
      <c r="BR3592" s="2"/>
      <c r="BS3592" s="2"/>
      <c r="BT3592" s="2"/>
      <c r="BU3592" s="2"/>
    </row>
    <row r="3593" spans="2:73" s="38" customFormat="1">
      <c r="B3593" s="1"/>
      <c r="C3593" s="1"/>
      <c r="D3593" s="1"/>
      <c r="E3593" s="1"/>
      <c r="F3593" s="1"/>
      <c r="G3593" s="1"/>
      <c r="H3593" s="1"/>
      <c r="I3593" s="1"/>
      <c r="J3593" s="1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  <c r="AZ3593" s="2"/>
      <c r="BA3593" s="2"/>
      <c r="BB3593" s="2"/>
      <c r="BC3593" s="2"/>
      <c r="BD3593" s="2"/>
      <c r="BE3593" s="2"/>
      <c r="BF3593" s="2"/>
      <c r="BG3593" s="2"/>
      <c r="BH3593" s="2"/>
      <c r="BI3593" s="2"/>
      <c r="BJ3593" s="2"/>
      <c r="BK3593" s="2"/>
      <c r="BL3593" s="2"/>
      <c r="BM3593" s="2"/>
      <c r="BN3593" s="2"/>
      <c r="BO3593" s="2"/>
      <c r="BP3593" s="2"/>
      <c r="BQ3593" s="2"/>
      <c r="BR3593" s="2"/>
      <c r="BS3593" s="2"/>
      <c r="BT3593" s="2"/>
      <c r="BU3593" s="2"/>
    </row>
    <row r="3594" spans="2:73" s="38" customFormat="1">
      <c r="B3594" s="1"/>
      <c r="C3594" s="1"/>
      <c r="D3594" s="1"/>
      <c r="E3594" s="1"/>
      <c r="F3594" s="1"/>
      <c r="G3594" s="1"/>
      <c r="H3594" s="1"/>
      <c r="I3594" s="1"/>
      <c r="J3594" s="1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2"/>
      <c r="BA3594" s="2"/>
      <c r="BB3594" s="2"/>
      <c r="BC3594" s="2"/>
      <c r="BD3594" s="2"/>
      <c r="BE3594" s="2"/>
      <c r="BF3594" s="2"/>
      <c r="BG3594" s="2"/>
      <c r="BH3594" s="2"/>
      <c r="BI3594" s="2"/>
      <c r="BJ3594" s="2"/>
      <c r="BK3594" s="2"/>
      <c r="BL3594" s="2"/>
      <c r="BM3594" s="2"/>
      <c r="BN3594" s="2"/>
      <c r="BO3594" s="2"/>
      <c r="BP3594" s="2"/>
      <c r="BQ3594" s="2"/>
      <c r="BR3594" s="2"/>
      <c r="BS3594" s="2"/>
      <c r="BT3594" s="2"/>
      <c r="BU3594" s="2"/>
    </row>
    <row r="3595" spans="2:73" s="38" customFormat="1">
      <c r="B3595" s="1"/>
      <c r="C3595" s="1"/>
      <c r="D3595" s="1"/>
      <c r="E3595" s="1"/>
      <c r="F3595" s="1"/>
      <c r="G3595" s="1"/>
      <c r="H3595" s="1"/>
      <c r="I3595" s="1"/>
      <c r="J3595" s="1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2"/>
      <c r="BA3595" s="2"/>
      <c r="BB3595" s="2"/>
      <c r="BC3595" s="2"/>
      <c r="BD3595" s="2"/>
      <c r="BE3595" s="2"/>
      <c r="BF3595" s="2"/>
      <c r="BG3595" s="2"/>
      <c r="BH3595" s="2"/>
      <c r="BI3595" s="2"/>
      <c r="BJ3595" s="2"/>
      <c r="BK3595" s="2"/>
      <c r="BL3595" s="2"/>
      <c r="BM3595" s="2"/>
      <c r="BN3595" s="2"/>
      <c r="BO3595" s="2"/>
      <c r="BP3595" s="2"/>
      <c r="BQ3595" s="2"/>
      <c r="BR3595" s="2"/>
      <c r="BS3595" s="2"/>
      <c r="BT3595" s="2"/>
      <c r="BU3595" s="2"/>
    </row>
    <row r="3596" spans="2:73" s="38" customFormat="1">
      <c r="B3596" s="1"/>
      <c r="C3596" s="1"/>
      <c r="D3596" s="1"/>
      <c r="E3596" s="1"/>
      <c r="F3596" s="1"/>
      <c r="G3596" s="1"/>
      <c r="H3596" s="1"/>
      <c r="I3596" s="1"/>
      <c r="J3596" s="1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  <c r="BA3596" s="2"/>
      <c r="BB3596" s="2"/>
      <c r="BC3596" s="2"/>
      <c r="BD3596" s="2"/>
      <c r="BE3596" s="2"/>
      <c r="BF3596" s="2"/>
      <c r="BG3596" s="2"/>
      <c r="BH3596" s="2"/>
      <c r="BI3596" s="2"/>
      <c r="BJ3596" s="2"/>
      <c r="BK3596" s="2"/>
      <c r="BL3596" s="2"/>
      <c r="BM3596" s="2"/>
      <c r="BN3596" s="2"/>
      <c r="BO3596" s="2"/>
      <c r="BP3596" s="2"/>
      <c r="BQ3596" s="2"/>
      <c r="BR3596" s="2"/>
      <c r="BS3596" s="2"/>
      <c r="BT3596" s="2"/>
      <c r="BU3596" s="2"/>
    </row>
    <row r="3597" spans="2:73" s="38" customFormat="1">
      <c r="B3597" s="1"/>
      <c r="C3597" s="1"/>
      <c r="D3597" s="1"/>
      <c r="E3597" s="1"/>
      <c r="F3597" s="1"/>
      <c r="G3597" s="1"/>
      <c r="H3597" s="1"/>
      <c r="I3597" s="1"/>
      <c r="J3597" s="1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  <c r="BA3597" s="2"/>
      <c r="BB3597" s="2"/>
      <c r="BC3597" s="2"/>
      <c r="BD3597" s="2"/>
      <c r="BE3597" s="2"/>
      <c r="BF3597" s="2"/>
      <c r="BG3597" s="2"/>
      <c r="BH3597" s="2"/>
      <c r="BI3597" s="2"/>
      <c r="BJ3597" s="2"/>
      <c r="BK3597" s="2"/>
      <c r="BL3597" s="2"/>
      <c r="BM3597" s="2"/>
      <c r="BN3597" s="2"/>
      <c r="BO3597" s="2"/>
      <c r="BP3597" s="2"/>
      <c r="BQ3597" s="2"/>
      <c r="BR3597" s="2"/>
      <c r="BS3597" s="2"/>
      <c r="BT3597" s="2"/>
      <c r="BU3597" s="2"/>
    </row>
    <row r="3598" spans="2:73" s="38" customFormat="1">
      <c r="B3598" s="1"/>
      <c r="C3598" s="1"/>
      <c r="D3598" s="1"/>
      <c r="E3598" s="1"/>
      <c r="F3598" s="1"/>
      <c r="G3598" s="1"/>
      <c r="H3598" s="1"/>
      <c r="I3598" s="1"/>
      <c r="J3598" s="1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  <c r="AZ3598" s="2"/>
      <c r="BA3598" s="2"/>
      <c r="BB3598" s="2"/>
      <c r="BC3598" s="2"/>
      <c r="BD3598" s="2"/>
      <c r="BE3598" s="2"/>
      <c r="BF3598" s="2"/>
      <c r="BG3598" s="2"/>
      <c r="BH3598" s="2"/>
      <c r="BI3598" s="2"/>
      <c r="BJ3598" s="2"/>
      <c r="BK3598" s="2"/>
      <c r="BL3598" s="2"/>
      <c r="BM3598" s="2"/>
      <c r="BN3598" s="2"/>
      <c r="BO3598" s="2"/>
      <c r="BP3598" s="2"/>
      <c r="BQ3598" s="2"/>
      <c r="BR3598" s="2"/>
      <c r="BS3598" s="2"/>
      <c r="BT3598" s="2"/>
      <c r="BU3598" s="2"/>
    </row>
    <row r="3599" spans="2:73" s="38" customFormat="1">
      <c r="B3599" s="1"/>
      <c r="C3599" s="1"/>
      <c r="D3599" s="1"/>
      <c r="E3599" s="1"/>
      <c r="F3599" s="1"/>
      <c r="G3599" s="1"/>
      <c r="H3599" s="1"/>
      <c r="I3599" s="1"/>
      <c r="J3599" s="1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  <c r="AZ3599" s="2"/>
      <c r="BA3599" s="2"/>
      <c r="BB3599" s="2"/>
      <c r="BC3599" s="2"/>
      <c r="BD3599" s="2"/>
      <c r="BE3599" s="2"/>
      <c r="BF3599" s="2"/>
      <c r="BG3599" s="2"/>
      <c r="BH3599" s="2"/>
      <c r="BI3599" s="2"/>
      <c r="BJ3599" s="2"/>
      <c r="BK3599" s="2"/>
      <c r="BL3599" s="2"/>
      <c r="BM3599" s="2"/>
      <c r="BN3599" s="2"/>
      <c r="BO3599" s="2"/>
      <c r="BP3599" s="2"/>
      <c r="BQ3599" s="2"/>
      <c r="BR3599" s="2"/>
      <c r="BS3599" s="2"/>
      <c r="BT3599" s="2"/>
      <c r="BU3599" s="2"/>
    </row>
    <row r="3600" spans="2:73" s="38" customFormat="1">
      <c r="B3600" s="1"/>
      <c r="C3600" s="1"/>
      <c r="D3600" s="1"/>
      <c r="E3600" s="1"/>
      <c r="F3600" s="1"/>
      <c r="G3600" s="1"/>
      <c r="H3600" s="1"/>
      <c r="I3600" s="1"/>
      <c r="J3600" s="1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  <c r="BA3600" s="2"/>
      <c r="BB3600" s="2"/>
      <c r="BC3600" s="2"/>
      <c r="BD3600" s="2"/>
      <c r="BE3600" s="2"/>
      <c r="BF3600" s="2"/>
      <c r="BG3600" s="2"/>
      <c r="BH3600" s="2"/>
      <c r="BI3600" s="2"/>
      <c r="BJ3600" s="2"/>
      <c r="BK3600" s="2"/>
      <c r="BL3600" s="2"/>
      <c r="BM3600" s="2"/>
      <c r="BN3600" s="2"/>
      <c r="BO3600" s="2"/>
      <c r="BP3600" s="2"/>
      <c r="BQ3600" s="2"/>
      <c r="BR3600" s="2"/>
      <c r="BS3600" s="2"/>
      <c r="BT3600" s="2"/>
      <c r="BU3600" s="2"/>
    </row>
    <row r="3601" spans="2:73" s="38" customFormat="1">
      <c r="B3601" s="1"/>
      <c r="C3601" s="1"/>
      <c r="D3601" s="1"/>
      <c r="E3601" s="1"/>
      <c r="F3601" s="1"/>
      <c r="G3601" s="1"/>
      <c r="H3601" s="1"/>
      <c r="I3601" s="1"/>
      <c r="J3601" s="1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  <c r="BA3601" s="2"/>
      <c r="BB3601" s="2"/>
      <c r="BC3601" s="2"/>
      <c r="BD3601" s="2"/>
      <c r="BE3601" s="2"/>
      <c r="BF3601" s="2"/>
      <c r="BG3601" s="2"/>
      <c r="BH3601" s="2"/>
      <c r="BI3601" s="2"/>
      <c r="BJ3601" s="2"/>
      <c r="BK3601" s="2"/>
      <c r="BL3601" s="2"/>
      <c r="BM3601" s="2"/>
      <c r="BN3601" s="2"/>
      <c r="BO3601" s="2"/>
      <c r="BP3601" s="2"/>
      <c r="BQ3601" s="2"/>
      <c r="BR3601" s="2"/>
      <c r="BS3601" s="2"/>
      <c r="BT3601" s="2"/>
      <c r="BU3601" s="2"/>
    </row>
    <row r="3602" spans="2:73" s="38" customFormat="1">
      <c r="B3602" s="1"/>
      <c r="C3602" s="1"/>
      <c r="D3602" s="1"/>
      <c r="E3602" s="1"/>
      <c r="F3602" s="1"/>
      <c r="G3602" s="1"/>
      <c r="H3602" s="1"/>
      <c r="I3602" s="1"/>
      <c r="J3602" s="1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  <c r="BA3602" s="2"/>
      <c r="BB3602" s="2"/>
      <c r="BC3602" s="2"/>
      <c r="BD3602" s="2"/>
      <c r="BE3602" s="2"/>
      <c r="BF3602" s="2"/>
      <c r="BG3602" s="2"/>
      <c r="BH3602" s="2"/>
      <c r="BI3602" s="2"/>
      <c r="BJ3602" s="2"/>
      <c r="BK3602" s="2"/>
      <c r="BL3602" s="2"/>
      <c r="BM3602" s="2"/>
      <c r="BN3602" s="2"/>
      <c r="BO3602" s="2"/>
      <c r="BP3602" s="2"/>
      <c r="BQ3602" s="2"/>
      <c r="BR3602" s="2"/>
      <c r="BS3602" s="2"/>
      <c r="BT3602" s="2"/>
      <c r="BU3602" s="2"/>
    </row>
    <row r="3603" spans="2:73" s="38" customFormat="1">
      <c r="B3603" s="1"/>
      <c r="C3603" s="1"/>
      <c r="D3603" s="1"/>
      <c r="E3603" s="1"/>
      <c r="F3603" s="1"/>
      <c r="G3603" s="1"/>
      <c r="H3603" s="1"/>
      <c r="I3603" s="1"/>
      <c r="J3603" s="1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  <c r="BA3603" s="2"/>
      <c r="BB3603" s="2"/>
      <c r="BC3603" s="2"/>
      <c r="BD3603" s="2"/>
      <c r="BE3603" s="2"/>
      <c r="BF3603" s="2"/>
      <c r="BG3603" s="2"/>
      <c r="BH3603" s="2"/>
      <c r="BI3603" s="2"/>
      <c r="BJ3603" s="2"/>
      <c r="BK3603" s="2"/>
      <c r="BL3603" s="2"/>
      <c r="BM3603" s="2"/>
      <c r="BN3603" s="2"/>
      <c r="BO3603" s="2"/>
      <c r="BP3603" s="2"/>
      <c r="BQ3603" s="2"/>
      <c r="BR3603" s="2"/>
      <c r="BS3603" s="2"/>
      <c r="BT3603" s="2"/>
      <c r="BU3603" s="2"/>
    </row>
    <row r="3604" spans="2:73" s="38" customFormat="1">
      <c r="B3604" s="1"/>
      <c r="C3604" s="1"/>
      <c r="D3604" s="1"/>
      <c r="E3604" s="1"/>
      <c r="F3604" s="1"/>
      <c r="G3604" s="1"/>
      <c r="H3604" s="1"/>
      <c r="I3604" s="1"/>
      <c r="J3604" s="1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  <c r="BA3604" s="2"/>
      <c r="BB3604" s="2"/>
      <c r="BC3604" s="2"/>
      <c r="BD3604" s="2"/>
      <c r="BE3604" s="2"/>
      <c r="BF3604" s="2"/>
      <c r="BG3604" s="2"/>
      <c r="BH3604" s="2"/>
      <c r="BI3604" s="2"/>
      <c r="BJ3604" s="2"/>
      <c r="BK3604" s="2"/>
      <c r="BL3604" s="2"/>
      <c r="BM3604" s="2"/>
      <c r="BN3604" s="2"/>
      <c r="BO3604" s="2"/>
      <c r="BP3604" s="2"/>
      <c r="BQ3604" s="2"/>
      <c r="BR3604" s="2"/>
      <c r="BS3604" s="2"/>
      <c r="BT3604" s="2"/>
      <c r="BU3604" s="2"/>
    </row>
    <row r="3605" spans="2:73" s="38" customFormat="1">
      <c r="B3605" s="1"/>
      <c r="C3605" s="1"/>
      <c r="D3605" s="1"/>
      <c r="E3605" s="1"/>
      <c r="F3605" s="1"/>
      <c r="G3605" s="1"/>
      <c r="H3605" s="1"/>
      <c r="I3605" s="1"/>
      <c r="J3605" s="1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  <c r="BA3605" s="2"/>
      <c r="BB3605" s="2"/>
      <c r="BC3605" s="2"/>
      <c r="BD3605" s="2"/>
      <c r="BE3605" s="2"/>
      <c r="BF3605" s="2"/>
      <c r="BG3605" s="2"/>
      <c r="BH3605" s="2"/>
      <c r="BI3605" s="2"/>
      <c r="BJ3605" s="2"/>
      <c r="BK3605" s="2"/>
      <c r="BL3605" s="2"/>
      <c r="BM3605" s="2"/>
      <c r="BN3605" s="2"/>
      <c r="BO3605" s="2"/>
      <c r="BP3605" s="2"/>
      <c r="BQ3605" s="2"/>
      <c r="BR3605" s="2"/>
      <c r="BS3605" s="2"/>
      <c r="BT3605" s="2"/>
      <c r="BU3605" s="2"/>
    </row>
    <row r="3606" spans="2:73" s="38" customFormat="1">
      <c r="B3606" s="1"/>
      <c r="C3606" s="1"/>
      <c r="D3606" s="1"/>
      <c r="E3606" s="1"/>
      <c r="F3606" s="1"/>
      <c r="G3606" s="1"/>
      <c r="H3606" s="1"/>
      <c r="I3606" s="1"/>
      <c r="J3606" s="1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  <c r="BA3606" s="2"/>
      <c r="BB3606" s="2"/>
      <c r="BC3606" s="2"/>
      <c r="BD3606" s="2"/>
      <c r="BE3606" s="2"/>
      <c r="BF3606" s="2"/>
      <c r="BG3606" s="2"/>
      <c r="BH3606" s="2"/>
      <c r="BI3606" s="2"/>
      <c r="BJ3606" s="2"/>
      <c r="BK3606" s="2"/>
      <c r="BL3606" s="2"/>
      <c r="BM3606" s="2"/>
      <c r="BN3606" s="2"/>
      <c r="BO3606" s="2"/>
      <c r="BP3606" s="2"/>
      <c r="BQ3606" s="2"/>
      <c r="BR3606" s="2"/>
      <c r="BS3606" s="2"/>
      <c r="BT3606" s="2"/>
      <c r="BU3606" s="2"/>
    </row>
    <row r="3607" spans="2:73" s="38" customFormat="1">
      <c r="B3607" s="1"/>
      <c r="C3607" s="1"/>
      <c r="D3607" s="1"/>
      <c r="E3607" s="1"/>
      <c r="F3607" s="1"/>
      <c r="G3607" s="1"/>
      <c r="H3607" s="1"/>
      <c r="I3607" s="1"/>
      <c r="J3607" s="1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  <c r="BA3607" s="2"/>
      <c r="BB3607" s="2"/>
      <c r="BC3607" s="2"/>
      <c r="BD3607" s="2"/>
      <c r="BE3607" s="2"/>
      <c r="BF3607" s="2"/>
      <c r="BG3607" s="2"/>
      <c r="BH3607" s="2"/>
      <c r="BI3607" s="2"/>
      <c r="BJ3607" s="2"/>
      <c r="BK3607" s="2"/>
      <c r="BL3607" s="2"/>
      <c r="BM3607" s="2"/>
      <c r="BN3607" s="2"/>
      <c r="BO3607" s="2"/>
      <c r="BP3607" s="2"/>
      <c r="BQ3607" s="2"/>
      <c r="BR3607" s="2"/>
      <c r="BS3607" s="2"/>
      <c r="BT3607" s="2"/>
      <c r="BU3607" s="2"/>
    </row>
    <row r="3608" spans="2:73" s="38" customFormat="1">
      <c r="B3608" s="1"/>
      <c r="C3608" s="1"/>
      <c r="D3608" s="1"/>
      <c r="E3608" s="1"/>
      <c r="F3608" s="1"/>
      <c r="G3608" s="1"/>
      <c r="H3608" s="1"/>
      <c r="I3608" s="1"/>
      <c r="J3608" s="1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2"/>
      <c r="BA3608" s="2"/>
      <c r="BB3608" s="2"/>
      <c r="BC3608" s="2"/>
      <c r="BD3608" s="2"/>
      <c r="BE3608" s="2"/>
      <c r="BF3608" s="2"/>
      <c r="BG3608" s="2"/>
      <c r="BH3608" s="2"/>
      <c r="BI3608" s="2"/>
      <c r="BJ3608" s="2"/>
      <c r="BK3608" s="2"/>
      <c r="BL3608" s="2"/>
      <c r="BM3608" s="2"/>
      <c r="BN3608" s="2"/>
      <c r="BO3608" s="2"/>
      <c r="BP3608" s="2"/>
      <c r="BQ3608" s="2"/>
      <c r="BR3608" s="2"/>
      <c r="BS3608" s="2"/>
      <c r="BT3608" s="2"/>
      <c r="BU3608" s="2"/>
    </row>
    <row r="3609" spans="2:73" s="38" customFormat="1">
      <c r="B3609" s="1"/>
      <c r="C3609" s="1"/>
      <c r="D3609" s="1"/>
      <c r="E3609" s="1"/>
      <c r="F3609" s="1"/>
      <c r="G3609" s="1"/>
      <c r="H3609" s="1"/>
      <c r="I3609" s="1"/>
      <c r="J3609" s="1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  <c r="BA3609" s="2"/>
      <c r="BB3609" s="2"/>
      <c r="BC3609" s="2"/>
      <c r="BD3609" s="2"/>
      <c r="BE3609" s="2"/>
      <c r="BF3609" s="2"/>
      <c r="BG3609" s="2"/>
      <c r="BH3609" s="2"/>
      <c r="BI3609" s="2"/>
      <c r="BJ3609" s="2"/>
      <c r="BK3609" s="2"/>
      <c r="BL3609" s="2"/>
      <c r="BM3609" s="2"/>
      <c r="BN3609" s="2"/>
      <c r="BO3609" s="2"/>
      <c r="BP3609" s="2"/>
      <c r="BQ3609" s="2"/>
      <c r="BR3609" s="2"/>
      <c r="BS3609" s="2"/>
      <c r="BT3609" s="2"/>
      <c r="BU3609" s="2"/>
    </row>
    <row r="3610" spans="2:73" s="38" customFormat="1">
      <c r="B3610" s="1"/>
      <c r="C3610" s="1"/>
      <c r="D3610" s="1"/>
      <c r="E3610" s="1"/>
      <c r="F3610" s="1"/>
      <c r="G3610" s="1"/>
      <c r="H3610" s="1"/>
      <c r="I3610" s="1"/>
      <c r="J3610" s="1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  <c r="AZ3610" s="2"/>
      <c r="BA3610" s="2"/>
      <c r="BB3610" s="2"/>
      <c r="BC3610" s="2"/>
      <c r="BD3610" s="2"/>
      <c r="BE3610" s="2"/>
      <c r="BF3610" s="2"/>
      <c r="BG3610" s="2"/>
      <c r="BH3610" s="2"/>
      <c r="BI3610" s="2"/>
      <c r="BJ3610" s="2"/>
      <c r="BK3610" s="2"/>
      <c r="BL3610" s="2"/>
      <c r="BM3610" s="2"/>
      <c r="BN3610" s="2"/>
      <c r="BO3610" s="2"/>
      <c r="BP3610" s="2"/>
      <c r="BQ3610" s="2"/>
      <c r="BR3610" s="2"/>
      <c r="BS3610" s="2"/>
      <c r="BT3610" s="2"/>
      <c r="BU3610" s="2"/>
    </row>
    <row r="3611" spans="2:73" s="38" customFormat="1">
      <c r="B3611" s="1"/>
      <c r="C3611" s="1"/>
      <c r="D3611" s="1"/>
      <c r="E3611" s="1"/>
      <c r="F3611" s="1"/>
      <c r="G3611" s="1"/>
      <c r="H3611" s="1"/>
      <c r="I3611" s="1"/>
      <c r="J3611" s="1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  <c r="BA3611" s="2"/>
      <c r="BB3611" s="2"/>
      <c r="BC3611" s="2"/>
      <c r="BD3611" s="2"/>
      <c r="BE3611" s="2"/>
      <c r="BF3611" s="2"/>
      <c r="BG3611" s="2"/>
      <c r="BH3611" s="2"/>
      <c r="BI3611" s="2"/>
      <c r="BJ3611" s="2"/>
      <c r="BK3611" s="2"/>
      <c r="BL3611" s="2"/>
      <c r="BM3611" s="2"/>
      <c r="BN3611" s="2"/>
      <c r="BO3611" s="2"/>
      <c r="BP3611" s="2"/>
      <c r="BQ3611" s="2"/>
      <c r="BR3611" s="2"/>
      <c r="BS3611" s="2"/>
      <c r="BT3611" s="2"/>
      <c r="BU3611" s="2"/>
    </row>
    <row r="3612" spans="2:73" s="38" customFormat="1">
      <c r="B3612" s="1"/>
      <c r="C3612" s="1"/>
      <c r="D3612" s="1"/>
      <c r="E3612" s="1"/>
      <c r="F3612" s="1"/>
      <c r="G3612" s="1"/>
      <c r="H3612" s="1"/>
      <c r="I3612" s="1"/>
      <c r="J3612" s="1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  <c r="BA3612" s="2"/>
      <c r="BB3612" s="2"/>
      <c r="BC3612" s="2"/>
      <c r="BD3612" s="2"/>
      <c r="BE3612" s="2"/>
      <c r="BF3612" s="2"/>
      <c r="BG3612" s="2"/>
      <c r="BH3612" s="2"/>
      <c r="BI3612" s="2"/>
      <c r="BJ3612" s="2"/>
      <c r="BK3612" s="2"/>
      <c r="BL3612" s="2"/>
      <c r="BM3612" s="2"/>
      <c r="BN3612" s="2"/>
      <c r="BO3612" s="2"/>
      <c r="BP3612" s="2"/>
      <c r="BQ3612" s="2"/>
      <c r="BR3612" s="2"/>
      <c r="BS3612" s="2"/>
      <c r="BT3612" s="2"/>
      <c r="BU3612" s="2"/>
    </row>
    <row r="3613" spans="2:73" s="38" customFormat="1">
      <c r="B3613" s="1"/>
      <c r="C3613" s="1"/>
      <c r="D3613" s="1"/>
      <c r="E3613" s="1"/>
      <c r="F3613" s="1"/>
      <c r="G3613" s="1"/>
      <c r="H3613" s="1"/>
      <c r="I3613" s="1"/>
      <c r="J3613" s="1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  <c r="BA3613" s="2"/>
      <c r="BB3613" s="2"/>
      <c r="BC3613" s="2"/>
      <c r="BD3613" s="2"/>
      <c r="BE3613" s="2"/>
      <c r="BF3613" s="2"/>
      <c r="BG3613" s="2"/>
      <c r="BH3613" s="2"/>
      <c r="BI3613" s="2"/>
      <c r="BJ3613" s="2"/>
      <c r="BK3613" s="2"/>
      <c r="BL3613" s="2"/>
      <c r="BM3613" s="2"/>
      <c r="BN3613" s="2"/>
      <c r="BO3613" s="2"/>
      <c r="BP3613" s="2"/>
      <c r="BQ3613" s="2"/>
      <c r="BR3613" s="2"/>
      <c r="BS3613" s="2"/>
      <c r="BT3613" s="2"/>
      <c r="BU3613" s="2"/>
    </row>
    <row r="3614" spans="2:73" s="38" customFormat="1">
      <c r="B3614" s="1"/>
      <c r="C3614" s="1"/>
      <c r="D3614" s="1"/>
      <c r="E3614" s="1"/>
      <c r="F3614" s="1"/>
      <c r="G3614" s="1"/>
      <c r="H3614" s="1"/>
      <c r="I3614" s="1"/>
      <c r="J3614" s="1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  <c r="BA3614" s="2"/>
      <c r="BB3614" s="2"/>
      <c r="BC3614" s="2"/>
      <c r="BD3614" s="2"/>
      <c r="BE3614" s="2"/>
      <c r="BF3614" s="2"/>
      <c r="BG3614" s="2"/>
      <c r="BH3614" s="2"/>
      <c r="BI3614" s="2"/>
      <c r="BJ3614" s="2"/>
      <c r="BK3614" s="2"/>
      <c r="BL3614" s="2"/>
      <c r="BM3614" s="2"/>
      <c r="BN3614" s="2"/>
      <c r="BO3614" s="2"/>
      <c r="BP3614" s="2"/>
      <c r="BQ3614" s="2"/>
      <c r="BR3614" s="2"/>
      <c r="BS3614" s="2"/>
      <c r="BT3614" s="2"/>
      <c r="BU3614" s="2"/>
    </row>
    <row r="3615" spans="2:73" s="38" customFormat="1">
      <c r="B3615" s="1"/>
      <c r="C3615" s="1"/>
      <c r="D3615" s="1"/>
      <c r="E3615" s="1"/>
      <c r="F3615" s="1"/>
      <c r="G3615" s="1"/>
      <c r="H3615" s="1"/>
      <c r="I3615" s="1"/>
      <c r="J3615" s="1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  <c r="BA3615" s="2"/>
      <c r="BB3615" s="2"/>
      <c r="BC3615" s="2"/>
      <c r="BD3615" s="2"/>
      <c r="BE3615" s="2"/>
      <c r="BF3615" s="2"/>
      <c r="BG3615" s="2"/>
      <c r="BH3615" s="2"/>
      <c r="BI3615" s="2"/>
      <c r="BJ3615" s="2"/>
      <c r="BK3615" s="2"/>
      <c r="BL3615" s="2"/>
      <c r="BM3615" s="2"/>
      <c r="BN3615" s="2"/>
      <c r="BO3615" s="2"/>
      <c r="BP3615" s="2"/>
      <c r="BQ3615" s="2"/>
      <c r="BR3615" s="2"/>
      <c r="BS3615" s="2"/>
      <c r="BT3615" s="2"/>
      <c r="BU3615" s="2"/>
    </row>
    <row r="3616" spans="2:73" s="38" customFormat="1">
      <c r="B3616" s="1"/>
      <c r="C3616" s="1"/>
      <c r="D3616" s="1"/>
      <c r="E3616" s="1"/>
      <c r="F3616" s="1"/>
      <c r="G3616" s="1"/>
      <c r="H3616" s="1"/>
      <c r="I3616" s="1"/>
      <c r="J3616" s="1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2"/>
      <c r="BA3616" s="2"/>
      <c r="BB3616" s="2"/>
      <c r="BC3616" s="2"/>
      <c r="BD3616" s="2"/>
      <c r="BE3616" s="2"/>
      <c r="BF3616" s="2"/>
      <c r="BG3616" s="2"/>
      <c r="BH3616" s="2"/>
      <c r="BI3616" s="2"/>
      <c r="BJ3616" s="2"/>
      <c r="BK3616" s="2"/>
      <c r="BL3616" s="2"/>
      <c r="BM3616" s="2"/>
      <c r="BN3616" s="2"/>
      <c r="BO3616" s="2"/>
      <c r="BP3616" s="2"/>
      <c r="BQ3616" s="2"/>
      <c r="BR3616" s="2"/>
      <c r="BS3616" s="2"/>
      <c r="BT3616" s="2"/>
      <c r="BU3616" s="2"/>
    </row>
    <row r="3617" spans="2:73" s="38" customFormat="1">
      <c r="B3617" s="1"/>
      <c r="C3617" s="1"/>
      <c r="D3617" s="1"/>
      <c r="E3617" s="1"/>
      <c r="F3617" s="1"/>
      <c r="G3617" s="1"/>
      <c r="H3617" s="1"/>
      <c r="I3617" s="1"/>
      <c r="J3617" s="1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  <c r="BA3617" s="2"/>
      <c r="BB3617" s="2"/>
      <c r="BC3617" s="2"/>
      <c r="BD3617" s="2"/>
      <c r="BE3617" s="2"/>
      <c r="BF3617" s="2"/>
      <c r="BG3617" s="2"/>
      <c r="BH3617" s="2"/>
      <c r="BI3617" s="2"/>
      <c r="BJ3617" s="2"/>
      <c r="BK3617" s="2"/>
      <c r="BL3617" s="2"/>
      <c r="BM3617" s="2"/>
      <c r="BN3617" s="2"/>
      <c r="BO3617" s="2"/>
      <c r="BP3617" s="2"/>
      <c r="BQ3617" s="2"/>
      <c r="BR3617" s="2"/>
      <c r="BS3617" s="2"/>
      <c r="BT3617" s="2"/>
      <c r="BU3617" s="2"/>
    </row>
    <row r="3618" spans="2:73" s="38" customFormat="1">
      <c r="B3618" s="1"/>
      <c r="C3618" s="1"/>
      <c r="D3618" s="1"/>
      <c r="E3618" s="1"/>
      <c r="F3618" s="1"/>
      <c r="G3618" s="1"/>
      <c r="H3618" s="1"/>
      <c r="I3618" s="1"/>
      <c r="J3618" s="1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2"/>
      <c r="BA3618" s="2"/>
      <c r="BB3618" s="2"/>
      <c r="BC3618" s="2"/>
      <c r="BD3618" s="2"/>
      <c r="BE3618" s="2"/>
      <c r="BF3618" s="2"/>
      <c r="BG3618" s="2"/>
      <c r="BH3618" s="2"/>
      <c r="BI3618" s="2"/>
      <c r="BJ3618" s="2"/>
      <c r="BK3618" s="2"/>
      <c r="BL3618" s="2"/>
      <c r="BM3618" s="2"/>
      <c r="BN3618" s="2"/>
      <c r="BO3618" s="2"/>
      <c r="BP3618" s="2"/>
      <c r="BQ3618" s="2"/>
      <c r="BR3618" s="2"/>
      <c r="BS3618" s="2"/>
      <c r="BT3618" s="2"/>
      <c r="BU3618" s="2"/>
    </row>
    <row r="3619" spans="2:73" s="38" customFormat="1">
      <c r="B3619" s="1"/>
      <c r="C3619" s="1"/>
      <c r="D3619" s="1"/>
      <c r="E3619" s="1"/>
      <c r="F3619" s="1"/>
      <c r="G3619" s="1"/>
      <c r="H3619" s="1"/>
      <c r="I3619" s="1"/>
      <c r="J3619" s="1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  <c r="BA3619" s="2"/>
      <c r="BB3619" s="2"/>
      <c r="BC3619" s="2"/>
      <c r="BD3619" s="2"/>
      <c r="BE3619" s="2"/>
      <c r="BF3619" s="2"/>
      <c r="BG3619" s="2"/>
      <c r="BH3619" s="2"/>
      <c r="BI3619" s="2"/>
      <c r="BJ3619" s="2"/>
      <c r="BK3619" s="2"/>
      <c r="BL3619" s="2"/>
      <c r="BM3619" s="2"/>
      <c r="BN3619" s="2"/>
      <c r="BO3619" s="2"/>
      <c r="BP3619" s="2"/>
      <c r="BQ3619" s="2"/>
      <c r="BR3619" s="2"/>
      <c r="BS3619" s="2"/>
      <c r="BT3619" s="2"/>
      <c r="BU3619" s="2"/>
    </row>
    <row r="3620" spans="2:73" s="38" customFormat="1">
      <c r="B3620" s="1"/>
      <c r="C3620" s="1"/>
      <c r="D3620" s="1"/>
      <c r="E3620" s="1"/>
      <c r="F3620" s="1"/>
      <c r="G3620" s="1"/>
      <c r="H3620" s="1"/>
      <c r="I3620" s="1"/>
      <c r="J3620" s="1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  <c r="AZ3620" s="2"/>
      <c r="BA3620" s="2"/>
      <c r="BB3620" s="2"/>
      <c r="BC3620" s="2"/>
      <c r="BD3620" s="2"/>
      <c r="BE3620" s="2"/>
      <c r="BF3620" s="2"/>
      <c r="BG3620" s="2"/>
      <c r="BH3620" s="2"/>
      <c r="BI3620" s="2"/>
      <c r="BJ3620" s="2"/>
      <c r="BK3620" s="2"/>
      <c r="BL3620" s="2"/>
      <c r="BM3620" s="2"/>
      <c r="BN3620" s="2"/>
      <c r="BO3620" s="2"/>
      <c r="BP3620" s="2"/>
      <c r="BQ3620" s="2"/>
      <c r="BR3620" s="2"/>
      <c r="BS3620" s="2"/>
      <c r="BT3620" s="2"/>
      <c r="BU3620" s="2"/>
    </row>
    <row r="3621" spans="2:73" s="38" customFormat="1">
      <c r="B3621" s="1"/>
      <c r="C3621" s="1"/>
      <c r="D3621" s="1"/>
      <c r="E3621" s="1"/>
      <c r="F3621" s="1"/>
      <c r="G3621" s="1"/>
      <c r="H3621" s="1"/>
      <c r="I3621" s="1"/>
      <c r="J3621" s="1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  <c r="BA3621" s="2"/>
      <c r="BB3621" s="2"/>
      <c r="BC3621" s="2"/>
      <c r="BD3621" s="2"/>
      <c r="BE3621" s="2"/>
      <c r="BF3621" s="2"/>
      <c r="BG3621" s="2"/>
      <c r="BH3621" s="2"/>
      <c r="BI3621" s="2"/>
      <c r="BJ3621" s="2"/>
      <c r="BK3621" s="2"/>
      <c r="BL3621" s="2"/>
      <c r="BM3621" s="2"/>
      <c r="BN3621" s="2"/>
      <c r="BO3621" s="2"/>
      <c r="BP3621" s="2"/>
      <c r="BQ3621" s="2"/>
      <c r="BR3621" s="2"/>
      <c r="BS3621" s="2"/>
      <c r="BT3621" s="2"/>
      <c r="BU3621" s="2"/>
    </row>
    <row r="3622" spans="2:73" s="38" customFormat="1">
      <c r="B3622" s="1"/>
      <c r="C3622" s="1"/>
      <c r="D3622" s="1"/>
      <c r="E3622" s="1"/>
      <c r="F3622" s="1"/>
      <c r="G3622" s="1"/>
      <c r="H3622" s="1"/>
      <c r="I3622" s="1"/>
      <c r="J3622" s="1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  <c r="BA3622" s="2"/>
      <c r="BB3622" s="2"/>
      <c r="BC3622" s="2"/>
      <c r="BD3622" s="2"/>
      <c r="BE3622" s="2"/>
      <c r="BF3622" s="2"/>
      <c r="BG3622" s="2"/>
      <c r="BH3622" s="2"/>
      <c r="BI3622" s="2"/>
      <c r="BJ3622" s="2"/>
      <c r="BK3622" s="2"/>
      <c r="BL3622" s="2"/>
      <c r="BM3622" s="2"/>
      <c r="BN3622" s="2"/>
      <c r="BO3622" s="2"/>
      <c r="BP3622" s="2"/>
      <c r="BQ3622" s="2"/>
      <c r="BR3622" s="2"/>
      <c r="BS3622" s="2"/>
      <c r="BT3622" s="2"/>
      <c r="BU3622" s="2"/>
    </row>
    <row r="3623" spans="2:73" s="38" customFormat="1">
      <c r="B3623" s="1"/>
      <c r="C3623" s="1"/>
      <c r="D3623" s="1"/>
      <c r="E3623" s="1"/>
      <c r="F3623" s="1"/>
      <c r="G3623" s="1"/>
      <c r="H3623" s="1"/>
      <c r="I3623" s="1"/>
      <c r="J3623" s="1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  <c r="BA3623" s="2"/>
      <c r="BB3623" s="2"/>
      <c r="BC3623" s="2"/>
      <c r="BD3623" s="2"/>
      <c r="BE3623" s="2"/>
      <c r="BF3623" s="2"/>
      <c r="BG3623" s="2"/>
      <c r="BH3623" s="2"/>
      <c r="BI3623" s="2"/>
      <c r="BJ3623" s="2"/>
      <c r="BK3623" s="2"/>
      <c r="BL3623" s="2"/>
      <c r="BM3623" s="2"/>
      <c r="BN3623" s="2"/>
      <c r="BO3623" s="2"/>
      <c r="BP3623" s="2"/>
      <c r="BQ3623" s="2"/>
      <c r="BR3623" s="2"/>
      <c r="BS3623" s="2"/>
      <c r="BT3623" s="2"/>
      <c r="BU3623" s="2"/>
    </row>
    <row r="3624" spans="2:73" s="38" customFormat="1">
      <c r="B3624" s="1"/>
      <c r="C3624" s="1"/>
      <c r="D3624" s="1"/>
      <c r="E3624" s="1"/>
      <c r="F3624" s="1"/>
      <c r="G3624" s="1"/>
      <c r="H3624" s="1"/>
      <c r="I3624" s="1"/>
      <c r="J3624" s="1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  <c r="BA3624" s="2"/>
      <c r="BB3624" s="2"/>
      <c r="BC3624" s="2"/>
      <c r="BD3624" s="2"/>
      <c r="BE3624" s="2"/>
      <c r="BF3624" s="2"/>
      <c r="BG3624" s="2"/>
      <c r="BH3624" s="2"/>
      <c r="BI3624" s="2"/>
      <c r="BJ3624" s="2"/>
      <c r="BK3624" s="2"/>
      <c r="BL3624" s="2"/>
      <c r="BM3624" s="2"/>
      <c r="BN3624" s="2"/>
      <c r="BO3624" s="2"/>
      <c r="BP3624" s="2"/>
      <c r="BQ3624" s="2"/>
      <c r="BR3624" s="2"/>
      <c r="BS3624" s="2"/>
      <c r="BT3624" s="2"/>
      <c r="BU3624" s="2"/>
    </row>
    <row r="3625" spans="2:73" s="38" customFormat="1">
      <c r="B3625" s="1"/>
      <c r="C3625" s="1"/>
      <c r="D3625" s="1"/>
      <c r="E3625" s="1"/>
      <c r="F3625" s="1"/>
      <c r="G3625" s="1"/>
      <c r="H3625" s="1"/>
      <c r="I3625" s="1"/>
      <c r="J3625" s="1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  <c r="AZ3625" s="2"/>
      <c r="BA3625" s="2"/>
      <c r="BB3625" s="2"/>
      <c r="BC3625" s="2"/>
      <c r="BD3625" s="2"/>
      <c r="BE3625" s="2"/>
      <c r="BF3625" s="2"/>
      <c r="BG3625" s="2"/>
      <c r="BH3625" s="2"/>
      <c r="BI3625" s="2"/>
      <c r="BJ3625" s="2"/>
      <c r="BK3625" s="2"/>
      <c r="BL3625" s="2"/>
      <c r="BM3625" s="2"/>
      <c r="BN3625" s="2"/>
      <c r="BO3625" s="2"/>
      <c r="BP3625" s="2"/>
      <c r="BQ3625" s="2"/>
      <c r="BR3625" s="2"/>
      <c r="BS3625" s="2"/>
      <c r="BT3625" s="2"/>
      <c r="BU3625" s="2"/>
    </row>
    <row r="3626" spans="2:73" s="38" customFormat="1">
      <c r="B3626" s="1"/>
      <c r="C3626" s="1"/>
      <c r="D3626" s="1"/>
      <c r="E3626" s="1"/>
      <c r="F3626" s="1"/>
      <c r="G3626" s="1"/>
      <c r="H3626" s="1"/>
      <c r="I3626" s="1"/>
      <c r="J3626" s="1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2"/>
      <c r="BA3626" s="2"/>
      <c r="BB3626" s="2"/>
      <c r="BC3626" s="2"/>
      <c r="BD3626" s="2"/>
      <c r="BE3626" s="2"/>
      <c r="BF3626" s="2"/>
      <c r="BG3626" s="2"/>
      <c r="BH3626" s="2"/>
      <c r="BI3626" s="2"/>
      <c r="BJ3626" s="2"/>
      <c r="BK3626" s="2"/>
      <c r="BL3626" s="2"/>
      <c r="BM3626" s="2"/>
      <c r="BN3626" s="2"/>
      <c r="BO3626" s="2"/>
      <c r="BP3626" s="2"/>
      <c r="BQ3626" s="2"/>
      <c r="BR3626" s="2"/>
      <c r="BS3626" s="2"/>
      <c r="BT3626" s="2"/>
      <c r="BU3626" s="2"/>
    </row>
    <row r="3627" spans="2:73" s="38" customFormat="1">
      <c r="B3627" s="1"/>
      <c r="C3627" s="1"/>
      <c r="D3627" s="1"/>
      <c r="E3627" s="1"/>
      <c r="F3627" s="1"/>
      <c r="G3627" s="1"/>
      <c r="H3627" s="1"/>
      <c r="I3627" s="1"/>
      <c r="J3627" s="1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  <c r="BA3627" s="2"/>
      <c r="BB3627" s="2"/>
      <c r="BC3627" s="2"/>
      <c r="BD3627" s="2"/>
      <c r="BE3627" s="2"/>
      <c r="BF3627" s="2"/>
      <c r="BG3627" s="2"/>
      <c r="BH3627" s="2"/>
      <c r="BI3627" s="2"/>
      <c r="BJ3627" s="2"/>
      <c r="BK3627" s="2"/>
      <c r="BL3627" s="2"/>
      <c r="BM3627" s="2"/>
      <c r="BN3627" s="2"/>
      <c r="BO3627" s="2"/>
      <c r="BP3627" s="2"/>
      <c r="BQ3627" s="2"/>
      <c r="BR3627" s="2"/>
      <c r="BS3627" s="2"/>
      <c r="BT3627" s="2"/>
      <c r="BU3627" s="2"/>
    </row>
    <row r="3628" spans="2:73" s="38" customFormat="1">
      <c r="B3628" s="1"/>
      <c r="C3628" s="1"/>
      <c r="D3628" s="1"/>
      <c r="E3628" s="1"/>
      <c r="F3628" s="1"/>
      <c r="G3628" s="1"/>
      <c r="H3628" s="1"/>
      <c r="I3628" s="1"/>
      <c r="J3628" s="1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  <c r="BA3628" s="2"/>
      <c r="BB3628" s="2"/>
      <c r="BC3628" s="2"/>
      <c r="BD3628" s="2"/>
      <c r="BE3628" s="2"/>
      <c r="BF3628" s="2"/>
      <c r="BG3628" s="2"/>
      <c r="BH3628" s="2"/>
      <c r="BI3628" s="2"/>
      <c r="BJ3628" s="2"/>
      <c r="BK3628" s="2"/>
      <c r="BL3628" s="2"/>
      <c r="BM3628" s="2"/>
      <c r="BN3628" s="2"/>
      <c r="BO3628" s="2"/>
      <c r="BP3628" s="2"/>
      <c r="BQ3628" s="2"/>
      <c r="BR3628" s="2"/>
      <c r="BS3628" s="2"/>
      <c r="BT3628" s="2"/>
      <c r="BU3628" s="2"/>
    </row>
    <row r="3629" spans="2:73" s="38" customFormat="1">
      <c r="B3629" s="1"/>
      <c r="C3629" s="1"/>
      <c r="D3629" s="1"/>
      <c r="E3629" s="1"/>
      <c r="F3629" s="1"/>
      <c r="G3629" s="1"/>
      <c r="H3629" s="1"/>
      <c r="I3629" s="1"/>
      <c r="J3629" s="1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  <c r="BA3629" s="2"/>
      <c r="BB3629" s="2"/>
      <c r="BC3629" s="2"/>
      <c r="BD3629" s="2"/>
      <c r="BE3629" s="2"/>
      <c r="BF3629" s="2"/>
      <c r="BG3629" s="2"/>
      <c r="BH3629" s="2"/>
      <c r="BI3629" s="2"/>
      <c r="BJ3629" s="2"/>
      <c r="BK3629" s="2"/>
      <c r="BL3629" s="2"/>
      <c r="BM3629" s="2"/>
      <c r="BN3629" s="2"/>
      <c r="BO3629" s="2"/>
      <c r="BP3629" s="2"/>
      <c r="BQ3629" s="2"/>
      <c r="BR3629" s="2"/>
      <c r="BS3629" s="2"/>
      <c r="BT3629" s="2"/>
      <c r="BU3629" s="2"/>
    </row>
    <row r="3630" spans="2:73" s="38" customFormat="1">
      <c r="B3630" s="1"/>
      <c r="C3630" s="1"/>
      <c r="D3630" s="1"/>
      <c r="E3630" s="1"/>
      <c r="F3630" s="1"/>
      <c r="G3630" s="1"/>
      <c r="H3630" s="1"/>
      <c r="I3630" s="1"/>
      <c r="J3630" s="1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2"/>
      <c r="BA3630" s="2"/>
      <c r="BB3630" s="2"/>
      <c r="BC3630" s="2"/>
      <c r="BD3630" s="2"/>
      <c r="BE3630" s="2"/>
      <c r="BF3630" s="2"/>
      <c r="BG3630" s="2"/>
      <c r="BH3630" s="2"/>
      <c r="BI3630" s="2"/>
      <c r="BJ3630" s="2"/>
      <c r="BK3630" s="2"/>
      <c r="BL3630" s="2"/>
      <c r="BM3630" s="2"/>
      <c r="BN3630" s="2"/>
      <c r="BO3630" s="2"/>
      <c r="BP3630" s="2"/>
      <c r="BQ3630" s="2"/>
      <c r="BR3630" s="2"/>
      <c r="BS3630" s="2"/>
      <c r="BT3630" s="2"/>
      <c r="BU3630" s="2"/>
    </row>
    <row r="3631" spans="2:73" s="38" customFormat="1">
      <c r="B3631" s="1"/>
      <c r="C3631" s="1"/>
      <c r="D3631" s="1"/>
      <c r="E3631" s="1"/>
      <c r="F3631" s="1"/>
      <c r="G3631" s="1"/>
      <c r="H3631" s="1"/>
      <c r="I3631" s="1"/>
      <c r="J3631" s="1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2"/>
      <c r="BA3631" s="2"/>
      <c r="BB3631" s="2"/>
      <c r="BC3631" s="2"/>
      <c r="BD3631" s="2"/>
      <c r="BE3631" s="2"/>
      <c r="BF3631" s="2"/>
      <c r="BG3631" s="2"/>
      <c r="BH3631" s="2"/>
      <c r="BI3631" s="2"/>
      <c r="BJ3631" s="2"/>
      <c r="BK3631" s="2"/>
      <c r="BL3631" s="2"/>
      <c r="BM3631" s="2"/>
      <c r="BN3631" s="2"/>
      <c r="BO3631" s="2"/>
      <c r="BP3631" s="2"/>
      <c r="BQ3631" s="2"/>
      <c r="BR3631" s="2"/>
      <c r="BS3631" s="2"/>
      <c r="BT3631" s="2"/>
      <c r="BU3631" s="2"/>
    </row>
    <row r="3632" spans="2:73" s="38" customFormat="1">
      <c r="B3632" s="1"/>
      <c r="C3632" s="1"/>
      <c r="D3632" s="1"/>
      <c r="E3632" s="1"/>
      <c r="F3632" s="1"/>
      <c r="G3632" s="1"/>
      <c r="H3632" s="1"/>
      <c r="I3632" s="1"/>
      <c r="J3632" s="1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  <c r="AZ3632" s="2"/>
      <c r="BA3632" s="2"/>
      <c r="BB3632" s="2"/>
      <c r="BC3632" s="2"/>
      <c r="BD3632" s="2"/>
      <c r="BE3632" s="2"/>
      <c r="BF3632" s="2"/>
      <c r="BG3632" s="2"/>
      <c r="BH3632" s="2"/>
      <c r="BI3632" s="2"/>
      <c r="BJ3632" s="2"/>
      <c r="BK3632" s="2"/>
      <c r="BL3632" s="2"/>
      <c r="BM3632" s="2"/>
      <c r="BN3632" s="2"/>
      <c r="BO3632" s="2"/>
      <c r="BP3632" s="2"/>
      <c r="BQ3632" s="2"/>
      <c r="BR3632" s="2"/>
      <c r="BS3632" s="2"/>
      <c r="BT3632" s="2"/>
      <c r="BU3632" s="2"/>
    </row>
    <row r="3633" spans="2:73" s="38" customFormat="1">
      <c r="B3633" s="1"/>
      <c r="C3633" s="1"/>
      <c r="D3633" s="1"/>
      <c r="E3633" s="1"/>
      <c r="F3633" s="1"/>
      <c r="G3633" s="1"/>
      <c r="H3633" s="1"/>
      <c r="I3633" s="1"/>
      <c r="J3633" s="1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  <c r="BA3633" s="2"/>
      <c r="BB3633" s="2"/>
      <c r="BC3633" s="2"/>
      <c r="BD3633" s="2"/>
      <c r="BE3633" s="2"/>
      <c r="BF3633" s="2"/>
      <c r="BG3633" s="2"/>
      <c r="BH3633" s="2"/>
      <c r="BI3633" s="2"/>
      <c r="BJ3633" s="2"/>
      <c r="BK3633" s="2"/>
      <c r="BL3633" s="2"/>
      <c r="BM3633" s="2"/>
      <c r="BN3633" s="2"/>
      <c r="BO3633" s="2"/>
      <c r="BP3633" s="2"/>
      <c r="BQ3633" s="2"/>
      <c r="BR3633" s="2"/>
      <c r="BS3633" s="2"/>
      <c r="BT3633" s="2"/>
      <c r="BU3633" s="2"/>
    </row>
    <row r="3634" spans="2:73" s="38" customFormat="1">
      <c r="B3634" s="1"/>
      <c r="C3634" s="1"/>
      <c r="D3634" s="1"/>
      <c r="E3634" s="1"/>
      <c r="F3634" s="1"/>
      <c r="G3634" s="1"/>
      <c r="H3634" s="1"/>
      <c r="I3634" s="1"/>
      <c r="J3634" s="1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  <c r="BA3634" s="2"/>
      <c r="BB3634" s="2"/>
      <c r="BC3634" s="2"/>
      <c r="BD3634" s="2"/>
      <c r="BE3634" s="2"/>
      <c r="BF3634" s="2"/>
      <c r="BG3634" s="2"/>
      <c r="BH3634" s="2"/>
      <c r="BI3634" s="2"/>
      <c r="BJ3634" s="2"/>
      <c r="BK3634" s="2"/>
      <c r="BL3634" s="2"/>
      <c r="BM3634" s="2"/>
      <c r="BN3634" s="2"/>
      <c r="BO3634" s="2"/>
      <c r="BP3634" s="2"/>
      <c r="BQ3634" s="2"/>
      <c r="BR3634" s="2"/>
      <c r="BS3634" s="2"/>
      <c r="BT3634" s="2"/>
      <c r="BU3634" s="2"/>
    </row>
    <row r="3635" spans="2:73" s="38" customFormat="1">
      <c r="B3635" s="1"/>
      <c r="C3635" s="1"/>
      <c r="D3635" s="1"/>
      <c r="E3635" s="1"/>
      <c r="F3635" s="1"/>
      <c r="G3635" s="1"/>
      <c r="H3635" s="1"/>
      <c r="I3635" s="1"/>
      <c r="J3635" s="1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  <c r="BA3635" s="2"/>
      <c r="BB3635" s="2"/>
      <c r="BC3635" s="2"/>
      <c r="BD3635" s="2"/>
      <c r="BE3635" s="2"/>
      <c r="BF3635" s="2"/>
      <c r="BG3635" s="2"/>
      <c r="BH3635" s="2"/>
      <c r="BI3635" s="2"/>
      <c r="BJ3635" s="2"/>
      <c r="BK3635" s="2"/>
      <c r="BL3635" s="2"/>
      <c r="BM3635" s="2"/>
      <c r="BN3635" s="2"/>
      <c r="BO3635" s="2"/>
      <c r="BP3635" s="2"/>
      <c r="BQ3635" s="2"/>
      <c r="BR3635" s="2"/>
      <c r="BS3635" s="2"/>
      <c r="BT3635" s="2"/>
      <c r="BU3635" s="2"/>
    </row>
    <row r="3636" spans="2:73" s="38" customFormat="1">
      <c r="B3636" s="1"/>
      <c r="C3636" s="1"/>
      <c r="D3636" s="1"/>
      <c r="E3636" s="1"/>
      <c r="F3636" s="1"/>
      <c r="G3636" s="1"/>
      <c r="H3636" s="1"/>
      <c r="I3636" s="1"/>
      <c r="J3636" s="1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  <c r="BA3636" s="2"/>
      <c r="BB3636" s="2"/>
      <c r="BC3636" s="2"/>
      <c r="BD3636" s="2"/>
      <c r="BE3636" s="2"/>
      <c r="BF3636" s="2"/>
      <c r="BG3636" s="2"/>
      <c r="BH3636" s="2"/>
      <c r="BI3636" s="2"/>
      <c r="BJ3636" s="2"/>
      <c r="BK3636" s="2"/>
      <c r="BL3636" s="2"/>
      <c r="BM3636" s="2"/>
      <c r="BN3636" s="2"/>
      <c r="BO3636" s="2"/>
      <c r="BP3636" s="2"/>
      <c r="BQ3636" s="2"/>
      <c r="BR3636" s="2"/>
      <c r="BS3636" s="2"/>
      <c r="BT3636" s="2"/>
      <c r="BU3636" s="2"/>
    </row>
    <row r="3637" spans="2:73" s="38" customFormat="1">
      <c r="B3637" s="1"/>
      <c r="C3637" s="1"/>
      <c r="D3637" s="1"/>
      <c r="E3637" s="1"/>
      <c r="F3637" s="1"/>
      <c r="G3637" s="1"/>
      <c r="H3637" s="1"/>
      <c r="I3637" s="1"/>
      <c r="J3637" s="1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  <c r="BB3637" s="2"/>
      <c r="BC3637" s="2"/>
      <c r="BD3637" s="2"/>
      <c r="BE3637" s="2"/>
      <c r="BF3637" s="2"/>
      <c r="BG3637" s="2"/>
      <c r="BH3637" s="2"/>
      <c r="BI3637" s="2"/>
      <c r="BJ3637" s="2"/>
      <c r="BK3637" s="2"/>
      <c r="BL3637" s="2"/>
      <c r="BM3637" s="2"/>
      <c r="BN3637" s="2"/>
      <c r="BO3637" s="2"/>
      <c r="BP3637" s="2"/>
      <c r="BQ3637" s="2"/>
      <c r="BR3637" s="2"/>
      <c r="BS3637" s="2"/>
      <c r="BT3637" s="2"/>
      <c r="BU3637" s="2"/>
    </row>
    <row r="3638" spans="2:73" s="38" customFormat="1">
      <c r="B3638" s="1"/>
      <c r="C3638" s="1"/>
      <c r="D3638" s="1"/>
      <c r="E3638" s="1"/>
      <c r="F3638" s="1"/>
      <c r="G3638" s="1"/>
      <c r="H3638" s="1"/>
      <c r="I3638" s="1"/>
      <c r="J3638" s="1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  <c r="BA3638" s="2"/>
      <c r="BB3638" s="2"/>
      <c r="BC3638" s="2"/>
      <c r="BD3638" s="2"/>
      <c r="BE3638" s="2"/>
      <c r="BF3638" s="2"/>
      <c r="BG3638" s="2"/>
      <c r="BH3638" s="2"/>
      <c r="BI3638" s="2"/>
      <c r="BJ3638" s="2"/>
      <c r="BK3638" s="2"/>
      <c r="BL3638" s="2"/>
      <c r="BM3638" s="2"/>
      <c r="BN3638" s="2"/>
      <c r="BO3638" s="2"/>
      <c r="BP3638" s="2"/>
      <c r="BQ3638" s="2"/>
      <c r="BR3638" s="2"/>
      <c r="BS3638" s="2"/>
      <c r="BT3638" s="2"/>
      <c r="BU3638" s="2"/>
    </row>
    <row r="3639" spans="2:73" s="38" customFormat="1">
      <c r="B3639" s="1"/>
      <c r="C3639" s="1"/>
      <c r="D3639" s="1"/>
      <c r="E3639" s="1"/>
      <c r="F3639" s="1"/>
      <c r="G3639" s="1"/>
      <c r="H3639" s="1"/>
      <c r="I3639" s="1"/>
      <c r="J3639" s="1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  <c r="BA3639" s="2"/>
      <c r="BB3639" s="2"/>
      <c r="BC3639" s="2"/>
      <c r="BD3639" s="2"/>
      <c r="BE3639" s="2"/>
      <c r="BF3639" s="2"/>
      <c r="BG3639" s="2"/>
      <c r="BH3639" s="2"/>
      <c r="BI3639" s="2"/>
      <c r="BJ3639" s="2"/>
      <c r="BK3639" s="2"/>
      <c r="BL3639" s="2"/>
      <c r="BM3639" s="2"/>
      <c r="BN3639" s="2"/>
      <c r="BO3639" s="2"/>
      <c r="BP3639" s="2"/>
      <c r="BQ3639" s="2"/>
      <c r="BR3639" s="2"/>
      <c r="BS3639" s="2"/>
      <c r="BT3639" s="2"/>
      <c r="BU3639" s="2"/>
    </row>
    <row r="3640" spans="2:73" s="38" customFormat="1">
      <c r="B3640" s="1"/>
      <c r="C3640" s="1"/>
      <c r="D3640" s="1"/>
      <c r="E3640" s="1"/>
      <c r="F3640" s="1"/>
      <c r="G3640" s="1"/>
      <c r="H3640" s="1"/>
      <c r="I3640" s="1"/>
      <c r="J3640" s="1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  <c r="BA3640" s="2"/>
      <c r="BB3640" s="2"/>
      <c r="BC3640" s="2"/>
      <c r="BD3640" s="2"/>
      <c r="BE3640" s="2"/>
      <c r="BF3640" s="2"/>
      <c r="BG3640" s="2"/>
      <c r="BH3640" s="2"/>
      <c r="BI3640" s="2"/>
      <c r="BJ3640" s="2"/>
      <c r="BK3640" s="2"/>
      <c r="BL3640" s="2"/>
      <c r="BM3640" s="2"/>
      <c r="BN3640" s="2"/>
      <c r="BO3640" s="2"/>
      <c r="BP3640" s="2"/>
      <c r="BQ3640" s="2"/>
      <c r="BR3640" s="2"/>
      <c r="BS3640" s="2"/>
      <c r="BT3640" s="2"/>
      <c r="BU3640" s="2"/>
    </row>
    <row r="3641" spans="2:73" s="38" customFormat="1">
      <c r="B3641" s="1"/>
      <c r="C3641" s="1"/>
      <c r="D3641" s="1"/>
      <c r="E3641" s="1"/>
      <c r="F3641" s="1"/>
      <c r="G3641" s="1"/>
      <c r="H3641" s="1"/>
      <c r="I3641" s="1"/>
      <c r="J3641" s="1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  <c r="BA3641" s="2"/>
      <c r="BB3641" s="2"/>
      <c r="BC3641" s="2"/>
      <c r="BD3641" s="2"/>
      <c r="BE3641" s="2"/>
      <c r="BF3641" s="2"/>
      <c r="BG3641" s="2"/>
      <c r="BH3641" s="2"/>
      <c r="BI3641" s="2"/>
      <c r="BJ3641" s="2"/>
      <c r="BK3641" s="2"/>
      <c r="BL3641" s="2"/>
      <c r="BM3641" s="2"/>
      <c r="BN3641" s="2"/>
      <c r="BO3641" s="2"/>
      <c r="BP3641" s="2"/>
      <c r="BQ3641" s="2"/>
      <c r="BR3641" s="2"/>
      <c r="BS3641" s="2"/>
      <c r="BT3641" s="2"/>
      <c r="BU3641" s="2"/>
    </row>
    <row r="3642" spans="2:73" s="38" customFormat="1">
      <c r="B3642" s="1"/>
      <c r="C3642" s="1"/>
      <c r="D3642" s="1"/>
      <c r="E3642" s="1"/>
      <c r="F3642" s="1"/>
      <c r="G3642" s="1"/>
      <c r="H3642" s="1"/>
      <c r="I3642" s="1"/>
      <c r="J3642" s="1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  <c r="BA3642" s="2"/>
      <c r="BB3642" s="2"/>
      <c r="BC3642" s="2"/>
      <c r="BD3642" s="2"/>
      <c r="BE3642" s="2"/>
      <c r="BF3642" s="2"/>
      <c r="BG3642" s="2"/>
      <c r="BH3642" s="2"/>
      <c r="BI3642" s="2"/>
      <c r="BJ3642" s="2"/>
      <c r="BK3642" s="2"/>
      <c r="BL3642" s="2"/>
      <c r="BM3642" s="2"/>
      <c r="BN3642" s="2"/>
      <c r="BO3642" s="2"/>
      <c r="BP3642" s="2"/>
      <c r="BQ3642" s="2"/>
      <c r="BR3642" s="2"/>
      <c r="BS3642" s="2"/>
      <c r="BT3642" s="2"/>
      <c r="BU3642" s="2"/>
    </row>
    <row r="3643" spans="2:73" s="38" customFormat="1">
      <c r="B3643" s="1"/>
      <c r="C3643" s="1"/>
      <c r="D3643" s="1"/>
      <c r="E3643" s="1"/>
      <c r="F3643" s="1"/>
      <c r="G3643" s="1"/>
      <c r="H3643" s="1"/>
      <c r="I3643" s="1"/>
      <c r="J3643" s="1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  <c r="BA3643" s="2"/>
      <c r="BB3643" s="2"/>
      <c r="BC3643" s="2"/>
      <c r="BD3643" s="2"/>
      <c r="BE3643" s="2"/>
      <c r="BF3643" s="2"/>
      <c r="BG3643" s="2"/>
      <c r="BH3643" s="2"/>
      <c r="BI3643" s="2"/>
      <c r="BJ3643" s="2"/>
      <c r="BK3643" s="2"/>
      <c r="BL3643" s="2"/>
      <c r="BM3643" s="2"/>
      <c r="BN3643" s="2"/>
      <c r="BO3643" s="2"/>
      <c r="BP3643" s="2"/>
      <c r="BQ3643" s="2"/>
      <c r="BR3643" s="2"/>
      <c r="BS3643" s="2"/>
      <c r="BT3643" s="2"/>
      <c r="BU3643" s="2"/>
    </row>
    <row r="3644" spans="2:73" s="38" customFormat="1">
      <c r="B3644" s="1"/>
      <c r="C3644" s="1"/>
      <c r="D3644" s="1"/>
      <c r="E3644" s="1"/>
      <c r="F3644" s="1"/>
      <c r="G3644" s="1"/>
      <c r="H3644" s="1"/>
      <c r="I3644" s="1"/>
      <c r="J3644" s="1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2"/>
      <c r="BA3644" s="2"/>
      <c r="BB3644" s="2"/>
      <c r="BC3644" s="2"/>
      <c r="BD3644" s="2"/>
      <c r="BE3644" s="2"/>
      <c r="BF3644" s="2"/>
      <c r="BG3644" s="2"/>
      <c r="BH3644" s="2"/>
      <c r="BI3644" s="2"/>
      <c r="BJ3644" s="2"/>
      <c r="BK3644" s="2"/>
      <c r="BL3644" s="2"/>
      <c r="BM3644" s="2"/>
      <c r="BN3644" s="2"/>
      <c r="BO3644" s="2"/>
      <c r="BP3644" s="2"/>
      <c r="BQ3644" s="2"/>
      <c r="BR3644" s="2"/>
      <c r="BS3644" s="2"/>
      <c r="BT3644" s="2"/>
      <c r="BU3644" s="2"/>
    </row>
    <row r="3645" spans="2:73" s="38" customFormat="1">
      <c r="B3645" s="1"/>
      <c r="C3645" s="1"/>
      <c r="D3645" s="1"/>
      <c r="E3645" s="1"/>
      <c r="F3645" s="1"/>
      <c r="G3645" s="1"/>
      <c r="H3645" s="1"/>
      <c r="I3645" s="1"/>
      <c r="J3645" s="1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  <c r="BA3645" s="2"/>
      <c r="BB3645" s="2"/>
      <c r="BC3645" s="2"/>
      <c r="BD3645" s="2"/>
      <c r="BE3645" s="2"/>
      <c r="BF3645" s="2"/>
      <c r="BG3645" s="2"/>
      <c r="BH3645" s="2"/>
      <c r="BI3645" s="2"/>
      <c r="BJ3645" s="2"/>
      <c r="BK3645" s="2"/>
      <c r="BL3645" s="2"/>
      <c r="BM3645" s="2"/>
      <c r="BN3645" s="2"/>
      <c r="BO3645" s="2"/>
      <c r="BP3645" s="2"/>
      <c r="BQ3645" s="2"/>
      <c r="BR3645" s="2"/>
      <c r="BS3645" s="2"/>
      <c r="BT3645" s="2"/>
      <c r="BU3645" s="2"/>
    </row>
    <row r="3646" spans="2:73" s="38" customFormat="1">
      <c r="B3646" s="1"/>
      <c r="C3646" s="1"/>
      <c r="D3646" s="1"/>
      <c r="E3646" s="1"/>
      <c r="F3646" s="1"/>
      <c r="G3646" s="1"/>
      <c r="H3646" s="1"/>
      <c r="I3646" s="1"/>
      <c r="J3646" s="1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2"/>
      <c r="BA3646" s="2"/>
      <c r="BB3646" s="2"/>
      <c r="BC3646" s="2"/>
      <c r="BD3646" s="2"/>
      <c r="BE3646" s="2"/>
      <c r="BF3646" s="2"/>
      <c r="BG3646" s="2"/>
      <c r="BH3646" s="2"/>
      <c r="BI3646" s="2"/>
      <c r="BJ3646" s="2"/>
      <c r="BK3646" s="2"/>
      <c r="BL3646" s="2"/>
      <c r="BM3646" s="2"/>
      <c r="BN3646" s="2"/>
      <c r="BO3646" s="2"/>
      <c r="BP3646" s="2"/>
      <c r="BQ3646" s="2"/>
      <c r="BR3646" s="2"/>
      <c r="BS3646" s="2"/>
      <c r="BT3646" s="2"/>
      <c r="BU3646" s="2"/>
    </row>
    <row r="3647" spans="2:73" s="38" customFormat="1">
      <c r="B3647" s="1"/>
      <c r="C3647" s="1"/>
      <c r="D3647" s="1"/>
      <c r="E3647" s="1"/>
      <c r="F3647" s="1"/>
      <c r="G3647" s="1"/>
      <c r="H3647" s="1"/>
      <c r="I3647" s="1"/>
      <c r="J3647" s="1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  <c r="BA3647" s="2"/>
      <c r="BB3647" s="2"/>
      <c r="BC3647" s="2"/>
      <c r="BD3647" s="2"/>
      <c r="BE3647" s="2"/>
      <c r="BF3647" s="2"/>
      <c r="BG3647" s="2"/>
      <c r="BH3647" s="2"/>
      <c r="BI3647" s="2"/>
      <c r="BJ3647" s="2"/>
      <c r="BK3647" s="2"/>
      <c r="BL3647" s="2"/>
      <c r="BM3647" s="2"/>
      <c r="BN3647" s="2"/>
      <c r="BO3647" s="2"/>
      <c r="BP3647" s="2"/>
      <c r="BQ3647" s="2"/>
      <c r="BR3647" s="2"/>
      <c r="BS3647" s="2"/>
      <c r="BT3647" s="2"/>
      <c r="BU3647" s="2"/>
    </row>
    <row r="3648" spans="2:73" s="38" customFormat="1">
      <c r="B3648" s="1"/>
      <c r="C3648" s="1"/>
      <c r="D3648" s="1"/>
      <c r="E3648" s="1"/>
      <c r="F3648" s="1"/>
      <c r="G3648" s="1"/>
      <c r="H3648" s="1"/>
      <c r="I3648" s="1"/>
      <c r="J3648" s="1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  <c r="AZ3648" s="2"/>
      <c r="BA3648" s="2"/>
      <c r="BB3648" s="2"/>
      <c r="BC3648" s="2"/>
      <c r="BD3648" s="2"/>
      <c r="BE3648" s="2"/>
      <c r="BF3648" s="2"/>
      <c r="BG3648" s="2"/>
      <c r="BH3648" s="2"/>
      <c r="BI3648" s="2"/>
      <c r="BJ3648" s="2"/>
      <c r="BK3648" s="2"/>
      <c r="BL3648" s="2"/>
      <c r="BM3648" s="2"/>
      <c r="BN3648" s="2"/>
      <c r="BO3648" s="2"/>
      <c r="BP3648" s="2"/>
      <c r="BQ3648" s="2"/>
      <c r="BR3648" s="2"/>
      <c r="BS3648" s="2"/>
      <c r="BT3648" s="2"/>
      <c r="BU3648" s="2"/>
    </row>
    <row r="3649" spans="2:73" s="38" customFormat="1">
      <c r="B3649" s="1"/>
      <c r="C3649" s="1"/>
      <c r="D3649" s="1"/>
      <c r="E3649" s="1"/>
      <c r="F3649" s="1"/>
      <c r="G3649" s="1"/>
      <c r="H3649" s="1"/>
      <c r="I3649" s="1"/>
      <c r="J3649" s="1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  <c r="AZ3649" s="2"/>
      <c r="BA3649" s="2"/>
      <c r="BB3649" s="2"/>
      <c r="BC3649" s="2"/>
      <c r="BD3649" s="2"/>
      <c r="BE3649" s="2"/>
      <c r="BF3649" s="2"/>
      <c r="BG3649" s="2"/>
      <c r="BH3649" s="2"/>
      <c r="BI3649" s="2"/>
      <c r="BJ3649" s="2"/>
      <c r="BK3649" s="2"/>
      <c r="BL3649" s="2"/>
      <c r="BM3649" s="2"/>
      <c r="BN3649" s="2"/>
      <c r="BO3649" s="2"/>
      <c r="BP3649" s="2"/>
      <c r="BQ3649" s="2"/>
      <c r="BR3649" s="2"/>
      <c r="BS3649" s="2"/>
      <c r="BT3649" s="2"/>
      <c r="BU3649" s="2"/>
    </row>
    <row r="3650" spans="2:73" s="38" customFormat="1">
      <c r="B3650" s="1"/>
      <c r="C3650" s="1"/>
      <c r="D3650" s="1"/>
      <c r="E3650" s="1"/>
      <c r="F3650" s="1"/>
      <c r="G3650" s="1"/>
      <c r="H3650" s="1"/>
      <c r="I3650" s="1"/>
      <c r="J3650" s="1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/>
      <c r="AZ3650" s="2"/>
      <c r="BA3650" s="2"/>
      <c r="BB3650" s="2"/>
      <c r="BC3650" s="2"/>
      <c r="BD3650" s="2"/>
      <c r="BE3650" s="2"/>
      <c r="BF3650" s="2"/>
      <c r="BG3650" s="2"/>
      <c r="BH3650" s="2"/>
      <c r="BI3650" s="2"/>
      <c r="BJ3650" s="2"/>
      <c r="BK3650" s="2"/>
      <c r="BL3650" s="2"/>
      <c r="BM3650" s="2"/>
      <c r="BN3650" s="2"/>
      <c r="BO3650" s="2"/>
      <c r="BP3650" s="2"/>
      <c r="BQ3650" s="2"/>
      <c r="BR3650" s="2"/>
      <c r="BS3650" s="2"/>
      <c r="BT3650" s="2"/>
      <c r="BU3650" s="2"/>
    </row>
    <row r="3651" spans="2:73" s="38" customFormat="1">
      <c r="B3651" s="1"/>
      <c r="C3651" s="1"/>
      <c r="D3651" s="1"/>
      <c r="E3651" s="1"/>
      <c r="F3651" s="1"/>
      <c r="G3651" s="1"/>
      <c r="H3651" s="1"/>
      <c r="I3651" s="1"/>
      <c r="J3651" s="1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/>
      <c r="AZ3651" s="2"/>
      <c r="BA3651" s="2"/>
      <c r="BB3651" s="2"/>
      <c r="BC3651" s="2"/>
      <c r="BD3651" s="2"/>
      <c r="BE3651" s="2"/>
      <c r="BF3651" s="2"/>
      <c r="BG3651" s="2"/>
      <c r="BH3651" s="2"/>
      <c r="BI3651" s="2"/>
      <c r="BJ3651" s="2"/>
      <c r="BK3651" s="2"/>
      <c r="BL3651" s="2"/>
      <c r="BM3651" s="2"/>
      <c r="BN3651" s="2"/>
      <c r="BO3651" s="2"/>
      <c r="BP3651" s="2"/>
      <c r="BQ3651" s="2"/>
      <c r="BR3651" s="2"/>
      <c r="BS3651" s="2"/>
      <c r="BT3651" s="2"/>
      <c r="BU3651" s="2"/>
    </row>
    <row r="3652" spans="2:73" s="38" customFormat="1">
      <c r="B3652" s="1"/>
      <c r="C3652" s="1"/>
      <c r="D3652" s="1"/>
      <c r="E3652" s="1"/>
      <c r="F3652" s="1"/>
      <c r="G3652" s="1"/>
      <c r="H3652" s="1"/>
      <c r="I3652" s="1"/>
      <c r="J3652" s="1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  <c r="AZ3652" s="2"/>
      <c r="BA3652" s="2"/>
      <c r="BB3652" s="2"/>
      <c r="BC3652" s="2"/>
      <c r="BD3652" s="2"/>
      <c r="BE3652" s="2"/>
      <c r="BF3652" s="2"/>
      <c r="BG3652" s="2"/>
      <c r="BH3652" s="2"/>
      <c r="BI3652" s="2"/>
      <c r="BJ3652" s="2"/>
      <c r="BK3652" s="2"/>
      <c r="BL3652" s="2"/>
      <c r="BM3652" s="2"/>
      <c r="BN3652" s="2"/>
      <c r="BO3652" s="2"/>
      <c r="BP3652" s="2"/>
      <c r="BQ3652" s="2"/>
      <c r="BR3652" s="2"/>
      <c r="BS3652" s="2"/>
      <c r="BT3652" s="2"/>
      <c r="BU3652" s="2"/>
    </row>
    <row r="3653" spans="2:73" s="38" customFormat="1">
      <c r="B3653" s="1"/>
      <c r="C3653" s="1"/>
      <c r="D3653" s="1"/>
      <c r="E3653" s="1"/>
      <c r="F3653" s="1"/>
      <c r="G3653" s="1"/>
      <c r="H3653" s="1"/>
      <c r="I3653" s="1"/>
      <c r="J3653" s="1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  <c r="BA3653" s="2"/>
      <c r="BB3653" s="2"/>
      <c r="BC3653" s="2"/>
      <c r="BD3653" s="2"/>
      <c r="BE3653" s="2"/>
      <c r="BF3653" s="2"/>
      <c r="BG3653" s="2"/>
      <c r="BH3653" s="2"/>
      <c r="BI3653" s="2"/>
      <c r="BJ3653" s="2"/>
      <c r="BK3653" s="2"/>
      <c r="BL3653" s="2"/>
      <c r="BM3653" s="2"/>
      <c r="BN3653" s="2"/>
      <c r="BO3653" s="2"/>
      <c r="BP3653" s="2"/>
      <c r="BQ3653" s="2"/>
      <c r="BR3653" s="2"/>
      <c r="BS3653" s="2"/>
      <c r="BT3653" s="2"/>
      <c r="BU3653" s="2"/>
    </row>
    <row r="3654" spans="2:73" s="38" customFormat="1">
      <c r="B3654" s="1"/>
      <c r="C3654" s="1"/>
      <c r="D3654" s="1"/>
      <c r="E3654" s="1"/>
      <c r="F3654" s="1"/>
      <c r="G3654" s="1"/>
      <c r="H3654" s="1"/>
      <c r="I3654" s="1"/>
      <c r="J3654" s="1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2"/>
      <c r="BA3654" s="2"/>
      <c r="BB3654" s="2"/>
      <c r="BC3654" s="2"/>
      <c r="BD3654" s="2"/>
      <c r="BE3654" s="2"/>
      <c r="BF3654" s="2"/>
      <c r="BG3654" s="2"/>
      <c r="BH3654" s="2"/>
      <c r="BI3654" s="2"/>
      <c r="BJ3654" s="2"/>
      <c r="BK3654" s="2"/>
      <c r="BL3654" s="2"/>
      <c r="BM3654" s="2"/>
      <c r="BN3654" s="2"/>
      <c r="BO3654" s="2"/>
      <c r="BP3654" s="2"/>
      <c r="BQ3654" s="2"/>
      <c r="BR3654" s="2"/>
      <c r="BS3654" s="2"/>
      <c r="BT3654" s="2"/>
      <c r="BU3654" s="2"/>
    </row>
    <row r="3655" spans="2:73" s="38" customFormat="1">
      <c r="B3655" s="1"/>
      <c r="C3655" s="1"/>
      <c r="D3655" s="1"/>
      <c r="E3655" s="1"/>
      <c r="F3655" s="1"/>
      <c r="G3655" s="1"/>
      <c r="H3655" s="1"/>
      <c r="I3655" s="1"/>
      <c r="J3655" s="1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  <c r="AZ3655" s="2"/>
      <c r="BA3655" s="2"/>
      <c r="BB3655" s="2"/>
      <c r="BC3655" s="2"/>
      <c r="BD3655" s="2"/>
      <c r="BE3655" s="2"/>
      <c r="BF3655" s="2"/>
      <c r="BG3655" s="2"/>
      <c r="BH3655" s="2"/>
      <c r="BI3655" s="2"/>
      <c r="BJ3655" s="2"/>
      <c r="BK3655" s="2"/>
      <c r="BL3655" s="2"/>
      <c r="BM3655" s="2"/>
      <c r="BN3655" s="2"/>
      <c r="BO3655" s="2"/>
      <c r="BP3655" s="2"/>
      <c r="BQ3655" s="2"/>
      <c r="BR3655" s="2"/>
      <c r="BS3655" s="2"/>
      <c r="BT3655" s="2"/>
      <c r="BU3655" s="2"/>
    </row>
    <row r="3656" spans="2:73" s="38" customFormat="1">
      <c r="B3656" s="1"/>
      <c r="C3656" s="1"/>
      <c r="D3656" s="1"/>
      <c r="E3656" s="1"/>
      <c r="F3656" s="1"/>
      <c r="G3656" s="1"/>
      <c r="H3656" s="1"/>
      <c r="I3656" s="1"/>
      <c r="J3656" s="1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  <c r="AZ3656" s="2"/>
      <c r="BA3656" s="2"/>
      <c r="BB3656" s="2"/>
      <c r="BC3656" s="2"/>
      <c r="BD3656" s="2"/>
      <c r="BE3656" s="2"/>
      <c r="BF3656" s="2"/>
      <c r="BG3656" s="2"/>
      <c r="BH3656" s="2"/>
      <c r="BI3656" s="2"/>
      <c r="BJ3656" s="2"/>
      <c r="BK3656" s="2"/>
      <c r="BL3656" s="2"/>
      <c r="BM3656" s="2"/>
      <c r="BN3656" s="2"/>
      <c r="BO3656" s="2"/>
      <c r="BP3656" s="2"/>
      <c r="BQ3656" s="2"/>
      <c r="BR3656" s="2"/>
      <c r="BS3656" s="2"/>
      <c r="BT3656" s="2"/>
      <c r="BU3656" s="2"/>
    </row>
    <row r="3657" spans="2:73" s="38" customFormat="1">
      <c r="B3657" s="1"/>
      <c r="C3657" s="1"/>
      <c r="D3657" s="1"/>
      <c r="E3657" s="1"/>
      <c r="F3657" s="1"/>
      <c r="G3657" s="1"/>
      <c r="H3657" s="1"/>
      <c r="I3657" s="1"/>
      <c r="J3657" s="1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2"/>
      <c r="BA3657" s="2"/>
      <c r="BB3657" s="2"/>
      <c r="BC3657" s="2"/>
      <c r="BD3657" s="2"/>
      <c r="BE3657" s="2"/>
      <c r="BF3657" s="2"/>
      <c r="BG3657" s="2"/>
      <c r="BH3657" s="2"/>
      <c r="BI3657" s="2"/>
      <c r="BJ3657" s="2"/>
      <c r="BK3657" s="2"/>
      <c r="BL3657" s="2"/>
      <c r="BM3657" s="2"/>
      <c r="BN3657" s="2"/>
      <c r="BO3657" s="2"/>
      <c r="BP3657" s="2"/>
      <c r="BQ3657" s="2"/>
      <c r="BR3657" s="2"/>
      <c r="BS3657" s="2"/>
      <c r="BT3657" s="2"/>
      <c r="BU3657" s="2"/>
    </row>
    <row r="3658" spans="2:73" s="38" customFormat="1">
      <c r="B3658" s="1"/>
      <c r="C3658" s="1"/>
      <c r="D3658" s="1"/>
      <c r="E3658" s="1"/>
      <c r="F3658" s="1"/>
      <c r="G3658" s="1"/>
      <c r="H3658" s="1"/>
      <c r="I3658" s="1"/>
      <c r="J3658" s="1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  <c r="BB3658" s="2"/>
      <c r="BC3658" s="2"/>
      <c r="BD3658" s="2"/>
      <c r="BE3658" s="2"/>
      <c r="BF3658" s="2"/>
      <c r="BG3658" s="2"/>
      <c r="BH3658" s="2"/>
      <c r="BI3658" s="2"/>
      <c r="BJ3658" s="2"/>
      <c r="BK3658" s="2"/>
      <c r="BL3658" s="2"/>
      <c r="BM3658" s="2"/>
      <c r="BN3658" s="2"/>
      <c r="BO3658" s="2"/>
      <c r="BP3658" s="2"/>
      <c r="BQ3658" s="2"/>
      <c r="BR3658" s="2"/>
      <c r="BS3658" s="2"/>
      <c r="BT3658" s="2"/>
      <c r="BU3658" s="2"/>
    </row>
    <row r="3659" spans="2:73" s="38" customFormat="1">
      <c r="B3659" s="1"/>
      <c r="C3659" s="1"/>
      <c r="D3659" s="1"/>
      <c r="E3659" s="1"/>
      <c r="F3659" s="1"/>
      <c r="G3659" s="1"/>
      <c r="H3659" s="1"/>
      <c r="I3659" s="1"/>
      <c r="J3659" s="1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2"/>
      <c r="BA3659" s="2"/>
      <c r="BB3659" s="2"/>
      <c r="BC3659" s="2"/>
      <c r="BD3659" s="2"/>
      <c r="BE3659" s="2"/>
      <c r="BF3659" s="2"/>
      <c r="BG3659" s="2"/>
      <c r="BH3659" s="2"/>
      <c r="BI3659" s="2"/>
      <c r="BJ3659" s="2"/>
      <c r="BK3659" s="2"/>
      <c r="BL3659" s="2"/>
      <c r="BM3659" s="2"/>
      <c r="BN3659" s="2"/>
      <c r="BO3659" s="2"/>
      <c r="BP3659" s="2"/>
      <c r="BQ3659" s="2"/>
      <c r="BR3659" s="2"/>
      <c r="BS3659" s="2"/>
      <c r="BT3659" s="2"/>
      <c r="BU3659" s="2"/>
    </row>
    <row r="3660" spans="2:73" s="38" customFormat="1">
      <c r="B3660" s="1"/>
      <c r="C3660" s="1"/>
      <c r="D3660" s="1"/>
      <c r="E3660" s="1"/>
      <c r="F3660" s="1"/>
      <c r="G3660" s="1"/>
      <c r="H3660" s="1"/>
      <c r="I3660" s="1"/>
      <c r="J3660" s="1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2"/>
      <c r="BA3660" s="2"/>
      <c r="BB3660" s="2"/>
      <c r="BC3660" s="2"/>
      <c r="BD3660" s="2"/>
      <c r="BE3660" s="2"/>
      <c r="BF3660" s="2"/>
      <c r="BG3660" s="2"/>
      <c r="BH3660" s="2"/>
      <c r="BI3660" s="2"/>
      <c r="BJ3660" s="2"/>
      <c r="BK3660" s="2"/>
      <c r="BL3660" s="2"/>
      <c r="BM3660" s="2"/>
      <c r="BN3660" s="2"/>
      <c r="BO3660" s="2"/>
      <c r="BP3660" s="2"/>
      <c r="BQ3660" s="2"/>
      <c r="BR3660" s="2"/>
      <c r="BS3660" s="2"/>
      <c r="BT3660" s="2"/>
      <c r="BU3660" s="2"/>
    </row>
    <row r="3661" spans="2:73" s="38" customFormat="1">
      <c r="B3661" s="1"/>
      <c r="C3661" s="1"/>
      <c r="D3661" s="1"/>
      <c r="E3661" s="1"/>
      <c r="F3661" s="1"/>
      <c r="G3661" s="1"/>
      <c r="H3661" s="1"/>
      <c r="I3661" s="1"/>
      <c r="J3661" s="1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2"/>
      <c r="BA3661" s="2"/>
      <c r="BB3661" s="2"/>
      <c r="BC3661" s="2"/>
      <c r="BD3661" s="2"/>
      <c r="BE3661" s="2"/>
      <c r="BF3661" s="2"/>
      <c r="BG3661" s="2"/>
      <c r="BH3661" s="2"/>
      <c r="BI3661" s="2"/>
      <c r="BJ3661" s="2"/>
      <c r="BK3661" s="2"/>
      <c r="BL3661" s="2"/>
      <c r="BM3661" s="2"/>
      <c r="BN3661" s="2"/>
      <c r="BO3661" s="2"/>
      <c r="BP3661" s="2"/>
      <c r="BQ3661" s="2"/>
      <c r="BR3661" s="2"/>
      <c r="BS3661" s="2"/>
      <c r="BT3661" s="2"/>
      <c r="BU3661" s="2"/>
    </row>
    <row r="3662" spans="2:73" s="38" customFormat="1">
      <c r="B3662" s="1"/>
      <c r="C3662" s="1"/>
      <c r="D3662" s="1"/>
      <c r="E3662" s="1"/>
      <c r="F3662" s="1"/>
      <c r="G3662" s="1"/>
      <c r="H3662" s="1"/>
      <c r="I3662" s="1"/>
      <c r="J3662" s="1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  <c r="AZ3662" s="2"/>
      <c r="BA3662" s="2"/>
      <c r="BB3662" s="2"/>
      <c r="BC3662" s="2"/>
      <c r="BD3662" s="2"/>
      <c r="BE3662" s="2"/>
      <c r="BF3662" s="2"/>
      <c r="BG3662" s="2"/>
      <c r="BH3662" s="2"/>
      <c r="BI3662" s="2"/>
      <c r="BJ3662" s="2"/>
      <c r="BK3662" s="2"/>
      <c r="BL3662" s="2"/>
      <c r="BM3662" s="2"/>
      <c r="BN3662" s="2"/>
      <c r="BO3662" s="2"/>
      <c r="BP3662" s="2"/>
      <c r="BQ3662" s="2"/>
      <c r="BR3662" s="2"/>
      <c r="BS3662" s="2"/>
      <c r="BT3662" s="2"/>
      <c r="BU3662" s="2"/>
    </row>
    <row r="3663" spans="2:73" s="38" customFormat="1">
      <c r="B3663" s="1"/>
      <c r="C3663" s="1"/>
      <c r="D3663" s="1"/>
      <c r="E3663" s="1"/>
      <c r="F3663" s="1"/>
      <c r="G3663" s="1"/>
      <c r="H3663" s="1"/>
      <c r="I3663" s="1"/>
      <c r="J3663" s="1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  <c r="BA3663" s="2"/>
      <c r="BB3663" s="2"/>
      <c r="BC3663" s="2"/>
      <c r="BD3663" s="2"/>
      <c r="BE3663" s="2"/>
      <c r="BF3663" s="2"/>
      <c r="BG3663" s="2"/>
      <c r="BH3663" s="2"/>
      <c r="BI3663" s="2"/>
      <c r="BJ3663" s="2"/>
      <c r="BK3663" s="2"/>
      <c r="BL3663" s="2"/>
      <c r="BM3663" s="2"/>
      <c r="BN3663" s="2"/>
      <c r="BO3663" s="2"/>
      <c r="BP3663" s="2"/>
      <c r="BQ3663" s="2"/>
      <c r="BR3663" s="2"/>
      <c r="BS3663" s="2"/>
      <c r="BT3663" s="2"/>
      <c r="BU3663" s="2"/>
    </row>
    <row r="3664" spans="2:73" s="38" customFormat="1">
      <c r="B3664" s="1"/>
      <c r="C3664" s="1"/>
      <c r="D3664" s="1"/>
      <c r="E3664" s="1"/>
      <c r="F3664" s="1"/>
      <c r="G3664" s="1"/>
      <c r="H3664" s="1"/>
      <c r="I3664" s="1"/>
      <c r="J3664" s="1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  <c r="AZ3664" s="2"/>
      <c r="BA3664" s="2"/>
      <c r="BB3664" s="2"/>
      <c r="BC3664" s="2"/>
      <c r="BD3664" s="2"/>
      <c r="BE3664" s="2"/>
      <c r="BF3664" s="2"/>
      <c r="BG3664" s="2"/>
      <c r="BH3664" s="2"/>
      <c r="BI3664" s="2"/>
      <c r="BJ3664" s="2"/>
      <c r="BK3664" s="2"/>
      <c r="BL3664" s="2"/>
      <c r="BM3664" s="2"/>
      <c r="BN3664" s="2"/>
      <c r="BO3664" s="2"/>
      <c r="BP3664" s="2"/>
      <c r="BQ3664" s="2"/>
      <c r="BR3664" s="2"/>
      <c r="BS3664" s="2"/>
      <c r="BT3664" s="2"/>
      <c r="BU3664" s="2"/>
    </row>
    <row r="3665" spans="2:73" s="38" customFormat="1">
      <c r="B3665" s="1"/>
      <c r="C3665" s="1"/>
      <c r="D3665" s="1"/>
      <c r="E3665" s="1"/>
      <c r="F3665" s="1"/>
      <c r="G3665" s="1"/>
      <c r="H3665" s="1"/>
      <c r="I3665" s="1"/>
      <c r="J3665" s="1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2"/>
      <c r="BA3665" s="2"/>
      <c r="BB3665" s="2"/>
      <c r="BC3665" s="2"/>
      <c r="BD3665" s="2"/>
      <c r="BE3665" s="2"/>
      <c r="BF3665" s="2"/>
      <c r="BG3665" s="2"/>
      <c r="BH3665" s="2"/>
      <c r="BI3665" s="2"/>
      <c r="BJ3665" s="2"/>
      <c r="BK3665" s="2"/>
      <c r="BL3665" s="2"/>
      <c r="BM3665" s="2"/>
      <c r="BN3665" s="2"/>
      <c r="BO3665" s="2"/>
      <c r="BP3665" s="2"/>
      <c r="BQ3665" s="2"/>
      <c r="BR3665" s="2"/>
      <c r="BS3665" s="2"/>
      <c r="BT3665" s="2"/>
      <c r="BU3665" s="2"/>
    </row>
    <row r="3666" spans="2:73" s="38" customFormat="1">
      <c r="B3666" s="1"/>
      <c r="C3666" s="1"/>
      <c r="D3666" s="1"/>
      <c r="E3666" s="1"/>
      <c r="F3666" s="1"/>
      <c r="G3666" s="1"/>
      <c r="H3666" s="1"/>
      <c r="I3666" s="1"/>
      <c r="J3666" s="1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  <c r="BA3666" s="2"/>
      <c r="BB3666" s="2"/>
      <c r="BC3666" s="2"/>
      <c r="BD3666" s="2"/>
      <c r="BE3666" s="2"/>
      <c r="BF3666" s="2"/>
      <c r="BG3666" s="2"/>
      <c r="BH3666" s="2"/>
      <c r="BI3666" s="2"/>
      <c r="BJ3666" s="2"/>
      <c r="BK3666" s="2"/>
      <c r="BL3666" s="2"/>
      <c r="BM3666" s="2"/>
      <c r="BN3666" s="2"/>
      <c r="BO3666" s="2"/>
      <c r="BP3666" s="2"/>
      <c r="BQ3666" s="2"/>
      <c r="BR3666" s="2"/>
      <c r="BS3666" s="2"/>
      <c r="BT3666" s="2"/>
      <c r="BU3666" s="2"/>
    </row>
    <row r="3667" spans="2:73" s="38" customFormat="1">
      <c r="B3667" s="1"/>
      <c r="C3667" s="1"/>
      <c r="D3667" s="1"/>
      <c r="E3667" s="1"/>
      <c r="F3667" s="1"/>
      <c r="G3667" s="1"/>
      <c r="H3667" s="1"/>
      <c r="I3667" s="1"/>
      <c r="J3667" s="1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  <c r="BA3667" s="2"/>
      <c r="BB3667" s="2"/>
      <c r="BC3667" s="2"/>
      <c r="BD3667" s="2"/>
      <c r="BE3667" s="2"/>
      <c r="BF3667" s="2"/>
      <c r="BG3667" s="2"/>
      <c r="BH3667" s="2"/>
      <c r="BI3667" s="2"/>
      <c r="BJ3667" s="2"/>
      <c r="BK3667" s="2"/>
      <c r="BL3667" s="2"/>
      <c r="BM3667" s="2"/>
      <c r="BN3667" s="2"/>
      <c r="BO3667" s="2"/>
      <c r="BP3667" s="2"/>
      <c r="BQ3667" s="2"/>
      <c r="BR3667" s="2"/>
      <c r="BS3667" s="2"/>
      <c r="BT3667" s="2"/>
      <c r="BU3667" s="2"/>
    </row>
    <row r="3668" spans="2:73" s="38" customFormat="1">
      <c r="B3668" s="1"/>
      <c r="C3668" s="1"/>
      <c r="D3668" s="1"/>
      <c r="E3668" s="1"/>
      <c r="F3668" s="1"/>
      <c r="G3668" s="1"/>
      <c r="H3668" s="1"/>
      <c r="I3668" s="1"/>
      <c r="J3668" s="1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  <c r="AZ3668" s="2"/>
      <c r="BA3668" s="2"/>
      <c r="BB3668" s="2"/>
      <c r="BC3668" s="2"/>
      <c r="BD3668" s="2"/>
      <c r="BE3668" s="2"/>
      <c r="BF3668" s="2"/>
      <c r="BG3668" s="2"/>
      <c r="BH3668" s="2"/>
      <c r="BI3668" s="2"/>
      <c r="BJ3668" s="2"/>
      <c r="BK3668" s="2"/>
      <c r="BL3668" s="2"/>
      <c r="BM3668" s="2"/>
      <c r="BN3668" s="2"/>
      <c r="BO3668" s="2"/>
      <c r="BP3668" s="2"/>
      <c r="BQ3668" s="2"/>
      <c r="BR3668" s="2"/>
      <c r="BS3668" s="2"/>
      <c r="BT3668" s="2"/>
      <c r="BU3668" s="2"/>
    </row>
    <row r="3669" spans="2:73" s="38" customFormat="1">
      <c r="B3669" s="1"/>
      <c r="C3669" s="1"/>
      <c r="D3669" s="1"/>
      <c r="E3669" s="1"/>
      <c r="F3669" s="1"/>
      <c r="G3669" s="1"/>
      <c r="H3669" s="1"/>
      <c r="I3669" s="1"/>
      <c r="J3669" s="1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  <c r="BA3669" s="2"/>
      <c r="BB3669" s="2"/>
      <c r="BC3669" s="2"/>
      <c r="BD3669" s="2"/>
      <c r="BE3669" s="2"/>
      <c r="BF3669" s="2"/>
      <c r="BG3669" s="2"/>
      <c r="BH3669" s="2"/>
      <c r="BI3669" s="2"/>
      <c r="BJ3669" s="2"/>
      <c r="BK3669" s="2"/>
      <c r="BL3669" s="2"/>
      <c r="BM3669" s="2"/>
      <c r="BN3669" s="2"/>
      <c r="BO3669" s="2"/>
      <c r="BP3669" s="2"/>
      <c r="BQ3669" s="2"/>
      <c r="BR3669" s="2"/>
      <c r="BS3669" s="2"/>
      <c r="BT3669" s="2"/>
      <c r="BU3669" s="2"/>
    </row>
    <row r="3670" spans="2:73" s="38" customFormat="1">
      <c r="B3670" s="1"/>
      <c r="C3670" s="1"/>
      <c r="D3670" s="1"/>
      <c r="E3670" s="1"/>
      <c r="F3670" s="1"/>
      <c r="G3670" s="1"/>
      <c r="H3670" s="1"/>
      <c r="I3670" s="1"/>
      <c r="J3670" s="1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2"/>
      <c r="BA3670" s="2"/>
      <c r="BB3670" s="2"/>
      <c r="BC3670" s="2"/>
      <c r="BD3670" s="2"/>
      <c r="BE3670" s="2"/>
      <c r="BF3670" s="2"/>
      <c r="BG3670" s="2"/>
      <c r="BH3670" s="2"/>
      <c r="BI3670" s="2"/>
      <c r="BJ3670" s="2"/>
      <c r="BK3670" s="2"/>
      <c r="BL3670" s="2"/>
      <c r="BM3670" s="2"/>
      <c r="BN3670" s="2"/>
      <c r="BO3670" s="2"/>
      <c r="BP3670" s="2"/>
      <c r="BQ3670" s="2"/>
      <c r="BR3670" s="2"/>
      <c r="BS3670" s="2"/>
      <c r="BT3670" s="2"/>
      <c r="BU3670" s="2"/>
    </row>
    <row r="3671" spans="2:73" s="38" customFormat="1">
      <c r="B3671" s="1"/>
      <c r="C3671" s="1"/>
      <c r="D3671" s="1"/>
      <c r="E3671" s="1"/>
      <c r="F3671" s="1"/>
      <c r="G3671" s="1"/>
      <c r="H3671" s="1"/>
      <c r="I3671" s="1"/>
      <c r="J3671" s="1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  <c r="BA3671" s="2"/>
      <c r="BB3671" s="2"/>
      <c r="BC3671" s="2"/>
      <c r="BD3671" s="2"/>
      <c r="BE3671" s="2"/>
      <c r="BF3671" s="2"/>
      <c r="BG3671" s="2"/>
      <c r="BH3671" s="2"/>
      <c r="BI3671" s="2"/>
      <c r="BJ3671" s="2"/>
      <c r="BK3671" s="2"/>
      <c r="BL3671" s="2"/>
      <c r="BM3671" s="2"/>
      <c r="BN3671" s="2"/>
      <c r="BO3671" s="2"/>
      <c r="BP3671" s="2"/>
      <c r="BQ3671" s="2"/>
      <c r="BR3671" s="2"/>
      <c r="BS3671" s="2"/>
      <c r="BT3671" s="2"/>
      <c r="BU3671" s="2"/>
    </row>
    <row r="3672" spans="2:73" s="38" customFormat="1">
      <c r="B3672" s="1"/>
      <c r="C3672" s="1"/>
      <c r="D3672" s="1"/>
      <c r="E3672" s="1"/>
      <c r="F3672" s="1"/>
      <c r="G3672" s="1"/>
      <c r="H3672" s="1"/>
      <c r="I3672" s="1"/>
      <c r="J3672" s="1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  <c r="AZ3672" s="2"/>
      <c r="BA3672" s="2"/>
      <c r="BB3672" s="2"/>
      <c r="BC3672" s="2"/>
      <c r="BD3672" s="2"/>
      <c r="BE3672" s="2"/>
      <c r="BF3672" s="2"/>
      <c r="BG3672" s="2"/>
      <c r="BH3672" s="2"/>
      <c r="BI3672" s="2"/>
      <c r="BJ3672" s="2"/>
      <c r="BK3672" s="2"/>
      <c r="BL3672" s="2"/>
      <c r="BM3672" s="2"/>
      <c r="BN3672" s="2"/>
      <c r="BO3672" s="2"/>
      <c r="BP3672" s="2"/>
      <c r="BQ3672" s="2"/>
      <c r="BR3672" s="2"/>
      <c r="BS3672" s="2"/>
      <c r="BT3672" s="2"/>
      <c r="BU3672" s="2"/>
    </row>
    <row r="3673" spans="2:73" s="38" customFormat="1">
      <c r="B3673" s="1"/>
      <c r="C3673" s="1"/>
      <c r="D3673" s="1"/>
      <c r="E3673" s="1"/>
      <c r="F3673" s="1"/>
      <c r="G3673" s="1"/>
      <c r="H3673" s="1"/>
      <c r="I3673" s="1"/>
      <c r="J3673" s="1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2"/>
      <c r="BA3673" s="2"/>
      <c r="BB3673" s="2"/>
      <c r="BC3673" s="2"/>
      <c r="BD3673" s="2"/>
      <c r="BE3673" s="2"/>
      <c r="BF3673" s="2"/>
      <c r="BG3673" s="2"/>
      <c r="BH3673" s="2"/>
      <c r="BI3673" s="2"/>
      <c r="BJ3673" s="2"/>
      <c r="BK3673" s="2"/>
      <c r="BL3673" s="2"/>
      <c r="BM3673" s="2"/>
      <c r="BN3673" s="2"/>
      <c r="BO3673" s="2"/>
      <c r="BP3673" s="2"/>
      <c r="BQ3673" s="2"/>
      <c r="BR3673" s="2"/>
      <c r="BS3673" s="2"/>
      <c r="BT3673" s="2"/>
      <c r="BU3673" s="2"/>
    </row>
    <row r="3674" spans="2:73" s="38" customFormat="1">
      <c r="B3674" s="1"/>
      <c r="C3674" s="1"/>
      <c r="D3674" s="1"/>
      <c r="E3674" s="1"/>
      <c r="F3674" s="1"/>
      <c r="G3674" s="1"/>
      <c r="H3674" s="1"/>
      <c r="I3674" s="1"/>
      <c r="J3674" s="1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  <c r="AZ3674" s="2"/>
      <c r="BA3674" s="2"/>
      <c r="BB3674" s="2"/>
      <c r="BC3674" s="2"/>
      <c r="BD3674" s="2"/>
      <c r="BE3674" s="2"/>
      <c r="BF3674" s="2"/>
      <c r="BG3674" s="2"/>
      <c r="BH3674" s="2"/>
      <c r="BI3674" s="2"/>
      <c r="BJ3674" s="2"/>
      <c r="BK3674" s="2"/>
      <c r="BL3674" s="2"/>
      <c r="BM3674" s="2"/>
      <c r="BN3674" s="2"/>
      <c r="BO3674" s="2"/>
      <c r="BP3674" s="2"/>
      <c r="BQ3674" s="2"/>
      <c r="BR3674" s="2"/>
      <c r="BS3674" s="2"/>
      <c r="BT3674" s="2"/>
      <c r="BU3674" s="2"/>
    </row>
    <row r="3675" spans="2:73" s="38" customFormat="1">
      <c r="B3675" s="1"/>
      <c r="C3675" s="1"/>
      <c r="D3675" s="1"/>
      <c r="E3675" s="1"/>
      <c r="F3675" s="1"/>
      <c r="G3675" s="1"/>
      <c r="H3675" s="1"/>
      <c r="I3675" s="1"/>
      <c r="J3675" s="1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  <c r="BA3675" s="2"/>
      <c r="BB3675" s="2"/>
      <c r="BC3675" s="2"/>
      <c r="BD3675" s="2"/>
      <c r="BE3675" s="2"/>
      <c r="BF3675" s="2"/>
      <c r="BG3675" s="2"/>
      <c r="BH3675" s="2"/>
      <c r="BI3675" s="2"/>
      <c r="BJ3675" s="2"/>
      <c r="BK3675" s="2"/>
      <c r="BL3675" s="2"/>
      <c r="BM3675" s="2"/>
      <c r="BN3675" s="2"/>
      <c r="BO3675" s="2"/>
      <c r="BP3675" s="2"/>
      <c r="BQ3675" s="2"/>
      <c r="BR3675" s="2"/>
      <c r="BS3675" s="2"/>
      <c r="BT3675" s="2"/>
      <c r="BU3675" s="2"/>
    </row>
    <row r="3676" spans="2:73" s="38" customFormat="1">
      <c r="B3676" s="1"/>
      <c r="C3676" s="1"/>
      <c r="D3676" s="1"/>
      <c r="E3676" s="1"/>
      <c r="F3676" s="1"/>
      <c r="G3676" s="1"/>
      <c r="H3676" s="1"/>
      <c r="I3676" s="1"/>
      <c r="J3676" s="1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  <c r="BA3676" s="2"/>
      <c r="BB3676" s="2"/>
      <c r="BC3676" s="2"/>
      <c r="BD3676" s="2"/>
      <c r="BE3676" s="2"/>
      <c r="BF3676" s="2"/>
      <c r="BG3676" s="2"/>
      <c r="BH3676" s="2"/>
      <c r="BI3676" s="2"/>
      <c r="BJ3676" s="2"/>
      <c r="BK3676" s="2"/>
      <c r="BL3676" s="2"/>
      <c r="BM3676" s="2"/>
      <c r="BN3676" s="2"/>
      <c r="BO3676" s="2"/>
      <c r="BP3676" s="2"/>
      <c r="BQ3676" s="2"/>
      <c r="BR3676" s="2"/>
      <c r="BS3676" s="2"/>
      <c r="BT3676" s="2"/>
      <c r="BU3676" s="2"/>
    </row>
    <row r="3677" spans="2:73" s="38" customFormat="1">
      <c r="B3677" s="1"/>
      <c r="C3677" s="1"/>
      <c r="D3677" s="1"/>
      <c r="E3677" s="1"/>
      <c r="F3677" s="1"/>
      <c r="G3677" s="1"/>
      <c r="H3677" s="1"/>
      <c r="I3677" s="1"/>
      <c r="J3677" s="1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  <c r="BB3677" s="2"/>
      <c r="BC3677" s="2"/>
      <c r="BD3677" s="2"/>
      <c r="BE3677" s="2"/>
      <c r="BF3677" s="2"/>
      <c r="BG3677" s="2"/>
      <c r="BH3677" s="2"/>
      <c r="BI3677" s="2"/>
      <c r="BJ3677" s="2"/>
      <c r="BK3677" s="2"/>
      <c r="BL3677" s="2"/>
      <c r="BM3677" s="2"/>
      <c r="BN3677" s="2"/>
      <c r="BO3677" s="2"/>
      <c r="BP3677" s="2"/>
      <c r="BQ3677" s="2"/>
      <c r="BR3677" s="2"/>
      <c r="BS3677" s="2"/>
      <c r="BT3677" s="2"/>
      <c r="BU3677" s="2"/>
    </row>
    <row r="3678" spans="2:73" s="38" customFormat="1">
      <c r="B3678" s="1"/>
      <c r="C3678" s="1"/>
      <c r="D3678" s="1"/>
      <c r="E3678" s="1"/>
      <c r="F3678" s="1"/>
      <c r="G3678" s="1"/>
      <c r="H3678" s="1"/>
      <c r="I3678" s="1"/>
      <c r="J3678" s="1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  <c r="BB3678" s="2"/>
      <c r="BC3678" s="2"/>
      <c r="BD3678" s="2"/>
      <c r="BE3678" s="2"/>
      <c r="BF3678" s="2"/>
      <c r="BG3678" s="2"/>
      <c r="BH3678" s="2"/>
      <c r="BI3678" s="2"/>
      <c r="BJ3678" s="2"/>
      <c r="BK3678" s="2"/>
      <c r="BL3678" s="2"/>
      <c r="BM3678" s="2"/>
      <c r="BN3678" s="2"/>
      <c r="BO3678" s="2"/>
      <c r="BP3678" s="2"/>
      <c r="BQ3678" s="2"/>
      <c r="BR3678" s="2"/>
      <c r="BS3678" s="2"/>
      <c r="BT3678" s="2"/>
      <c r="BU3678" s="2"/>
    </row>
    <row r="3679" spans="2:73" s="38" customFormat="1">
      <c r="B3679" s="1"/>
      <c r="C3679" s="1"/>
      <c r="D3679" s="1"/>
      <c r="E3679" s="1"/>
      <c r="F3679" s="1"/>
      <c r="G3679" s="1"/>
      <c r="H3679" s="1"/>
      <c r="I3679" s="1"/>
      <c r="J3679" s="1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  <c r="BA3679" s="2"/>
      <c r="BB3679" s="2"/>
      <c r="BC3679" s="2"/>
      <c r="BD3679" s="2"/>
      <c r="BE3679" s="2"/>
      <c r="BF3679" s="2"/>
      <c r="BG3679" s="2"/>
      <c r="BH3679" s="2"/>
      <c r="BI3679" s="2"/>
      <c r="BJ3679" s="2"/>
      <c r="BK3679" s="2"/>
      <c r="BL3679" s="2"/>
      <c r="BM3679" s="2"/>
      <c r="BN3679" s="2"/>
      <c r="BO3679" s="2"/>
      <c r="BP3679" s="2"/>
      <c r="BQ3679" s="2"/>
      <c r="BR3679" s="2"/>
      <c r="BS3679" s="2"/>
      <c r="BT3679" s="2"/>
      <c r="BU3679" s="2"/>
    </row>
    <row r="3680" spans="2:73" s="38" customFormat="1">
      <c r="B3680" s="1"/>
      <c r="C3680" s="1"/>
      <c r="D3680" s="1"/>
      <c r="E3680" s="1"/>
      <c r="F3680" s="1"/>
      <c r="G3680" s="1"/>
      <c r="H3680" s="1"/>
      <c r="I3680" s="1"/>
      <c r="J3680" s="1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  <c r="AZ3680" s="2"/>
      <c r="BA3680" s="2"/>
      <c r="BB3680" s="2"/>
      <c r="BC3680" s="2"/>
      <c r="BD3680" s="2"/>
      <c r="BE3680" s="2"/>
      <c r="BF3680" s="2"/>
      <c r="BG3680" s="2"/>
      <c r="BH3680" s="2"/>
      <c r="BI3680" s="2"/>
      <c r="BJ3680" s="2"/>
      <c r="BK3680" s="2"/>
      <c r="BL3680" s="2"/>
      <c r="BM3680" s="2"/>
      <c r="BN3680" s="2"/>
      <c r="BO3680" s="2"/>
      <c r="BP3680" s="2"/>
      <c r="BQ3680" s="2"/>
      <c r="BR3680" s="2"/>
      <c r="BS3680" s="2"/>
      <c r="BT3680" s="2"/>
      <c r="BU3680" s="2"/>
    </row>
    <row r="3681" spans="2:73" s="38" customFormat="1">
      <c r="B3681" s="1"/>
      <c r="C3681" s="1"/>
      <c r="D3681" s="1"/>
      <c r="E3681" s="1"/>
      <c r="F3681" s="1"/>
      <c r="G3681" s="1"/>
      <c r="H3681" s="1"/>
      <c r="I3681" s="1"/>
      <c r="J3681" s="1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2"/>
      <c r="BA3681" s="2"/>
      <c r="BB3681" s="2"/>
      <c r="BC3681" s="2"/>
      <c r="BD3681" s="2"/>
      <c r="BE3681" s="2"/>
      <c r="BF3681" s="2"/>
      <c r="BG3681" s="2"/>
      <c r="BH3681" s="2"/>
      <c r="BI3681" s="2"/>
      <c r="BJ3681" s="2"/>
      <c r="BK3681" s="2"/>
      <c r="BL3681" s="2"/>
      <c r="BM3681" s="2"/>
      <c r="BN3681" s="2"/>
      <c r="BO3681" s="2"/>
      <c r="BP3681" s="2"/>
      <c r="BQ3681" s="2"/>
      <c r="BR3681" s="2"/>
      <c r="BS3681" s="2"/>
      <c r="BT3681" s="2"/>
      <c r="BU3681" s="2"/>
    </row>
    <row r="3682" spans="2:73" s="38" customFormat="1">
      <c r="B3682" s="1"/>
      <c r="C3682" s="1"/>
      <c r="D3682" s="1"/>
      <c r="E3682" s="1"/>
      <c r="F3682" s="1"/>
      <c r="G3682" s="1"/>
      <c r="H3682" s="1"/>
      <c r="I3682" s="1"/>
      <c r="J3682" s="1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  <c r="BA3682" s="2"/>
      <c r="BB3682" s="2"/>
      <c r="BC3682" s="2"/>
      <c r="BD3682" s="2"/>
      <c r="BE3682" s="2"/>
      <c r="BF3682" s="2"/>
      <c r="BG3682" s="2"/>
      <c r="BH3682" s="2"/>
      <c r="BI3682" s="2"/>
      <c r="BJ3682" s="2"/>
      <c r="BK3682" s="2"/>
      <c r="BL3682" s="2"/>
      <c r="BM3682" s="2"/>
      <c r="BN3682" s="2"/>
      <c r="BO3682" s="2"/>
      <c r="BP3682" s="2"/>
      <c r="BQ3682" s="2"/>
      <c r="BR3682" s="2"/>
      <c r="BS3682" s="2"/>
      <c r="BT3682" s="2"/>
      <c r="BU3682" s="2"/>
    </row>
    <row r="3683" spans="2:73" s="38" customFormat="1">
      <c r="B3683" s="1"/>
      <c r="C3683" s="1"/>
      <c r="D3683" s="1"/>
      <c r="E3683" s="1"/>
      <c r="F3683" s="1"/>
      <c r="G3683" s="1"/>
      <c r="H3683" s="1"/>
      <c r="I3683" s="1"/>
      <c r="J3683" s="1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  <c r="BA3683" s="2"/>
      <c r="BB3683" s="2"/>
      <c r="BC3683" s="2"/>
      <c r="BD3683" s="2"/>
      <c r="BE3683" s="2"/>
      <c r="BF3683" s="2"/>
      <c r="BG3683" s="2"/>
      <c r="BH3683" s="2"/>
      <c r="BI3683" s="2"/>
      <c r="BJ3683" s="2"/>
      <c r="BK3683" s="2"/>
      <c r="BL3683" s="2"/>
      <c r="BM3683" s="2"/>
      <c r="BN3683" s="2"/>
      <c r="BO3683" s="2"/>
      <c r="BP3683" s="2"/>
      <c r="BQ3683" s="2"/>
      <c r="BR3683" s="2"/>
      <c r="BS3683" s="2"/>
      <c r="BT3683" s="2"/>
      <c r="BU3683" s="2"/>
    </row>
    <row r="3684" spans="2:73" s="38" customFormat="1">
      <c r="B3684" s="1"/>
      <c r="C3684" s="1"/>
      <c r="D3684" s="1"/>
      <c r="E3684" s="1"/>
      <c r="F3684" s="1"/>
      <c r="G3684" s="1"/>
      <c r="H3684" s="1"/>
      <c r="I3684" s="1"/>
      <c r="J3684" s="1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  <c r="BA3684" s="2"/>
      <c r="BB3684" s="2"/>
      <c r="BC3684" s="2"/>
      <c r="BD3684" s="2"/>
      <c r="BE3684" s="2"/>
      <c r="BF3684" s="2"/>
      <c r="BG3684" s="2"/>
      <c r="BH3684" s="2"/>
      <c r="BI3684" s="2"/>
      <c r="BJ3684" s="2"/>
      <c r="BK3684" s="2"/>
      <c r="BL3684" s="2"/>
      <c r="BM3684" s="2"/>
      <c r="BN3684" s="2"/>
      <c r="BO3684" s="2"/>
      <c r="BP3684" s="2"/>
      <c r="BQ3684" s="2"/>
      <c r="BR3684" s="2"/>
      <c r="BS3684" s="2"/>
      <c r="BT3684" s="2"/>
      <c r="BU3684" s="2"/>
    </row>
    <row r="3685" spans="2:73" s="38" customFormat="1">
      <c r="B3685" s="1"/>
      <c r="C3685" s="1"/>
      <c r="D3685" s="1"/>
      <c r="E3685" s="1"/>
      <c r="F3685" s="1"/>
      <c r="G3685" s="1"/>
      <c r="H3685" s="1"/>
      <c r="I3685" s="1"/>
      <c r="J3685" s="1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2"/>
      <c r="BA3685" s="2"/>
      <c r="BB3685" s="2"/>
      <c r="BC3685" s="2"/>
      <c r="BD3685" s="2"/>
      <c r="BE3685" s="2"/>
      <c r="BF3685" s="2"/>
      <c r="BG3685" s="2"/>
      <c r="BH3685" s="2"/>
      <c r="BI3685" s="2"/>
      <c r="BJ3685" s="2"/>
      <c r="BK3685" s="2"/>
      <c r="BL3685" s="2"/>
      <c r="BM3685" s="2"/>
      <c r="BN3685" s="2"/>
      <c r="BO3685" s="2"/>
      <c r="BP3685" s="2"/>
      <c r="BQ3685" s="2"/>
      <c r="BR3685" s="2"/>
      <c r="BS3685" s="2"/>
      <c r="BT3685" s="2"/>
      <c r="BU3685" s="2"/>
    </row>
    <row r="3686" spans="2:73" s="38" customFormat="1">
      <c r="B3686" s="1"/>
      <c r="C3686" s="1"/>
      <c r="D3686" s="1"/>
      <c r="E3686" s="1"/>
      <c r="F3686" s="1"/>
      <c r="G3686" s="1"/>
      <c r="H3686" s="1"/>
      <c r="I3686" s="1"/>
      <c r="J3686" s="1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/>
      <c r="AZ3686" s="2"/>
      <c r="BA3686" s="2"/>
      <c r="BB3686" s="2"/>
      <c r="BC3686" s="2"/>
      <c r="BD3686" s="2"/>
      <c r="BE3686" s="2"/>
      <c r="BF3686" s="2"/>
      <c r="BG3686" s="2"/>
      <c r="BH3686" s="2"/>
      <c r="BI3686" s="2"/>
      <c r="BJ3686" s="2"/>
      <c r="BK3686" s="2"/>
      <c r="BL3686" s="2"/>
      <c r="BM3686" s="2"/>
      <c r="BN3686" s="2"/>
      <c r="BO3686" s="2"/>
      <c r="BP3686" s="2"/>
      <c r="BQ3686" s="2"/>
      <c r="BR3686" s="2"/>
      <c r="BS3686" s="2"/>
      <c r="BT3686" s="2"/>
      <c r="BU3686" s="2"/>
    </row>
    <row r="3687" spans="2:73" s="38" customFormat="1">
      <c r="B3687" s="1"/>
      <c r="C3687" s="1"/>
      <c r="D3687" s="1"/>
      <c r="E3687" s="1"/>
      <c r="F3687" s="1"/>
      <c r="G3687" s="1"/>
      <c r="H3687" s="1"/>
      <c r="I3687" s="1"/>
      <c r="J3687" s="1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  <c r="BA3687" s="2"/>
      <c r="BB3687" s="2"/>
      <c r="BC3687" s="2"/>
      <c r="BD3687" s="2"/>
      <c r="BE3687" s="2"/>
      <c r="BF3687" s="2"/>
      <c r="BG3687" s="2"/>
      <c r="BH3687" s="2"/>
      <c r="BI3687" s="2"/>
      <c r="BJ3687" s="2"/>
      <c r="BK3687" s="2"/>
      <c r="BL3687" s="2"/>
      <c r="BM3687" s="2"/>
      <c r="BN3687" s="2"/>
      <c r="BO3687" s="2"/>
      <c r="BP3687" s="2"/>
      <c r="BQ3687" s="2"/>
      <c r="BR3687" s="2"/>
      <c r="BS3687" s="2"/>
      <c r="BT3687" s="2"/>
      <c r="BU3687" s="2"/>
    </row>
    <row r="3688" spans="2:73" s="38" customFormat="1">
      <c r="B3688" s="1"/>
      <c r="C3688" s="1"/>
      <c r="D3688" s="1"/>
      <c r="E3688" s="1"/>
      <c r="F3688" s="1"/>
      <c r="G3688" s="1"/>
      <c r="H3688" s="1"/>
      <c r="I3688" s="1"/>
      <c r="J3688" s="1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2"/>
      <c r="BA3688" s="2"/>
      <c r="BB3688" s="2"/>
      <c r="BC3688" s="2"/>
      <c r="BD3688" s="2"/>
      <c r="BE3688" s="2"/>
      <c r="BF3688" s="2"/>
      <c r="BG3688" s="2"/>
      <c r="BH3688" s="2"/>
      <c r="BI3688" s="2"/>
      <c r="BJ3688" s="2"/>
      <c r="BK3688" s="2"/>
      <c r="BL3688" s="2"/>
      <c r="BM3688" s="2"/>
      <c r="BN3688" s="2"/>
      <c r="BO3688" s="2"/>
      <c r="BP3688" s="2"/>
      <c r="BQ3688" s="2"/>
      <c r="BR3688" s="2"/>
      <c r="BS3688" s="2"/>
      <c r="BT3688" s="2"/>
      <c r="BU3688" s="2"/>
    </row>
    <row r="3689" spans="2:73" s="38" customFormat="1">
      <c r="B3689" s="1"/>
      <c r="C3689" s="1"/>
      <c r="D3689" s="1"/>
      <c r="E3689" s="1"/>
      <c r="F3689" s="1"/>
      <c r="G3689" s="1"/>
      <c r="H3689" s="1"/>
      <c r="I3689" s="1"/>
      <c r="J3689" s="1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2"/>
      <c r="BA3689" s="2"/>
      <c r="BB3689" s="2"/>
      <c r="BC3689" s="2"/>
      <c r="BD3689" s="2"/>
      <c r="BE3689" s="2"/>
      <c r="BF3689" s="2"/>
      <c r="BG3689" s="2"/>
      <c r="BH3689" s="2"/>
      <c r="BI3689" s="2"/>
      <c r="BJ3689" s="2"/>
      <c r="BK3689" s="2"/>
      <c r="BL3689" s="2"/>
      <c r="BM3689" s="2"/>
      <c r="BN3689" s="2"/>
      <c r="BO3689" s="2"/>
      <c r="BP3689" s="2"/>
      <c r="BQ3689" s="2"/>
      <c r="BR3689" s="2"/>
      <c r="BS3689" s="2"/>
      <c r="BT3689" s="2"/>
      <c r="BU3689" s="2"/>
    </row>
    <row r="3690" spans="2:73" s="38" customFormat="1">
      <c r="B3690" s="1"/>
      <c r="C3690" s="1"/>
      <c r="D3690" s="1"/>
      <c r="E3690" s="1"/>
      <c r="F3690" s="1"/>
      <c r="G3690" s="1"/>
      <c r="H3690" s="1"/>
      <c r="I3690" s="1"/>
      <c r="J3690" s="1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  <c r="AZ3690" s="2"/>
      <c r="BA3690" s="2"/>
      <c r="BB3690" s="2"/>
      <c r="BC3690" s="2"/>
      <c r="BD3690" s="2"/>
      <c r="BE3690" s="2"/>
      <c r="BF3690" s="2"/>
      <c r="BG3690" s="2"/>
      <c r="BH3690" s="2"/>
      <c r="BI3690" s="2"/>
      <c r="BJ3690" s="2"/>
      <c r="BK3690" s="2"/>
      <c r="BL3690" s="2"/>
      <c r="BM3690" s="2"/>
      <c r="BN3690" s="2"/>
      <c r="BO3690" s="2"/>
      <c r="BP3690" s="2"/>
      <c r="BQ3690" s="2"/>
      <c r="BR3690" s="2"/>
      <c r="BS3690" s="2"/>
      <c r="BT3690" s="2"/>
      <c r="BU3690" s="2"/>
    </row>
    <row r="3691" spans="2:73" s="38" customFormat="1">
      <c r="B3691" s="1"/>
      <c r="C3691" s="1"/>
      <c r="D3691" s="1"/>
      <c r="E3691" s="1"/>
      <c r="F3691" s="1"/>
      <c r="G3691" s="1"/>
      <c r="H3691" s="1"/>
      <c r="I3691" s="1"/>
      <c r="J3691" s="1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2"/>
      <c r="BA3691" s="2"/>
      <c r="BB3691" s="2"/>
      <c r="BC3691" s="2"/>
      <c r="BD3691" s="2"/>
      <c r="BE3691" s="2"/>
      <c r="BF3691" s="2"/>
      <c r="BG3691" s="2"/>
      <c r="BH3691" s="2"/>
      <c r="BI3691" s="2"/>
      <c r="BJ3691" s="2"/>
      <c r="BK3691" s="2"/>
      <c r="BL3691" s="2"/>
      <c r="BM3691" s="2"/>
      <c r="BN3691" s="2"/>
      <c r="BO3691" s="2"/>
      <c r="BP3691" s="2"/>
      <c r="BQ3691" s="2"/>
      <c r="BR3691" s="2"/>
      <c r="BS3691" s="2"/>
      <c r="BT3691" s="2"/>
      <c r="BU3691" s="2"/>
    </row>
    <row r="3692" spans="2:73" s="38" customFormat="1">
      <c r="B3692" s="1"/>
      <c r="C3692" s="1"/>
      <c r="D3692" s="1"/>
      <c r="E3692" s="1"/>
      <c r="F3692" s="1"/>
      <c r="G3692" s="1"/>
      <c r="H3692" s="1"/>
      <c r="I3692" s="1"/>
      <c r="J3692" s="1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  <c r="BA3692" s="2"/>
      <c r="BB3692" s="2"/>
      <c r="BC3692" s="2"/>
      <c r="BD3692" s="2"/>
      <c r="BE3692" s="2"/>
      <c r="BF3692" s="2"/>
      <c r="BG3692" s="2"/>
      <c r="BH3692" s="2"/>
      <c r="BI3692" s="2"/>
      <c r="BJ3692" s="2"/>
      <c r="BK3692" s="2"/>
      <c r="BL3692" s="2"/>
      <c r="BM3692" s="2"/>
      <c r="BN3692" s="2"/>
      <c r="BO3692" s="2"/>
      <c r="BP3692" s="2"/>
      <c r="BQ3692" s="2"/>
      <c r="BR3692" s="2"/>
      <c r="BS3692" s="2"/>
      <c r="BT3692" s="2"/>
      <c r="BU3692" s="2"/>
    </row>
    <row r="3693" spans="2:73" s="38" customFormat="1">
      <c r="B3693" s="1"/>
      <c r="C3693" s="1"/>
      <c r="D3693" s="1"/>
      <c r="E3693" s="1"/>
      <c r="F3693" s="1"/>
      <c r="G3693" s="1"/>
      <c r="H3693" s="1"/>
      <c r="I3693" s="1"/>
      <c r="J3693" s="1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  <c r="AZ3693" s="2"/>
      <c r="BA3693" s="2"/>
      <c r="BB3693" s="2"/>
      <c r="BC3693" s="2"/>
      <c r="BD3693" s="2"/>
      <c r="BE3693" s="2"/>
      <c r="BF3693" s="2"/>
      <c r="BG3693" s="2"/>
      <c r="BH3693" s="2"/>
      <c r="BI3693" s="2"/>
      <c r="BJ3693" s="2"/>
      <c r="BK3693" s="2"/>
      <c r="BL3693" s="2"/>
      <c r="BM3693" s="2"/>
      <c r="BN3693" s="2"/>
      <c r="BO3693" s="2"/>
      <c r="BP3693" s="2"/>
      <c r="BQ3693" s="2"/>
      <c r="BR3693" s="2"/>
      <c r="BS3693" s="2"/>
      <c r="BT3693" s="2"/>
      <c r="BU3693" s="2"/>
    </row>
    <row r="3694" spans="2:73" s="38" customFormat="1">
      <c r="B3694" s="1"/>
      <c r="C3694" s="1"/>
      <c r="D3694" s="1"/>
      <c r="E3694" s="1"/>
      <c r="F3694" s="1"/>
      <c r="G3694" s="1"/>
      <c r="H3694" s="1"/>
      <c r="I3694" s="1"/>
      <c r="J3694" s="1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  <c r="BA3694" s="2"/>
      <c r="BB3694" s="2"/>
      <c r="BC3694" s="2"/>
      <c r="BD3694" s="2"/>
      <c r="BE3694" s="2"/>
      <c r="BF3694" s="2"/>
      <c r="BG3694" s="2"/>
      <c r="BH3694" s="2"/>
      <c r="BI3694" s="2"/>
      <c r="BJ3694" s="2"/>
      <c r="BK3694" s="2"/>
      <c r="BL3694" s="2"/>
      <c r="BM3694" s="2"/>
      <c r="BN3694" s="2"/>
      <c r="BO3694" s="2"/>
      <c r="BP3694" s="2"/>
      <c r="BQ3694" s="2"/>
      <c r="BR3694" s="2"/>
      <c r="BS3694" s="2"/>
      <c r="BT3694" s="2"/>
      <c r="BU3694" s="2"/>
    </row>
    <row r="3695" spans="2:73" s="38" customFormat="1">
      <c r="B3695" s="1"/>
      <c r="C3695" s="1"/>
      <c r="D3695" s="1"/>
      <c r="E3695" s="1"/>
      <c r="F3695" s="1"/>
      <c r="G3695" s="1"/>
      <c r="H3695" s="1"/>
      <c r="I3695" s="1"/>
      <c r="J3695" s="1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  <c r="BA3695" s="2"/>
      <c r="BB3695" s="2"/>
      <c r="BC3695" s="2"/>
      <c r="BD3695" s="2"/>
      <c r="BE3695" s="2"/>
      <c r="BF3695" s="2"/>
      <c r="BG3695" s="2"/>
      <c r="BH3695" s="2"/>
      <c r="BI3695" s="2"/>
      <c r="BJ3695" s="2"/>
      <c r="BK3695" s="2"/>
      <c r="BL3695" s="2"/>
      <c r="BM3695" s="2"/>
      <c r="BN3695" s="2"/>
      <c r="BO3695" s="2"/>
      <c r="BP3695" s="2"/>
      <c r="BQ3695" s="2"/>
      <c r="BR3695" s="2"/>
      <c r="BS3695" s="2"/>
      <c r="BT3695" s="2"/>
      <c r="BU3695" s="2"/>
    </row>
    <row r="3696" spans="2:73" s="38" customFormat="1">
      <c r="B3696" s="1"/>
      <c r="C3696" s="1"/>
      <c r="D3696" s="1"/>
      <c r="E3696" s="1"/>
      <c r="F3696" s="1"/>
      <c r="G3696" s="1"/>
      <c r="H3696" s="1"/>
      <c r="I3696" s="1"/>
      <c r="J3696" s="1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  <c r="BA3696" s="2"/>
      <c r="BB3696" s="2"/>
      <c r="BC3696" s="2"/>
      <c r="BD3696" s="2"/>
      <c r="BE3696" s="2"/>
      <c r="BF3696" s="2"/>
      <c r="BG3696" s="2"/>
      <c r="BH3696" s="2"/>
      <c r="BI3696" s="2"/>
      <c r="BJ3696" s="2"/>
      <c r="BK3696" s="2"/>
      <c r="BL3696" s="2"/>
      <c r="BM3696" s="2"/>
      <c r="BN3696" s="2"/>
      <c r="BO3696" s="2"/>
      <c r="BP3696" s="2"/>
      <c r="BQ3696" s="2"/>
      <c r="BR3696" s="2"/>
      <c r="BS3696" s="2"/>
      <c r="BT3696" s="2"/>
      <c r="BU3696" s="2"/>
    </row>
    <row r="3697" spans="2:73" s="38" customFormat="1">
      <c r="B3697" s="1"/>
      <c r="C3697" s="1"/>
      <c r="D3697" s="1"/>
      <c r="E3697" s="1"/>
      <c r="F3697" s="1"/>
      <c r="G3697" s="1"/>
      <c r="H3697" s="1"/>
      <c r="I3697" s="1"/>
      <c r="J3697" s="1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  <c r="BA3697" s="2"/>
      <c r="BB3697" s="2"/>
      <c r="BC3697" s="2"/>
      <c r="BD3697" s="2"/>
      <c r="BE3697" s="2"/>
      <c r="BF3697" s="2"/>
      <c r="BG3697" s="2"/>
      <c r="BH3697" s="2"/>
      <c r="BI3697" s="2"/>
      <c r="BJ3697" s="2"/>
      <c r="BK3697" s="2"/>
      <c r="BL3697" s="2"/>
      <c r="BM3697" s="2"/>
      <c r="BN3697" s="2"/>
      <c r="BO3697" s="2"/>
      <c r="BP3697" s="2"/>
      <c r="BQ3697" s="2"/>
      <c r="BR3697" s="2"/>
      <c r="BS3697" s="2"/>
      <c r="BT3697" s="2"/>
      <c r="BU3697" s="2"/>
    </row>
    <row r="3698" spans="2:73" s="38" customFormat="1">
      <c r="B3698" s="1"/>
      <c r="C3698" s="1"/>
      <c r="D3698" s="1"/>
      <c r="E3698" s="1"/>
      <c r="F3698" s="1"/>
      <c r="G3698" s="1"/>
      <c r="H3698" s="1"/>
      <c r="I3698" s="1"/>
      <c r="J3698" s="1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  <c r="BA3698" s="2"/>
      <c r="BB3698" s="2"/>
      <c r="BC3698" s="2"/>
      <c r="BD3698" s="2"/>
      <c r="BE3698" s="2"/>
      <c r="BF3698" s="2"/>
      <c r="BG3698" s="2"/>
      <c r="BH3698" s="2"/>
      <c r="BI3698" s="2"/>
      <c r="BJ3698" s="2"/>
      <c r="BK3698" s="2"/>
      <c r="BL3698" s="2"/>
      <c r="BM3698" s="2"/>
      <c r="BN3698" s="2"/>
      <c r="BO3698" s="2"/>
      <c r="BP3698" s="2"/>
      <c r="BQ3698" s="2"/>
      <c r="BR3698" s="2"/>
      <c r="BS3698" s="2"/>
      <c r="BT3698" s="2"/>
      <c r="BU3698" s="2"/>
    </row>
    <row r="3699" spans="2:73" s="38" customFormat="1">
      <c r="B3699" s="1"/>
      <c r="C3699" s="1"/>
      <c r="D3699" s="1"/>
      <c r="E3699" s="1"/>
      <c r="F3699" s="1"/>
      <c r="G3699" s="1"/>
      <c r="H3699" s="1"/>
      <c r="I3699" s="1"/>
      <c r="J3699" s="1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  <c r="BA3699" s="2"/>
      <c r="BB3699" s="2"/>
      <c r="BC3699" s="2"/>
      <c r="BD3699" s="2"/>
      <c r="BE3699" s="2"/>
      <c r="BF3699" s="2"/>
      <c r="BG3699" s="2"/>
      <c r="BH3699" s="2"/>
      <c r="BI3699" s="2"/>
      <c r="BJ3699" s="2"/>
      <c r="BK3699" s="2"/>
      <c r="BL3699" s="2"/>
      <c r="BM3699" s="2"/>
      <c r="BN3699" s="2"/>
      <c r="BO3699" s="2"/>
      <c r="BP3699" s="2"/>
      <c r="BQ3699" s="2"/>
      <c r="BR3699" s="2"/>
      <c r="BS3699" s="2"/>
      <c r="BT3699" s="2"/>
      <c r="BU3699" s="2"/>
    </row>
    <row r="3700" spans="2:73" s="38" customFormat="1">
      <c r="B3700" s="1"/>
      <c r="C3700" s="1"/>
      <c r="D3700" s="1"/>
      <c r="E3700" s="1"/>
      <c r="F3700" s="1"/>
      <c r="G3700" s="1"/>
      <c r="H3700" s="1"/>
      <c r="I3700" s="1"/>
      <c r="J3700" s="1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2"/>
      <c r="BA3700" s="2"/>
      <c r="BB3700" s="2"/>
      <c r="BC3700" s="2"/>
      <c r="BD3700" s="2"/>
      <c r="BE3700" s="2"/>
      <c r="BF3700" s="2"/>
      <c r="BG3700" s="2"/>
      <c r="BH3700" s="2"/>
      <c r="BI3700" s="2"/>
      <c r="BJ3700" s="2"/>
      <c r="BK3700" s="2"/>
      <c r="BL3700" s="2"/>
      <c r="BM3700" s="2"/>
      <c r="BN3700" s="2"/>
      <c r="BO3700" s="2"/>
      <c r="BP3700" s="2"/>
      <c r="BQ3700" s="2"/>
      <c r="BR3700" s="2"/>
      <c r="BS3700" s="2"/>
      <c r="BT3700" s="2"/>
      <c r="BU3700" s="2"/>
    </row>
    <row r="3701" spans="2:73" s="38" customFormat="1">
      <c r="B3701" s="1"/>
      <c r="C3701" s="1"/>
      <c r="D3701" s="1"/>
      <c r="E3701" s="1"/>
      <c r="F3701" s="1"/>
      <c r="G3701" s="1"/>
      <c r="H3701" s="1"/>
      <c r="I3701" s="1"/>
      <c r="J3701" s="1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2"/>
      <c r="BA3701" s="2"/>
      <c r="BB3701" s="2"/>
      <c r="BC3701" s="2"/>
      <c r="BD3701" s="2"/>
      <c r="BE3701" s="2"/>
      <c r="BF3701" s="2"/>
      <c r="BG3701" s="2"/>
      <c r="BH3701" s="2"/>
      <c r="BI3701" s="2"/>
      <c r="BJ3701" s="2"/>
      <c r="BK3701" s="2"/>
      <c r="BL3701" s="2"/>
      <c r="BM3701" s="2"/>
      <c r="BN3701" s="2"/>
      <c r="BO3701" s="2"/>
      <c r="BP3701" s="2"/>
      <c r="BQ3701" s="2"/>
      <c r="BR3701" s="2"/>
      <c r="BS3701" s="2"/>
      <c r="BT3701" s="2"/>
      <c r="BU3701" s="2"/>
    </row>
    <row r="3702" spans="2:73" s="38" customFormat="1">
      <c r="B3702" s="1"/>
      <c r="C3702" s="1"/>
      <c r="D3702" s="1"/>
      <c r="E3702" s="1"/>
      <c r="F3702" s="1"/>
      <c r="G3702" s="1"/>
      <c r="H3702" s="1"/>
      <c r="I3702" s="1"/>
      <c r="J3702" s="1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2"/>
      <c r="BA3702" s="2"/>
      <c r="BB3702" s="2"/>
      <c r="BC3702" s="2"/>
      <c r="BD3702" s="2"/>
      <c r="BE3702" s="2"/>
      <c r="BF3702" s="2"/>
      <c r="BG3702" s="2"/>
      <c r="BH3702" s="2"/>
      <c r="BI3702" s="2"/>
      <c r="BJ3702" s="2"/>
      <c r="BK3702" s="2"/>
      <c r="BL3702" s="2"/>
      <c r="BM3702" s="2"/>
      <c r="BN3702" s="2"/>
      <c r="BO3702" s="2"/>
      <c r="BP3702" s="2"/>
      <c r="BQ3702" s="2"/>
      <c r="BR3702" s="2"/>
      <c r="BS3702" s="2"/>
      <c r="BT3702" s="2"/>
      <c r="BU3702" s="2"/>
    </row>
    <row r="3703" spans="2:73" s="38" customFormat="1">
      <c r="B3703" s="1"/>
      <c r="C3703" s="1"/>
      <c r="D3703" s="1"/>
      <c r="E3703" s="1"/>
      <c r="F3703" s="1"/>
      <c r="G3703" s="1"/>
      <c r="H3703" s="1"/>
      <c r="I3703" s="1"/>
      <c r="J3703" s="1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2"/>
      <c r="BA3703" s="2"/>
      <c r="BB3703" s="2"/>
      <c r="BC3703" s="2"/>
      <c r="BD3703" s="2"/>
      <c r="BE3703" s="2"/>
      <c r="BF3703" s="2"/>
      <c r="BG3703" s="2"/>
      <c r="BH3703" s="2"/>
      <c r="BI3703" s="2"/>
      <c r="BJ3703" s="2"/>
      <c r="BK3703" s="2"/>
      <c r="BL3703" s="2"/>
      <c r="BM3703" s="2"/>
      <c r="BN3703" s="2"/>
      <c r="BO3703" s="2"/>
      <c r="BP3703" s="2"/>
      <c r="BQ3703" s="2"/>
      <c r="BR3703" s="2"/>
      <c r="BS3703" s="2"/>
      <c r="BT3703" s="2"/>
      <c r="BU3703" s="2"/>
    </row>
    <row r="3704" spans="2:73" s="38" customFormat="1">
      <c r="B3704" s="1"/>
      <c r="C3704" s="1"/>
      <c r="D3704" s="1"/>
      <c r="E3704" s="1"/>
      <c r="F3704" s="1"/>
      <c r="G3704" s="1"/>
      <c r="H3704" s="1"/>
      <c r="I3704" s="1"/>
      <c r="J3704" s="1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  <c r="BA3704" s="2"/>
      <c r="BB3704" s="2"/>
      <c r="BC3704" s="2"/>
      <c r="BD3704" s="2"/>
      <c r="BE3704" s="2"/>
      <c r="BF3704" s="2"/>
      <c r="BG3704" s="2"/>
      <c r="BH3704" s="2"/>
      <c r="BI3704" s="2"/>
      <c r="BJ3704" s="2"/>
      <c r="BK3704" s="2"/>
      <c r="BL3704" s="2"/>
      <c r="BM3704" s="2"/>
      <c r="BN3704" s="2"/>
      <c r="BO3704" s="2"/>
      <c r="BP3704" s="2"/>
      <c r="BQ3704" s="2"/>
      <c r="BR3704" s="2"/>
      <c r="BS3704" s="2"/>
      <c r="BT3704" s="2"/>
      <c r="BU3704" s="2"/>
    </row>
    <row r="3705" spans="2:73" s="38" customFormat="1">
      <c r="B3705" s="1"/>
      <c r="C3705" s="1"/>
      <c r="D3705" s="1"/>
      <c r="E3705" s="1"/>
      <c r="F3705" s="1"/>
      <c r="G3705" s="1"/>
      <c r="H3705" s="1"/>
      <c r="I3705" s="1"/>
      <c r="J3705" s="1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  <c r="AZ3705" s="2"/>
      <c r="BA3705" s="2"/>
      <c r="BB3705" s="2"/>
      <c r="BC3705" s="2"/>
      <c r="BD3705" s="2"/>
      <c r="BE3705" s="2"/>
      <c r="BF3705" s="2"/>
      <c r="BG3705" s="2"/>
      <c r="BH3705" s="2"/>
      <c r="BI3705" s="2"/>
      <c r="BJ3705" s="2"/>
      <c r="BK3705" s="2"/>
      <c r="BL3705" s="2"/>
      <c r="BM3705" s="2"/>
      <c r="BN3705" s="2"/>
      <c r="BO3705" s="2"/>
      <c r="BP3705" s="2"/>
      <c r="BQ3705" s="2"/>
      <c r="BR3705" s="2"/>
      <c r="BS3705" s="2"/>
      <c r="BT3705" s="2"/>
      <c r="BU3705" s="2"/>
    </row>
    <row r="3706" spans="2:73" s="38" customFormat="1">
      <c r="B3706" s="1"/>
      <c r="C3706" s="1"/>
      <c r="D3706" s="1"/>
      <c r="E3706" s="1"/>
      <c r="F3706" s="1"/>
      <c r="G3706" s="1"/>
      <c r="H3706" s="1"/>
      <c r="I3706" s="1"/>
      <c r="J3706" s="1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  <c r="AZ3706" s="2"/>
      <c r="BA3706" s="2"/>
      <c r="BB3706" s="2"/>
      <c r="BC3706" s="2"/>
      <c r="BD3706" s="2"/>
      <c r="BE3706" s="2"/>
      <c r="BF3706" s="2"/>
      <c r="BG3706" s="2"/>
      <c r="BH3706" s="2"/>
      <c r="BI3706" s="2"/>
      <c r="BJ3706" s="2"/>
      <c r="BK3706" s="2"/>
      <c r="BL3706" s="2"/>
      <c r="BM3706" s="2"/>
      <c r="BN3706" s="2"/>
      <c r="BO3706" s="2"/>
      <c r="BP3706" s="2"/>
      <c r="BQ3706" s="2"/>
      <c r="BR3706" s="2"/>
      <c r="BS3706" s="2"/>
      <c r="BT3706" s="2"/>
      <c r="BU3706" s="2"/>
    </row>
    <row r="3707" spans="2:73" s="38" customFormat="1">
      <c r="B3707" s="1"/>
      <c r="C3707" s="1"/>
      <c r="D3707" s="1"/>
      <c r="E3707" s="1"/>
      <c r="F3707" s="1"/>
      <c r="G3707" s="1"/>
      <c r="H3707" s="1"/>
      <c r="I3707" s="1"/>
      <c r="J3707" s="1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  <c r="AZ3707" s="2"/>
      <c r="BA3707" s="2"/>
      <c r="BB3707" s="2"/>
      <c r="BC3707" s="2"/>
      <c r="BD3707" s="2"/>
      <c r="BE3707" s="2"/>
      <c r="BF3707" s="2"/>
      <c r="BG3707" s="2"/>
      <c r="BH3707" s="2"/>
      <c r="BI3707" s="2"/>
      <c r="BJ3707" s="2"/>
      <c r="BK3707" s="2"/>
      <c r="BL3707" s="2"/>
      <c r="BM3707" s="2"/>
      <c r="BN3707" s="2"/>
      <c r="BO3707" s="2"/>
      <c r="BP3707" s="2"/>
      <c r="BQ3707" s="2"/>
      <c r="BR3707" s="2"/>
      <c r="BS3707" s="2"/>
      <c r="BT3707" s="2"/>
      <c r="BU3707" s="2"/>
    </row>
    <row r="3708" spans="2:73" s="38" customFormat="1">
      <c r="B3708" s="1"/>
      <c r="C3708" s="1"/>
      <c r="D3708" s="1"/>
      <c r="E3708" s="1"/>
      <c r="F3708" s="1"/>
      <c r="G3708" s="1"/>
      <c r="H3708" s="1"/>
      <c r="I3708" s="1"/>
      <c r="J3708" s="1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2"/>
      <c r="BA3708" s="2"/>
      <c r="BB3708" s="2"/>
      <c r="BC3708" s="2"/>
      <c r="BD3708" s="2"/>
      <c r="BE3708" s="2"/>
      <c r="BF3708" s="2"/>
      <c r="BG3708" s="2"/>
      <c r="BH3708" s="2"/>
      <c r="BI3708" s="2"/>
      <c r="BJ3708" s="2"/>
      <c r="BK3708" s="2"/>
      <c r="BL3708" s="2"/>
      <c r="BM3708" s="2"/>
      <c r="BN3708" s="2"/>
      <c r="BO3708" s="2"/>
      <c r="BP3708" s="2"/>
      <c r="BQ3708" s="2"/>
      <c r="BR3708" s="2"/>
      <c r="BS3708" s="2"/>
      <c r="BT3708" s="2"/>
      <c r="BU3708" s="2"/>
    </row>
    <row r="3709" spans="2:73" s="38" customFormat="1">
      <c r="B3709" s="1"/>
      <c r="C3709" s="1"/>
      <c r="D3709" s="1"/>
      <c r="E3709" s="1"/>
      <c r="F3709" s="1"/>
      <c r="G3709" s="1"/>
      <c r="H3709" s="1"/>
      <c r="I3709" s="1"/>
      <c r="J3709" s="1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2"/>
      <c r="BA3709" s="2"/>
      <c r="BB3709" s="2"/>
      <c r="BC3709" s="2"/>
      <c r="BD3709" s="2"/>
      <c r="BE3709" s="2"/>
      <c r="BF3709" s="2"/>
      <c r="BG3709" s="2"/>
      <c r="BH3709" s="2"/>
      <c r="BI3709" s="2"/>
      <c r="BJ3709" s="2"/>
      <c r="BK3709" s="2"/>
      <c r="BL3709" s="2"/>
      <c r="BM3709" s="2"/>
      <c r="BN3709" s="2"/>
      <c r="BO3709" s="2"/>
      <c r="BP3709" s="2"/>
      <c r="BQ3709" s="2"/>
      <c r="BR3709" s="2"/>
      <c r="BS3709" s="2"/>
      <c r="BT3709" s="2"/>
      <c r="BU3709" s="2"/>
    </row>
    <row r="3710" spans="2:73" s="38" customFormat="1">
      <c r="B3710" s="1"/>
      <c r="C3710" s="1"/>
      <c r="D3710" s="1"/>
      <c r="E3710" s="1"/>
      <c r="F3710" s="1"/>
      <c r="G3710" s="1"/>
      <c r="H3710" s="1"/>
      <c r="I3710" s="1"/>
      <c r="J3710" s="1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  <c r="BB3710" s="2"/>
      <c r="BC3710" s="2"/>
      <c r="BD3710" s="2"/>
      <c r="BE3710" s="2"/>
      <c r="BF3710" s="2"/>
      <c r="BG3710" s="2"/>
      <c r="BH3710" s="2"/>
      <c r="BI3710" s="2"/>
      <c r="BJ3710" s="2"/>
      <c r="BK3710" s="2"/>
      <c r="BL3710" s="2"/>
      <c r="BM3710" s="2"/>
      <c r="BN3710" s="2"/>
      <c r="BO3710" s="2"/>
      <c r="BP3710" s="2"/>
      <c r="BQ3710" s="2"/>
      <c r="BR3710" s="2"/>
      <c r="BS3710" s="2"/>
      <c r="BT3710" s="2"/>
      <c r="BU3710" s="2"/>
    </row>
    <row r="3711" spans="2:73" s="38" customFormat="1">
      <c r="B3711" s="1"/>
      <c r="C3711" s="1"/>
      <c r="D3711" s="1"/>
      <c r="E3711" s="1"/>
      <c r="F3711" s="1"/>
      <c r="G3711" s="1"/>
      <c r="H3711" s="1"/>
      <c r="I3711" s="1"/>
      <c r="J3711" s="1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  <c r="BB3711" s="2"/>
      <c r="BC3711" s="2"/>
      <c r="BD3711" s="2"/>
      <c r="BE3711" s="2"/>
      <c r="BF3711" s="2"/>
      <c r="BG3711" s="2"/>
      <c r="BH3711" s="2"/>
      <c r="BI3711" s="2"/>
      <c r="BJ3711" s="2"/>
      <c r="BK3711" s="2"/>
      <c r="BL3711" s="2"/>
      <c r="BM3711" s="2"/>
      <c r="BN3711" s="2"/>
      <c r="BO3711" s="2"/>
      <c r="BP3711" s="2"/>
      <c r="BQ3711" s="2"/>
      <c r="BR3711" s="2"/>
      <c r="BS3711" s="2"/>
      <c r="BT3711" s="2"/>
      <c r="BU3711" s="2"/>
    </row>
    <row r="3712" spans="2:73" s="38" customFormat="1">
      <c r="B3712" s="1"/>
      <c r="C3712" s="1"/>
      <c r="D3712" s="1"/>
      <c r="E3712" s="1"/>
      <c r="F3712" s="1"/>
      <c r="G3712" s="1"/>
      <c r="H3712" s="1"/>
      <c r="I3712" s="1"/>
      <c r="J3712" s="1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  <c r="BB3712" s="2"/>
      <c r="BC3712" s="2"/>
      <c r="BD3712" s="2"/>
      <c r="BE3712" s="2"/>
      <c r="BF3712" s="2"/>
      <c r="BG3712" s="2"/>
      <c r="BH3712" s="2"/>
      <c r="BI3712" s="2"/>
      <c r="BJ3712" s="2"/>
      <c r="BK3712" s="2"/>
      <c r="BL3712" s="2"/>
      <c r="BM3712" s="2"/>
      <c r="BN3712" s="2"/>
      <c r="BO3712" s="2"/>
      <c r="BP3712" s="2"/>
      <c r="BQ3712" s="2"/>
      <c r="BR3712" s="2"/>
      <c r="BS3712" s="2"/>
      <c r="BT3712" s="2"/>
      <c r="BU3712" s="2"/>
    </row>
    <row r="3713" spans="2:73" s="38" customFormat="1">
      <c r="B3713" s="1"/>
      <c r="C3713" s="1"/>
      <c r="D3713" s="1"/>
      <c r="E3713" s="1"/>
      <c r="F3713" s="1"/>
      <c r="G3713" s="1"/>
      <c r="H3713" s="1"/>
      <c r="I3713" s="1"/>
      <c r="J3713" s="1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/>
      <c r="AZ3713" s="2"/>
      <c r="BA3713" s="2"/>
      <c r="BB3713" s="2"/>
      <c r="BC3713" s="2"/>
      <c r="BD3713" s="2"/>
      <c r="BE3713" s="2"/>
      <c r="BF3713" s="2"/>
      <c r="BG3713" s="2"/>
      <c r="BH3713" s="2"/>
      <c r="BI3713" s="2"/>
      <c r="BJ3713" s="2"/>
      <c r="BK3713" s="2"/>
      <c r="BL3713" s="2"/>
      <c r="BM3713" s="2"/>
      <c r="BN3713" s="2"/>
      <c r="BO3713" s="2"/>
      <c r="BP3713" s="2"/>
      <c r="BQ3713" s="2"/>
      <c r="BR3713" s="2"/>
      <c r="BS3713" s="2"/>
      <c r="BT3713" s="2"/>
      <c r="BU3713" s="2"/>
    </row>
    <row r="3714" spans="2:73" s="38" customFormat="1">
      <c r="B3714" s="1"/>
      <c r="C3714" s="1"/>
      <c r="D3714" s="1"/>
      <c r="E3714" s="1"/>
      <c r="F3714" s="1"/>
      <c r="G3714" s="1"/>
      <c r="H3714" s="1"/>
      <c r="I3714" s="1"/>
      <c r="J3714" s="1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  <c r="BA3714" s="2"/>
      <c r="BB3714" s="2"/>
      <c r="BC3714" s="2"/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/>
      <c r="BP3714" s="2"/>
      <c r="BQ3714" s="2"/>
      <c r="BR3714" s="2"/>
      <c r="BS3714" s="2"/>
      <c r="BT3714" s="2"/>
      <c r="BU3714" s="2"/>
    </row>
    <row r="3715" spans="2:73" s="38" customFormat="1">
      <c r="B3715" s="1"/>
      <c r="C3715" s="1"/>
      <c r="D3715" s="1"/>
      <c r="E3715" s="1"/>
      <c r="F3715" s="1"/>
      <c r="G3715" s="1"/>
      <c r="H3715" s="1"/>
      <c r="I3715" s="1"/>
      <c r="J3715" s="1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  <c r="BB3715" s="2"/>
      <c r="BC3715" s="2"/>
      <c r="BD3715" s="2"/>
      <c r="BE3715" s="2"/>
      <c r="BF3715" s="2"/>
      <c r="BG3715" s="2"/>
      <c r="BH3715" s="2"/>
      <c r="BI3715" s="2"/>
      <c r="BJ3715" s="2"/>
      <c r="BK3715" s="2"/>
      <c r="BL3715" s="2"/>
      <c r="BM3715" s="2"/>
      <c r="BN3715" s="2"/>
      <c r="BO3715" s="2"/>
      <c r="BP3715" s="2"/>
      <c r="BQ3715" s="2"/>
      <c r="BR3715" s="2"/>
      <c r="BS3715" s="2"/>
      <c r="BT3715" s="2"/>
      <c r="BU3715" s="2"/>
    </row>
    <row r="3716" spans="2:73" s="38" customFormat="1">
      <c r="B3716" s="1"/>
      <c r="C3716" s="1"/>
      <c r="D3716" s="1"/>
      <c r="E3716" s="1"/>
      <c r="F3716" s="1"/>
      <c r="G3716" s="1"/>
      <c r="H3716" s="1"/>
      <c r="I3716" s="1"/>
      <c r="J3716" s="1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  <c r="BA3716" s="2"/>
      <c r="BB3716" s="2"/>
      <c r="BC3716" s="2"/>
      <c r="BD3716" s="2"/>
      <c r="BE3716" s="2"/>
      <c r="BF3716" s="2"/>
      <c r="BG3716" s="2"/>
      <c r="BH3716" s="2"/>
      <c r="BI3716" s="2"/>
      <c r="BJ3716" s="2"/>
      <c r="BK3716" s="2"/>
      <c r="BL3716" s="2"/>
      <c r="BM3716" s="2"/>
      <c r="BN3716" s="2"/>
      <c r="BO3716" s="2"/>
      <c r="BP3716" s="2"/>
      <c r="BQ3716" s="2"/>
      <c r="BR3716" s="2"/>
      <c r="BS3716" s="2"/>
      <c r="BT3716" s="2"/>
      <c r="BU3716" s="2"/>
    </row>
    <row r="3717" spans="2:73" s="38" customFormat="1">
      <c r="B3717" s="1"/>
      <c r="C3717" s="1"/>
      <c r="D3717" s="1"/>
      <c r="E3717" s="1"/>
      <c r="F3717" s="1"/>
      <c r="G3717" s="1"/>
      <c r="H3717" s="1"/>
      <c r="I3717" s="1"/>
      <c r="J3717" s="1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  <c r="AZ3717" s="2"/>
      <c r="BA3717" s="2"/>
      <c r="BB3717" s="2"/>
      <c r="BC3717" s="2"/>
      <c r="BD3717" s="2"/>
      <c r="BE3717" s="2"/>
      <c r="BF3717" s="2"/>
      <c r="BG3717" s="2"/>
      <c r="BH3717" s="2"/>
      <c r="BI3717" s="2"/>
      <c r="BJ3717" s="2"/>
      <c r="BK3717" s="2"/>
      <c r="BL3717" s="2"/>
      <c r="BM3717" s="2"/>
      <c r="BN3717" s="2"/>
      <c r="BO3717" s="2"/>
      <c r="BP3717" s="2"/>
      <c r="BQ3717" s="2"/>
      <c r="BR3717" s="2"/>
      <c r="BS3717" s="2"/>
      <c r="BT3717" s="2"/>
      <c r="BU3717" s="2"/>
    </row>
    <row r="3718" spans="2:73" s="38" customFormat="1">
      <c r="B3718" s="1"/>
      <c r="C3718" s="1"/>
      <c r="D3718" s="1"/>
      <c r="E3718" s="1"/>
      <c r="F3718" s="1"/>
      <c r="G3718" s="1"/>
      <c r="H3718" s="1"/>
      <c r="I3718" s="1"/>
      <c r="J3718" s="1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  <c r="BA3718" s="2"/>
      <c r="BB3718" s="2"/>
      <c r="BC3718" s="2"/>
      <c r="BD3718" s="2"/>
      <c r="BE3718" s="2"/>
      <c r="BF3718" s="2"/>
      <c r="BG3718" s="2"/>
      <c r="BH3718" s="2"/>
      <c r="BI3718" s="2"/>
      <c r="BJ3718" s="2"/>
      <c r="BK3718" s="2"/>
      <c r="BL3718" s="2"/>
      <c r="BM3718" s="2"/>
      <c r="BN3718" s="2"/>
      <c r="BO3718" s="2"/>
      <c r="BP3718" s="2"/>
      <c r="BQ3718" s="2"/>
      <c r="BR3718" s="2"/>
      <c r="BS3718" s="2"/>
      <c r="BT3718" s="2"/>
      <c r="BU3718" s="2"/>
    </row>
    <row r="3719" spans="2:73" s="38" customFormat="1">
      <c r="B3719" s="1"/>
      <c r="C3719" s="1"/>
      <c r="D3719" s="1"/>
      <c r="E3719" s="1"/>
      <c r="F3719" s="1"/>
      <c r="G3719" s="1"/>
      <c r="H3719" s="1"/>
      <c r="I3719" s="1"/>
      <c r="J3719" s="1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  <c r="BA3719" s="2"/>
      <c r="BB3719" s="2"/>
      <c r="BC3719" s="2"/>
      <c r="BD3719" s="2"/>
      <c r="BE3719" s="2"/>
      <c r="BF3719" s="2"/>
      <c r="BG3719" s="2"/>
      <c r="BH3719" s="2"/>
      <c r="BI3719" s="2"/>
      <c r="BJ3719" s="2"/>
      <c r="BK3719" s="2"/>
      <c r="BL3719" s="2"/>
      <c r="BM3719" s="2"/>
      <c r="BN3719" s="2"/>
      <c r="BO3719" s="2"/>
      <c r="BP3719" s="2"/>
      <c r="BQ3719" s="2"/>
      <c r="BR3719" s="2"/>
      <c r="BS3719" s="2"/>
      <c r="BT3719" s="2"/>
      <c r="BU3719" s="2"/>
    </row>
    <row r="3720" spans="2:73" s="38" customFormat="1">
      <c r="B3720" s="1"/>
      <c r="C3720" s="1"/>
      <c r="D3720" s="1"/>
      <c r="E3720" s="1"/>
      <c r="F3720" s="1"/>
      <c r="G3720" s="1"/>
      <c r="H3720" s="1"/>
      <c r="I3720" s="1"/>
      <c r="J3720" s="1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/>
      <c r="AZ3720" s="2"/>
      <c r="BA3720" s="2"/>
      <c r="BB3720" s="2"/>
      <c r="BC3720" s="2"/>
      <c r="BD3720" s="2"/>
      <c r="BE3720" s="2"/>
      <c r="BF3720" s="2"/>
      <c r="BG3720" s="2"/>
      <c r="BH3720" s="2"/>
      <c r="BI3720" s="2"/>
      <c r="BJ3720" s="2"/>
      <c r="BK3720" s="2"/>
      <c r="BL3720" s="2"/>
      <c r="BM3720" s="2"/>
      <c r="BN3720" s="2"/>
      <c r="BO3720" s="2"/>
      <c r="BP3720" s="2"/>
      <c r="BQ3720" s="2"/>
      <c r="BR3720" s="2"/>
      <c r="BS3720" s="2"/>
      <c r="BT3720" s="2"/>
      <c r="BU3720" s="2"/>
    </row>
    <row r="3721" spans="2:73" s="38" customFormat="1">
      <c r="B3721" s="1"/>
      <c r="C3721" s="1"/>
      <c r="D3721" s="1"/>
      <c r="E3721" s="1"/>
      <c r="F3721" s="1"/>
      <c r="G3721" s="1"/>
      <c r="H3721" s="1"/>
      <c r="I3721" s="1"/>
      <c r="J3721" s="1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2"/>
      <c r="BA3721" s="2"/>
      <c r="BB3721" s="2"/>
      <c r="BC3721" s="2"/>
      <c r="BD3721" s="2"/>
      <c r="BE3721" s="2"/>
      <c r="BF3721" s="2"/>
      <c r="BG3721" s="2"/>
      <c r="BH3721" s="2"/>
      <c r="BI3721" s="2"/>
      <c r="BJ3721" s="2"/>
      <c r="BK3721" s="2"/>
      <c r="BL3721" s="2"/>
      <c r="BM3721" s="2"/>
      <c r="BN3721" s="2"/>
      <c r="BO3721" s="2"/>
      <c r="BP3721" s="2"/>
      <c r="BQ3721" s="2"/>
      <c r="BR3721" s="2"/>
      <c r="BS3721" s="2"/>
      <c r="BT3721" s="2"/>
      <c r="BU3721" s="2"/>
    </row>
    <row r="3722" spans="2:73" s="38" customFormat="1">
      <c r="B3722" s="1"/>
      <c r="C3722" s="1"/>
      <c r="D3722" s="1"/>
      <c r="E3722" s="1"/>
      <c r="F3722" s="1"/>
      <c r="G3722" s="1"/>
      <c r="H3722" s="1"/>
      <c r="I3722" s="1"/>
      <c r="J3722" s="1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  <c r="BA3722" s="2"/>
      <c r="BB3722" s="2"/>
      <c r="BC3722" s="2"/>
      <c r="BD3722" s="2"/>
      <c r="BE3722" s="2"/>
      <c r="BF3722" s="2"/>
      <c r="BG3722" s="2"/>
      <c r="BH3722" s="2"/>
      <c r="BI3722" s="2"/>
      <c r="BJ3722" s="2"/>
      <c r="BK3722" s="2"/>
      <c r="BL3722" s="2"/>
      <c r="BM3722" s="2"/>
      <c r="BN3722" s="2"/>
      <c r="BO3722" s="2"/>
      <c r="BP3722" s="2"/>
      <c r="BQ3722" s="2"/>
      <c r="BR3722" s="2"/>
      <c r="BS3722" s="2"/>
      <c r="BT3722" s="2"/>
      <c r="BU3722" s="2"/>
    </row>
    <row r="3723" spans="2:73" s="38" customFormat="1">
      <c r="B3723" s="1"/>
      <c r="C3723" s="1"/>
      <c r="D3723" s="1"/>
      <c r="E3723" s="1"/>
      <c r="F3723" s="1"/>
      <c r="G3723" s="1"/>
      <c r="H3723" s="1"/>
      <c r="I3723" s="1"/>
      <c r="J3723" s="1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  <c r="BA3723" s="2"/>
      <c r="BB3723" s="2"/>
      <c r="BC3723" s="2"/>
      <c r="BD3723" s="2"/>
      <c r="BE3723" s="2"/>
      <c r="BF3723" s="2"/>
      <c r="BG3723" s="2"/>
      <c r="BH3723" s="2"/>
      <c r="BI3723" s="2"/>
      <c r="BJ3723" s="2"/>
      <c r="BK3723" s="2"/>
      <c r="BL3723" s="2"/>
      <c r="BM3723" s="2"/>
      <c r="BN3723" s="2"/>
      <c r="BO3723" s="2"/>
      <c r="BP3723" s="2"/>
      <c r="BQ3723" s="2"/>
      <c r="BR3723" s="2"/>
      <c r="BS3723" s="2"/>
      <c r="BT3723" s="2"/>
      <c r="BU3723" s="2"/>
    </row>
    <row r="3724" spans="2:73" s="38" customFormat="1">
      <c r="B3724" s="1"/>
      <c r="C3724" s="1"/>
      <c r="D3724" s="1"/>
      <c r="E3724" s="1"/>
      <c r="F3724" s="1"/>
      <c r="G3724" s="1"/>
      <c r="H3724" s="1"/>
      <c r="I3724" s="1"/>
      <c r="J3724" s="1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  <c r="BA3724" s="2"/>
      <c r="BB3724" s="2"/>
      <c r="BC3724" s="2"/>
      <c r="BD3724" s="2"/>
      <c r="BE3724" s="2"/>
      <c r="BF3724" s="2"/>
      <c r="BG3724" s="2"/>
      <c r="BH3724" s="2"/>
      <c r="BI3724" s="2"/>
      <c r="BJ3724" s="2"/>
      <c r="BK3724" s="2"/>
      <c r="BL3724" s="2"/>
      <c r="BM3724" s="2"/>
      <c r="BN3724" s="2"/>
      <c r="BO3724" s="2"/>
      <c r="BP3724" s="2"/>
      <c r="BQ3724" s="2"/>
      <c r="BR3724" s="2"/>
      <c r="BS3724" s="2"/>
      <c r="BT3724" s="2"/>
      <c r="BU3724" s="2"/>
    </row>
    <row r="3725" spans="2:73" s="38" customFormat="1">
      <c r="B3725" s="1"/>
      <c r="C3725" s="1"/>
      <c r="D3725" s="1"/>
      <c r="E3725" s="1"/>
      <c r="F3725" s="1"/>
      <c r="G3725" s="1"/>
      <c r="H3725" s="1"/>
      <c r="I3725" s="1"/>
      <c r="J3725" s="1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  <c r="BA3725" s="2"/>
      <c r="BB3725" s="2"/>
      <c r="BC3725" s="2"/>
      <c r="BD3725" s="2"/>
      <c r="BE3725" s="2"/>
      <c r="BF3725" s="2"/>
      <c r="BG3725" s="2"/>
      <c r="BH3725" s="2"/>
      <c r="BI3725" s="2"/>
      <c r="BJ3725" s="2"/>
      <c r="BK3725" s="2"/>
      <c r="BL3725" s="2"/>
      <c r="BM3725" s="2"/>
      <c r="BN3725" s="2"/>
      <c r="BO3725" s="2"/>
      <c r="BP3725" s="2"/>
      <c r="BQ3725" s="2"/>
      <c r="BR3725" s="2"/>
      <c r="BS3725" s="2"/>
      <c r="BT3725" s="2"/>
      <c r="BU3725" s="2"/>
    </row>
    <row r="3726" spans="2:73" s="38" customFormat="1">
      <c r="B3726" s="1"/>
      <c r="C3726" s="1"/>
      <c r="D3726" s="1"/>
      <c r="E3726" s="1"/>
      <c r="F3726" s="1"/>
      <c r="G3726" s="1"/>
      <c r="H3726" s="1"/>
      <c r="I3726" s="1"/>
      <c r="J3726" s="1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  <c r="BA3726" s="2"/>
      <c r="BB3726" s="2"/>
      <c r="BC3726" s="2"/>
      <c r="BD3726" s="2"/>
      <c r="BE3726" s="2"/>
      <c r="BF3726" s="2"/>
      <c r="BG3726" s="2"/>
      <c r="BH3726" s="2"/>
      <c r="BI3726" s="2"/>
      <c r="BJ3726" s="2"/>
      <c r="BK3726" s="2"/>
      <c r="BL3726" s="2"/>
      <c r="BM3726" s="2"/>
      <c r="BN3726" s="2"/>
      <c r="BO3726" s="2"/>
      <c r="BP3726" s="2"/>
      <c r="BQ3726" s="2"/>
      <c r="BR3726" s="2"/>
      <c r="BS3726" s="2"/>
      <c r="BT3726" s="2"/>
      <c r="BU3726" s="2"/>
    </row>
    <row r="3727" spans="2:73" s="38" customFormat="1">
      <c r="B3727" s="1"/>
      <c r="C3727" s="1"/>
      <c r="D3727" s="1"/>
      <c r="E3727" s="1"/>
      <c r="F3727" s="1"/>
      <c r="G3727" s="1"/>
      <c r="H3727" s="1"/>
      <c r="I3727" s="1"/>
      <c r="J3727" s="1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  <c r="BA3727" s="2"/>
      <c r="BB3727" s="2"/>
      <c r="BC3727" s="2"/>
      <c r="BD3727" s="2"/>
      <c r="BE3727" s="2"/>
      <c r="BF3727" s="2"/>
      <c r="BG3727" s="2"/>
      <c r="BH3727" s="2"/>
      <c r="BI3727" s="2"/>
      <c r="BJ3727" s="2"/>
      <c r="BK3727" s="2"/>
      <c r="BL3727" s="2"/>
      <c r="BM3727" s="2"/>
      <c r="BN3727" s="2"/>
      <c r="BO3727" s="2"/>
      <c r="BP3727" s="2"/>
      <c r="BQ3727" s="2"/>
      <c r="BR3727" s="2"/>
      <c r="BS3727" s="2"/>
      <c r="BT3727" s="2"/>
      <c r="BU3727" s="2"/>
    </row>
    <row r="3728" spans="2:73" s="38" customFormat="1">
      <c r="B3728" s="1"/>
      <c r="C3728" s="1"/>
      <c r="D3728" s="1"/>
      <c r="E3728" s="1"/>
      <c r="F3728" s="1"/>
      <c r="G3728" s="1"/>
      <c r="H3728" s="1"/>
      <c r="I3728" s="1"/>
      <c r="J3728" s="1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  <c r="BA3728" s="2"/>
      <c r="BB3728" s="2"/>
      <c r="BC3728" s="2"/>
      <c r="BD3728" s="2"/>
      <c r="BE3728" s="2"/>
      <c r="BF3728" s="2"/>
      <c r="BG3728" s="2"/>
      <c r="BH3728" s="2"/>
      <c r="BI3728" s="2"/>
      <c r="BJ3728" s="2"/>
      <c r="BK3728" s="2"/>
      <c r="BL3728" s="2"/>
      <c r="BM3728" s="2"/>
      <c r="BN3728" s="2"/>
      <c r="BO3728" s="2"/>
      <c r="BP3728" s="2"/>
      <c r="BQ3728" s="2"/>
      <c r="BR3728" s="2"/>
      <c r="BS3728" s="2"/>
      <c r="BT3728" s="2"/>
      <c r="BU3728" s="2"/>
    </row>
    <row r="3729" spans="2:73" s="38" customFormat="1">
      <c r="B3729" s="1"/>
      <c r="C3729" s="1"/>
      <c r="D3729" s="1"/>
      <c r="E3729" s="1"/>
      <c r="F3729" s="1"/>
      <c r="G3729" s="1"/>
      <c r="H3729" s="1"/>
      <c r="I3729" s="1"/>
      <c r="J3729" s="1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  <c r="BA3729" s="2"/>
      <c r="BB3729" s="2"/>
      <c r="BC3729" s="2"/>
      <c r="BD3729" s="2"/>
      <c r="BE3729" s="2"/>
      <c r="BF3729" s="2"/>
      <c r="BG3729" s="2"/>
      <c r="BH3729" s="2"/>
      <c r="BI3729" s="2"/>
      <c r="BJ3729" s="2"/>
      <c r="BK3729" s="2"/>
      <c r="BL3729" s="2"/>
      <c r="BM3729" s="2"/>
      <c r="BN3729" s="2"/>
      <c r="BO3729" s="2"/>
      <c r="BP3729" s="2"/>
      <c r="BQ3729" s="2"/>
      <c r="BR3729" s="2"/>
      <c r="BS3729" s="2"/>
      <c r="BT3729" s="2"/>
      <c r="BU3729" s="2"/>
    </row>
    <row r="3730" spans="2:73" s="38" customFormat="1">
      <c r="B3730" s="1"/>
      <c r="C3730" s="1"/>
      <c r="D3730" s="1"/>
      <c r="E3730" s="1"/>
      <c r="F3730" s="1"/>
      <c r="G3730" s="1"/>
      <c r="H3730" s="1"/>
      <c r="I3730" s="1"/>
      <c r="J3730" s="1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  <c r="BA3730" s="2"/>
      <c r="BB3730" s="2"/>
      <c r="BC3730" s="2"/>
      <c r="BD3730" s="2"/>
      <c r="BE3730" s="2"/>
      <c r="BF3730" s="2"/>
      <c r="BG3730" s="2"/>
      <c r="BH3730" s="2"/>
      <c r="BI3730" s="2"/>
      <c r="BJ3730" s="2"/>
      <c r="BK3730" s="2"/>
      <c r="BL3730" s="2"/>
      <c r="BM3730" s="2"/>
      <c r="BN3730" s="2"/>
      <c r="BO3730" s="2"/>
      <c r="BP3730" s="2"/>
      <c r="BQ3730" s="2"/>
      <c r="BR3730" s="2"/>
      <c r="BS3730" s="2"/>
      <c r="BT3730" s="2"/>
      <c r="BU3730" s="2"/>
    </row>
    <row r="3731" spans="2:73" s="38" customFormat="1">
      <c r="B3731" s="1"/>
      <c r="C3731" s="1"/>
      <c r="D3731" s="1"/>
      <c r="E3731" s="1"/>
      <c r="F3731" s="1"/>
      <c r="G3731" s="1"/>
      <c r="H3731" s="1"/>
      <c r="I3731" s="1"/>
      <c r="J3731" s="1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  <c r="BA3731" s="2"/>
      <c r="BB3731" s="2"/>
      <c r="BC3731" s="2"/>
      <c r="BD3731" s="2"/>
      <c r="BE3731" s="2"/>
      <c r="BF3731" s="2"/>
      <c r="BG3731" s="2"/>
      <c r="BH3731" s="2"/>
      <c r="BI3731" s="2"/>
      <c r="BJ3731" s="2"/>
      <c r="BK3731" s="2"/>
      <c r="BL3731" s="2"/>
      <c r="BM3731" s="2"/>
      <c r="BN3731" s="2"/>
      <c r="BO3731" s="2"/>
      <c r="BP3731" s="2"/>
      <c r="BQ3731" s="2"/>
      <c r="BR3731" s="2"/>
      <c r="BS3731" s="2"/>
      <c r="BT3731" s="2"/>
      <c r="BU3731" s="2"/>
    </row>
    <row r="3732" spans="2:73" s="38" customFormat="1">
      <c r="B3732" s="1"/>
      <c r="C3732" s="1"/>
      <c r="D3732" s="1"/>
      <c r="E3732" s="1"/>
      <c r="F3732" s="1"/>
      <c r="G3732" s="1"/>
      <c r="H3732" s="1"/>
      <c r="I3732" s="1"/>
      <c r="J3732" s="1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  <c r="AZ3732" s="2"/>
      <c r="BA3732" s="2"/>
      <c r="BB3732" s="2"/>
      <c r="BC3732" s="2"/>
      <c r="BD3732" s="2"/>
      <c r="BE3732" s="2"/>
      <c r="BF3732" s="2"/>
      <c r="BG3732" s="2"/>
      <c r="BH3732" s="2"/>
      <c r="BI3732" s="2"/>
      <c r="BJ3732" s="2"/>
      <c r="BK3732" s="2"/>
      <c r="BL3732" s="2"/>
      <c r="BM3732" s="2"/>
      <c r="BN3732" s="2"/>
      <c r="BO3732" s="2"/>
      <c r="BP3732" s="2"/>
      <c r="BQ3732" s="2"/>
      <c r="BR3732" s="2"/>
      <c r="BS3732" s="2"/>
      <c r="BT3732" s="2"/>
      <c r="BU3732" s="2"/>
    </row>
    <row r="3733" spans="2:73" s="38" customFormat="1">
      <c r="B3733" s="1"/>
      <c r="C3733" s="1"/>
      <c r="D3733" s="1"/>
      <c r="E3733" s="1"/>
      <c r="F3733" s="1"/>
      <c r="G3733" s="1"/>
      <c r="H3733" s="1"/>
      <c r="I3733" s="1"/>
      <c r="J3733" s="1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  <c r="BB3733" s="2"/>
      <c r="BC3733" s="2"/>
      <c r="BD3733" s="2"/>
      <c r="BE3733" s="2"/>
      <c r="BF3733" s="2"/>
      <c r="BG3733" s="2"/>
      <c r="BH3733" s="2"/>
      <c r="BI3733" s="2"/>
      <c r="BJ3733" s="2"/>
      <c r="BK3733" s="2"/>
      <c r="BL3733" s="2"/>
      <c r="BM3733" s="2"/>
      <c r="BN3733" s="2"/>
      <c r="BO3733" s="2"/>
      <c r="BP3733" s="2"/>
      <c r="BQ3733" s="2"/>
      <c r="BR3733" s="2"/>
      <c r="BS3733" s="2"/>
      <c r="BT3733" s="2"/>
      <c r="BU3733" s="2"/>
    </row>
    <row r="3734" spans="2:73" s="38" customFormat="1">
      <c r="B3734" s="1"/>
      <c r="C3734" s="1"/>
      <c r="D3734" s="1"/>
      <c r="E3734" s="1"/>
      <c r="F3734" s="1"/>
      <c r="G3734" s="1"/>
      <c r="H3734" s="1"/>
      <c r="I3734" s="1"/>
      <c r="J3734" s="1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  <c r="AZ3734" s="2"/>
      <c r="BA3734" s="2"/>
      <c r="BB3734" s="2"/>
      <c r="BC3734" s="2"/>
      <c r="BD3734" s="2"/>
      <c r="BE3734" s="2"/>
      <c r="BF3734" s="2"/>
      <c r="BG3734" s="2"/>
      <c r="BH3734" s="2"/>
      <c r="BI3734" s="2"/>
      <c r="BJ3734" s="2"/>
      <c r="BK3734" s="2"/>
      <c r="BL3734" s="2"/>
      <c r="BM3734" s="2"/>
      <c r="BN3734" s="2"/>
      <c r="BO3734" s="2"/>
      <c r="BP3734" s="2"/>
      <c r="BQ3734" s="2"/>
      <c r="BR3734" s="2"/>
      <c r="BS3734" s="2"/>
      <c r="BT3734" s="2"/>
      <c r="BU3734" s="2"/>
    </row>
    <row r="3735" spans="2:73" s="38" customFormat="1">
      <c r="B3735" s="1"/>
      <c r="C3735" s="1"/>
      <c r="D3735" s="1"/>
      <c r="E3735" s="1"/>
      <c r="F3735" s="1"/>
      <c r="G3735" s="1"/>
      <c r="H3735" s="1"/>
      <c r="I3735" s="1"/>
      <c r="J3735" s="1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  <c r="BA3735" s="2"/>
      <c r="BB3735" s="2"/>
      <c r="BC3735" s="2"/>
      <c r="BD3735" s="2"/>
      <c r="BE3735" s="2"/>
      <c r="BF3735" s="2"/>
      <c r="BG3735" s="2"/>
      <c r="BH3735" s="2"/>
      <c r="BI3735" s="2"/>
      <c r="BJ3735" s="2"/>
      <c r="BK3735" s="2"/>
      <c r="BL3735" s="2"/>
      <c r="BM3735" s="2"/>
      <c r="BN3735" s="2"/>
      <c r="BO3735" s="2"/>
      <c r="BP3735" s="2"/>
      <c r="BQ3735" s="2"/>
      <c r="BR3735" s="2"/>
      <c r="BS3735" s="2"/>
      <c r="BT3735" s="2"/>
      <c r="BU3735" s="2"/>
    </row>
    <row r="3736" spans="2:73" s="38" customFormat="1">
      <c r="B3736" s="1"/>
      <c r="C3736" s="1"/>
      <c r="D3736" s="1"/>
      <c r="E3736" s="1"/>
      <c r="F3736" s="1"/>
      <c r="G3736" s="1"/>
      <c r="H3736" s="1"/>
      <c r="I3736" s="1"/>
      <c r="J3736" s="1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2"/>
      <c r="BA3736" s="2"/>
      <c r="BB3736" s="2"/>
      <c r="BC3736" s="2"/>
      <c r="BD3736" s="2"/>
      <c r="BE3736" s="2"/>
      <c r="BF3736" s="2"/>
      <c r="BG3736" s="2"/>
      <c r="BH3736" s="2"/>
      <c r="BI3736" s="2"/>
      <c r="BJ3736" s="2"/>
      <c r="BK3736" s="2"/>
      <c r="BL3736" s="2"/>
      <c r="BM3736" s="2"/>
      <c r="BN3736" s="2"/>
      <c r="BO3736" s="2"/>
      <c r="BP3736" s="2"/>
      <c r="BQ3736" s="2"/>
      <c r="BR3736" s="2"/>
      <c r="BS3736" s="2"/>
      <c r="BT3736" s="2"/>
      <c r="BU3736" s="2"/>
    </row>
    <row r="3737" spans="2:73" s="38" customFormat="1">
      <c r="B3737" s="1"/>
      <c r="C3737" s="1"/>
      <c r="D3737" s="1"/>
      <c r="E3737" s="1"/>
      <c r="F3737" s="1"/>
      <c r="G3737" s="1"/>
      <c r="H3737" s="1"/>
      <c r="I3737" s="1"/>
      <c r="J3737" s="1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/>
      <c r="AZ3737" s="2"/>
      <c r="BA3737" s="2"/>
      <c r="BB3737" s="2"/>
      <c r="BC3737" s="2"/>
      <c r="BD3737" s="2"/>
      <c r="BE3737" s="2"/>
      <c r="BF3737" s="2"/>
      <c r="BG3737" s="2"/>
      <c r="BH3737" s="2"/>
      <c r="BI3737" s="2"/>
      <c r="BJ3737" s="2"/>
      <c r="BK3737" s="2"/>
      <c r="BL3737" s="2"/>
      <c r="BM3737" s="2"/>
      <c r="BN3737" s="2"/>
      <c r="BO3737" s="2"/>
      <c r="BP3737" s="2"/>
      <c r="BQ3737" s="2"/>
      <c r="BR3737" s="2"/>
      <c r="BS3737" s="2"/>
      <c r="BT3737" s="2"/>
      <c r="BU3737" s="2"/>
    </row>
    <row r="3738" spans="2:73" s="38" customFormat="1">
      <c r="B3738" s="1"/>
      <c r="C3738" s="1"/>
      <c r="D3738" s="1"/>
      <c r="E3738" s="1"/>
      <c r="F3738" s="1"/>
      <c r="G3738" s="1"/>
      <c r="H3738" s="1"/>
      <c r="I3738" s="1"/>
      <c r="J3738" s="1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  <c r="BA3738" s="2"/>
      <c r="BB3738" s="2"/>
      <c r="BC3738" s="2"/>
      <c r="BD3738" s="2"/>
      <c r="BE3738" s="2"/>
      <c r="BF3738" s="2"/>
      <c r="BG3738" s="2"/>
      <c r="BH3738" s="2"/>
      <c r="BI3738" s="2"/>
      <c r="BJ3738" s="2"/>
      <c r="BK3738" s="2"/>
      <c r="BL3738" s="2"/>
      <c r="BM3738" s="2"/>
      <c r="BN3738" s="2"/>
      <c r="BO3738" s="2"/>
      <c r="BP3738" s="2"/>
      <c r="BQ3738" s="2"/>
      <c r="BR3738" s="2"/>
      <c r="BS3738" s="2"/>
      <c r="BT3738" s="2"/>
      <c r="BU3738" s="2"/>
    </row>
    <row r="3739" spans="2:73" s="38" customFormat="1">
      <c r="B3739" s="1"/>
      <c r="C3739" s="1"/>
      <c r="D3739" s="1"/>
      <c r="E3739" s="1"/>
      <c r="F3739" s="1"/>
      <c r="G3739" s="1"/>
      <c r="H3739" s="1"/>
      <c r="I3739" s="1"/>
      <c r="J3739" s="1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  <c r="BB3739" s="2"/>
      <c r="BC3739" s="2"/>
      <c r="BD3739" s="2"/>
      <c r="BE3739" s="2"/>
      <c r="BF3739" s="2"/>
      <c r="BG3739" s="2"/>
      <c r="BH3739" s="2"/>
      <c r="BI3739" s="2"/>
      <c r="BJ3739" s="2"/>
      <c r="BK3739" s="2"/>
      <c r="BL3739" s="2"/>
      <c r="BM3739" s="2"/>
      <c r="BN3739" s="2"/>
      <c r="BO3739" s="2"/>
      <c r="BP3739" s="2"/>
      <c r="BQ3739" s="2"/>
      <c r="BR3739" s="2"/>
      <c r="BS3739" s="2"/>
      <c r="BT3739" s="2"/>
      <c r="BU3739" s="2"/>
    </row>
    <row r="3740" spans="2:73" s="38" customFormat="1">
      <c r="B3740" s="1"/>
      <c r="C3740" s="1"/>
      <c r="D3740" s="1"/>
      <c r="E3740" s="1"/>
      <c r="F3740" s="1"/>
      <c r="G3740" s="1"/>
      <c r="H3740" s="1"/>
      <c r="I3740" s="1"/>
      <c r="J3740" s="1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  <c r="BA3740" s="2"/>
      <c r="BB3740" s="2"/>
      <c r="BC3740" s="2"/>
      <c r="BD3740" s="2"/>
      <c r="BE3740" s="2"/>
      <c r="BF3740" s="2"/>
      <c r="BG3740" s="2"/>
      <c r="BH3740" s="2"/>
      <c r="BI3740" s="2"/>
      <c r="BJ3740" s="2"/>
      <c r="BK3740" s="2"/>
      <c r="BL3740" s="2"/>
      <c r="BM3740" s="2"/>
      <c r="BN3740" s="2"/>
      <c r="BO3740" s="2"/>
      <c r="BP3740" s="2"/>
      <c r="BQ3740" s="2"/>
      <c r="BR3740" s="2"/>
      <c r="BS3740" s="2"/>
      <c r="BT3740" s="2"/>
      <c r="BU3740" s="2"/>
    </row>
    <row r="3741" spans="2:73" s="38" customFormat="1">
      <c r="B3741" s="1"/>
      <c r="C3741" s="1"/>
      <c r="D3741" s="1"/>
      <c r="E3741" s="1"/>
      <c r="F3741" s="1"/>
      <c r="G3741" s="1"/>
      <c r="H3741" s="1"/>
      <c r="I3741" s="1"/>
      <c r="J3741" s="1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  <c r="BB3741" s="2"/>
      <c r="BC3741" s="2"/>
      <c r="BD3741" s="2"/>
      <c r="BE3741" s="2"/>
      <c r="BF3741" s="2"/>
      <c r="BG3741" s="2"/>
      <c r="BH3741" s="2"/>
      <c r="BI3741" s="2"/>
      <c r="BJ3741" s="2"/>
      <c r="BK3741" s="2"/>
      <c r="BL3741" s="2"/>
      <c r="BM3741" s="2"/>
      <c r="BN3741" s="2"/>
      <c r="BO3741" s="2"/>
      <c r="BP3741" s="2"/>
      <c r="BQ3741" s="2"/>
      <c r="BR3741" s="2"/>
      <c r="BS3741" s="2"/>
      <c r="BT3741" s="2"/>
      <c r="BU3741" s="2"/>
    </row>
    <row r="3742" spans="2:73" s="38" customFormat="1">
      <c r="B3742" s="1"/>
      <c r="C3742" s="1"/>
      <c r="D3742" s="1"/>
      <c r="E3742" s="1"/>
      <c r="F3742" s="1"/>
      <c r="G3742" s="1"/>
      <c r="H3742" s="1"/>
      <c r="I3742" s="1"/>
      <c r="J3742" s="1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  <c r="BA3742" s="2"/>
      <c r="BB3742" s="2"/>
      <c r="BC3742" s="2"/>
      <c r="BD3742" s="2"/>
      <c r="BE3742" s="2"/>
      <c r="BF3742" s="2"/>
      <c r="BG3742" s="2"/>
      <c r="BH3742" s="2"/>
      <c r="BI3742" s="2"/>
      <c r="BJ3742" s="2"/>
      <c r="BK3742" s="2"/>
      <c r="BL3742" s="2"/>
      <c r="BM3742" s="2"/>
      <c r="BN3742" s="2"/>
      <c r="BO3742" s="2"/>
      <c r="BP3742" s="2"/>
      <c r="BQ3742" s="2"/>
      <c r="BR3742" s="2"/>
      <c r="BS3742" s="2"/>
      <c r="BT3742" s="2"/>
      <c r="BU3742" s="2"/>
    </row>
    <row r="3743" spans="2:73" s="38" customFormat="1">
      <c r="B3743" s="1"/>
      <c r="C3743" s="1"/>
      <c r="D3743" s="1"/>
      <c r="E3743" s="1"/>
      <c r="F3743" s="1"/>
      <c r="G3743" s="1"/>
      <c r="H3743" s="1"/>
      <c r="I3743" s="1"/>
      <c r="J3743" s="1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2"/>
      <c r="BA3743" s="2"/>
      <c r="BB3743" s="2"/>
      <c r="BC3743" s="2"/>
      <c r="BD3743" s="2"/>
      <c r="BE3743" s="2"/>
      <c r="BF3743" s="2"/>
      <c r="BG3743" s="2"/>
      <c r="BH3743" s="2"/>
      <c r="BI3743" s="2"/>
      <c r="BJ3743" s="2"/>
      <c r="BK3743" s="2"/>
      <c r="BL3743" s="2"/>
      <c r="BM3743" s="2"/>
      <c r="BN3743" s="2"/>
      <c r="BO3743" s="2"/>
      <c r="BP3743" s="2"/>
      <c r="BQ3743" s="2"/>
      <c r="BR3743" s="2"/>
      <c r="BS3743" s="2"/>
      <c r="BT3743" s="2"/>
      <c r="BU3743" s="2"/>
    </row>
    <row r="3744" spans="2:73" s="38" customFormat="1">
      <c r="B3744" s="1"/>
      <c r="C3744" s="1"/>
      <c r="D3744" s="1"/>
      <c r="E3744" s="1"/>
      <c r="F3744" s="1"/>
      <c r="G3744" s="1"/>
      <c r="H3744" s="1"/>
      <c r="I3744" s="1"/>
      <c r="J3744" s="1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  <c r="BA3744" s="2"/>
      <c r="BB3744" s="2"/>
      <c r="BC3744" s="2"/>
      <c r="BD3744" s="2"/>
      <c r="BE3744" s="2"/>
      <c r="BF3744" s="2"/>
      <c r="BG3744" s="2"/>
      <c r="BH3744" s="2"/>
      <c r="BI3744" s="2"/>
      <c r="BJ3744" s="2"/>
      <c r="BK3744" s="2"/>
      <c r="BL3744" s="2"/>
      <c r="BM3744" s="2"/>
      <c r="BN3744" s="2"/>
      <c r="BO3744" s="2"/>
      <c r="BP3744" s="2"/>
      <c r="BQ3744" s="2"/>
      <c r="BR3744" s="2"/>
      <c r="BS3744" s="2"/>
      <c r="BT3744" s="2"/>
      <c r="BU3744" s="2"/>
    </row>
    <row r="3745" spans="2:73" s="38" customFormat="1">
      <c r="B3745" s="1"/>
      <c r="C3745" s="1"/>
      <c r="D3745" s="1"/>
      <c r="E3745" s="1"/>
      <c r="F3745" s="1"/>
      <c r="G3745" s="1"/>
      <c r="H3745" s="1"/>
      <c r="I3745" s="1"/>
      <c r="J3745" s="1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2"/>
      <c r="BA3745" s="2"/>
      <c r="BB3745" s="2"/>
      <c r="BC3745" s="2"/>
      <c r="BD3745" s="2"/>
      <c r="BE3745" s="2"/>
      <c r="BF3745" s="2"/>
      <c r="BG3745" s="2"/>
      <c r="BH3745" s="2"/>
      <c r="BI3745" s="2"/>
      <c r="BJ3745" s="2"/>
      <c r="BK3745" s="2"/>
      <c r="BL3745" s="2"/>
      <c r="BM3745" s="2"/>
      <c r="BN3745" s="2"/>
      <c r="BO3745" s="2"/>
      <c r="BP3745" s="2"/>
      <c r="BQ3745" s="2"/>
      <c r="BR3745" s="2"/>
      <c r="BS3745" s="2"/>
      <c r="BT3745" s="2"/>
      <c r="BU3745" s="2"/>
    </row>
    <row r="3746" spans="2:73" s="38" customFormat="1">
      <c r="B3746" s="1"/>
      <c r="C3746" s="1"/>
      <c r="D3746" s="1"/>
      <c r="E3746" s="1"/>
      <c r="F3746" s="1"/>
      <c r="G3746" s="1"/>
      <c r="H3746" s="1"/>
      <c r="I3746" s="1"/>
      <c r="J3746" s="1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2"/>
      <c r="BA3746" s="2"/>
      <c r="BB3746" s="2"/>
      <c r="BC3746" s="2"/>
      <c r="BD3746" s="2"/>
      <c r="BE3746" s="2"/>
      <c r="BF3746" s="2"/>
      <c r="BG3746" s="2"/>
      <c r="BH3746" s="2"/>
      <c r="BI3746" s="2"/>
      <c r="BJ3746" s="2"/>
      <c r="BK3746" s="2"/>
      <c r="BL3746" s="2"/>
      <c r="BM3746" s="2"/>
      <c r="BN3746" s="2"/>
      <c r="BO3746" s="2"/>
      <c r="BP3746" s="2"/>
      <c r="BQ3746" s="2"/>
      <c r="BR3746" s="2"/>
      <c r="BS3746" s="2"/>
      <c r="BT3746" s="2"/>
      <c r="BU3746" s="2"/>
    </row>
    <row r="3747" spans="2:73" s="38" customFormat="1">
      <c r="B3747" s="1"/>
      <c r="C3747" s="1"/>
      <c r="D3747" s="1"/>
      <c r="E3747" s="1"/>
      <c r="F3747" s="1"/>
      <c r="G3747" s="1"/>
      <c r="H3747" s="1"/>
      <c r="I3747" s="1"/>
      <c r="J3747" s="1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  <c r="BA3747" s="2"/>
      <c r="BB3747" s="2"/>
      <c r="BC3747" s="2"/>
      <c r="BD3747" s="2"/>
      <c r="BE3747" s="2"/>
      <c r="BF3747" s="2"/>
      <c r="BG3747" s="2"/>
      <c r="BH3747" s="2"/>
      <c r="BI3747" s="2"/>
      <c r="BJ3747" s="2"/>
      <c r="BK3747" s="2"/>
      <c r="BL3747" s="2"/>
      <c r="BM3747" s="2"/>
      <c r="BN3747" s="2"/>
      <c r="BO3747" s="2"/>
      <c r="BP3747" s="2"/>
      <c r="BQ3747" s="2"/>
      <c r="BR3747" s="2"/>
      <c r="BS3747" s="2"/>
      <c r="BT3747" s="2"/>
      <c r="BU3747" s="2"/>
    </row>
    <row r="3748" spans="2:73" s="38" customFormat="1">
      <c r="B3748" s="1"/>
      <c r="C3748" s="1"/>
      <c r="D3748" s="1"/>
      <c r="E3748" s="1"/>
      <c r="F3748" s="1"/>
      <c r="G3748" s="1"/>
      <c r="H3748" s="1"/>
      <c r="I3748" s="1"/>
      <c r="J3748" s="1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/>
      <c r="AZ3748" s="2"/>
      <c r="BA3748" s="2"/>
      <c r="BB3748" s="2"/>
      <c r="BC3748" s="2"/>
      <c r="BD3748" s="2"/>
      <c r="BE3748" s="2"/>
      <c r="BF3748" s="2"/>
      <c r="BG3748" s="2"/>
      <c r="BH3748" s="2"/>
      <c r="BI3748" s="2"/>
      <c r="BJ3748" s="2"/>
      <c r="BK3748" s="2"/>
      <c r="BL3748" s="2"/>
      <c r="BM3748" s="2"/>
      <c r="BN3748" s="2"/>
      <c r="BO3748" s="2"/>
      <c r="BP3748" s="2"/>
      <c r="BQ3748" s="2"/>
      <c r="BR3748" s="2"/>
      <c r="BS3748" s="2"/>
      <c r="BT3748" s="2"/>
      <c r="BU3748" s="2"/>
    </row>
    <row r="3749" spans="2:73" s="38" customFormat="1">
      <c r="B3749" s="1"/>
      <c r="C3749" s="1"/>
      <c r="D3749" s="1"/>
      <c r="E3749" s="1"/>
      <c r="F3749" s="1"/>
      <c r="G3749" s="1"/>
      <c r="H3749" s="1"/>
      <c r="I3749" s="1"/>
      <c r="J3749" s="1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  <c r="AZ3749" s="2"/>
      <c r="BA3749" s="2"/>
      <c r="BB3749" s="2"/>
      <c r="BC3749" s="2"/>
      <c r="BD3749" s="2"/>
      <c r="BE3749" s="2"/>
      <c r="BF3749" s="2"/>
      <c r="BG3749" s="2"/>
      <c r="BH3749" s="2"/>
      <c r="BI3749" s="2"/>
      <c r="BJ3749" s="2"/>
      <c r="BK3749" s="2"/>
      <c r="BL3749" s="2"/>
      <c r="BM3749" s="2"/>
      <c r="BN3749" s="2"/>
      <c r="BO3749" s="2"/>
      <c r="BP3749" s="2"/>
      <c r="BQ3749" s="2"/>
      <c r="BR3749" s="2"/>
      <c r="BS3749" s="2"/>
      <c r="BT3749" s="2"/>
      <c r="BU3749" s="2"/>
    </row>
    <row r="3750" spans="2:73" s="38" customFormat="1">
      <c r="B3750" s="1"/>
      <c r="C3750" s="1"/>
      <c r="D3750" s="1"/>
      <c r="E3750" s="1"/>
      <c r="F3750" s="1"/>
      <c r="G3750" s="1"/>
      <c r="H3750" s="1"/>
      <c r="I3750" s="1"/>
      <c r="J3750" s="1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  <c r="AZ3750" s="2"/>
      <c r="BA3750" s="2"/>
      <c r="BB3750" s="2"/>
      <c r="BC3750" s="2"/>
      <c r="BD3750" s="2"/>
      <c r="BE3750" s="2"/>
      <c r="BF3750" s="2"/>
      <c r="BG3750" s="2"/>
      <c r="BH3750" s="2"/>
      <c r="BI3750" s="2"/>
      <c r="BJ3750" s="2"/>
      <c r="BK3750" s="2"/>
      <c r="BL3750" s="2"/>
      <c r="BM3750" s="2"/>
      <c r="BN3750" s="2"/>
      <c r="BO3750" s="2"/>
      <c r="BP3750" s="2"/>
      <c r="BQ3750" s="2"/>
      <c r="BR3750" s="2"/>
      <c r="BS3750" s="2"/>
      <c r="BT3750" s="2"/>
      <c r="BU3750" s="2"/>
    </row>
    <row r="3751" spans="2:73" s="38" customFormat="1">
      <c r="B3751" s="1"/>
      <c r="C3751" s="1"/>
      <c r="D3751" s="1"/>
      <c r="E3751" s="1"/>
      <c r="F3751" s="1"/>
      <c r="G3751" s="1"/>
      <c r="H3751" s="1"/>
      <c r="I3751" s="1"/>
      <c r="J3751" s="1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/>
      <c r="AZ3751" s="2"/>
      <c r="BA3751" s="2"/>
      <c r="BB3751" s="2"/>
      <c r="BC3751" s="2"/>
      <c r="BD3751" s="2"/>
      <c r="BE3751" s="2"/>
      <c r="BF3751" s="2"/>
      <c r="BG3751" s="2"/>
      <c r="BH3751" s="2"/>
      <c r="BI3751" s="2"/>
      <c r="BJ3751" s="2"/>
      <c r="BK3751" s="2"/>
      <c r="BL3751" s="2"/>
      <c r="BM3751" s="2"/>
      <c r="BN3751" s="2"/>
      <c r="BO3751" s="2"/>
      <c r="BP3751" s="2"/>
      <c r="BQ3751" s="2"/>
      <c r="BR3751" s="2"/>
      <c r="BS3751" s="2"/>
      <c r="BT3751" s="2"/>
      <c r="BU3751" s="2"/>
    </row>
    <row r="3752" spans="2:73" s="38" customFormat="1">
      <c r="B3752" s="1"/>
      <c r="C3752" s="1"/>
      <c r="D3752" s="1"/>
      <c r="E3752" s="1"/>
      <c r="F3752" s="1"/>
      <c r="G3752" s="1"/>
      <c r="H3752" s="1"/>
      <c r="I3752" s="1"/>
      <c r="J3752" s="1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Y3752" s="2"/>
      <c r="AZ3752" s="2"/>
      <c r="BA3752" s="2"/>
      <c r="BB3752" s="2"/>
      <c r="BC3752" s="2"/>
      <c r="BD3752" s="2"/>
      <c r="BE3752" s="2"/>
      <c r="BF3752" s="2"/>
      <c r="BG3752" s="2"/>
      <c r="BH3752" s="2"/>
      <c r="BI3752" s="2"/>
      <c r="BJ3752" s="2"/>
      <c r="BK3752" s="2"/>
      <c r="BL3752" s="2"/>
      <c r="BM3752" s="2"/>
      <c r="BN3752" s="2"/>
      <c r="BO3752" s="2"/>
      <c r="BP3752" s="2"/>
      <c r="BQ3752" s="2"/>
      <c r="BR3752" s="2"/>
      <c r="BS3752" s="2"/>
      <c r="BT3752" s="2"/>
      <c r="BU3752" s="2"/>
    </row>
    <row r="3753" spans="2:73" s="38" customFormat="1">
      <c r="B3753" s="1"/>
      <c r="C3753" s="1"/>
      <c r="D3753" s="1"/>
      <c r="E3753" s="1"/>
      <c r="F3753" s="1"/>
      <c r="G3753" s="1"/>
      <c r="H3753" s="1"/>
      <c r="I3753" s="1"/>
      <c r="J3753" s="1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Y3753" s="2"/>
      <c r="AZ3753" s="2"/>
      <c r="BA3753" s="2"/>
      <c r="BB3753" s="2"/>
      <c r="BC3753" s="2"/>
      <c r="BD3753" s="2"/>
      <c r="BE3753" s="2"/>
      <c r="BF3753" s="2"/>
      <c r="BG3753" s="2"/>
      <c r="BH3753" s="2"/>
      <c r="BI3753" s="2"/>
      <c r="BJ3753" s="2"/>
      <c r="BK3753" s="2"/>
      <c r="BL3753" s="2"/>
      <c r="BM3753" s="2"/>
      <c r="BN3753" s="2"/>
      <c r="BO3753" s="2"/>
      <c r="BP3753" s="2"/>
      <c r="BQ3753" s="2"/>
      <c r="BR3753" s="2"/>
      <c r="BS3753" s="2"/>
      <c r="BT3753" s="2"/>
      <c r="BU3753" s="2"/>
    </row>
    <row r="3754" spans="2:73" s="38" customFormat="1">
      <c r="B3754" s="1"/>
      <c r="C3754" s="1"/>
      <c r="D3754" s="1"/>
      <c r="E3754" s="1"/>
      <c r="F3754" s="1"/>
      <c r="G3754" s="1"/>
      <c r="H3754" s="1"/>
      <c r="I3754" s="1"/>
      <c r="J3754" s="1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/>
      <c r="AZ3754" s="2"/>
      <c r="BA3754" s="2"/>
      <c r="BB3754" s="2"/>
      <c r="BC3754" s="2"/>
      <c r="BD3754" s="2"/>
      <c r="BE3754" s="2"/>
      <c r="BF3754" s="2"/>
      <c r="BG3754" s="2"/>
      <c r="BH3754" s="2"/>
      <c r="BI3754" s="2"/>
      <c r="BJ3754" s="2"/>
      <c r="BK3754" s="2"/>
      <c r="BL3754" s="2"/>
      <c r="BM3754" s="2"/>
      <c r="BN3754" s="2"/>
      <c r="BO3754" s="2"/>
      <c r="BP3754" s="2"/>
      <c r="BQ3754" s="2"/>
      <c r="BR3754" s="2"/>
      <c r="BS3754" s="2"/>
      <c r="BT3754" s="2"/>
      <c r="BU3754" s="2"/>
    </row>
    <row r="3755" spans="2:73" s="38" customFormat="1">
      <c r="B3755" s="1"/>
      <c r="C3755" s="1"/>
      <c r="D3755" s="1"/>
      <c r="E3755" s="1"/>
      <c r="F3755" s="1"/>
      <c r="G3755" s="1"/>
      <c r="H3755" s="1"/>
      <c r="I3755" s="1"/>
      <c r="J3755" s="1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  <c r="AZ3755" s="2"/>
      <c r="BA3755" s="2"/>
      <c r="BB3755" s="2"/>
      <c r="BC3755" s="2"/>
      <c r="BD3755" s="2"/>
      <c r="BE3755" s="2"/>
      <c r="BF3755" s="2"/>
      <c r="BG3755" s="2"/>
      <c r="BH3755" s="2"/>
      <c r="BI3755" s="2"/>
      <c r="BJ3755" s="2"/>
      <c r="BK3755" s="2"/>
      <c r="BL3755" s="2"/>
      <c r="BM3755" s="2"/>
      <c r="BN3755" s="2"/>
      <c r="BO3755" s="2"/>
      <c r="BP3755" s="2"/>
      <c r="BQ3755" s="2"/>
      <c r="BR3755" s="2"/>
      <c r="BS3755" s="2"/>
      <c r="BT3755" s="2"/>
      <c r="BU3755" s="2"/>
    </row>
    <row r="3756" spans="2:73" s="38" customFormat="1">
      <c r="B3756" s="1"/>
      <c r="C3756" s="1"/>
      <c r="D3756" s="1"/>
      <c r="E3756" s="1"/>
      <c r="F3756" s="1"/>
      <c r="G3756" s="1"/>
      <c r="H3756" s="1"/>
      <c r="I3756" s="1"/>
      <c r="J3756" s="1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Y3756" s="2"/>
      <c r="AZ3756" s="2"/>
      <c r="BA3756" s="2"/>
      <c r="BB3756" s="2"/>
      <c r="BC3756" s="2"/>
      <c r="BD3756" s="2"/>
      <c r="BE3756" s="2"/>
      <c r="BF3756" s="2"/>
      <c r="BG3756" s="2"/>
      <c r="BH3756" s="2"/>
      <c r="BI3756" s="2"/>
      <c r="BJ3756" s="2"/>
      <c r="BK3756" s="2"/>
      <c r="BL3756" s="2"/>
      <c r="BM3756" s="2"/>
      <c r="BN3756" s="2"/>
      <c r="BO3756" s="2"/>
      <c r="BP3756" s="2"/>
      <c r="BQ3756" s="2"/>
      <c r="BR3756" s="2"/>
      <c r="BS3756" s="2"/>
      <c r="BT3756" s="2"/>
      <c r="BU3756" s="2"/>
    </row>
    <row r="3757" spans="2:73" s="38" customFormat="1">
      <c r="B3757" s="1"/>
      <c r="C3757" s="1"/>
      <c r="D3757" s="1"/>
      <c r="E3757" s="1"/>
      <c r="F3757" s="1"/>
      <c r="G3757" s="1"/>
      <c r="H3757" s="1"/>
      <c r="I3757" s="1"/>
      <c r="J3757" s="1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  <c r="AZ3757" s="2"/>
      <c r="BA3757" s="2"/>
      <c r="BB3757" s="2"/>
      <c r="BC3757" s="2"/>
      <c r="BD3757" s="2"/>
      <c r="BE3757" s="2"/>
      <c r="BF3757" s="2"/>
      <c r="BG3757" s="2"/>
      <c r="BH3757" s="2"/>
      <c r="BI3757" s="2"/>
      <c r="BJ3757" s="2"/>
      <c r="BK3757" s="2"/>
      <c r="BL3757" s="2"/>
      <c r="BM3757" s="2"/>
      <c r="BN3757" s="2"/>
      <c r="BO3757" s="2"/>
      <c r="BP3757" s="2"/>
      <c r="BQ3757" s="2"/>
      <c r="BR3757" s="2"/>
      <c r="BS3757" s="2"/>
      <c r="BT3757" s="2"/>
      <c r="BU3757" s="2"/>
    </row>
    <row r="3758" spans="2:73" s="38" customFormat="1">
      <c r="B3758" s="1"/>
      <c r="C3758" s="1"/>
      <c r="D3758" s="1"/>
      <c r="E3758" s="1"/>
      <c r="F3758" s="1"/>
      <c r="G3758" s="1"/>
      <c r="H3758" s="1"/>
      <c r="I3758" s="1"/>
      <c r="J3758" s="1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/>
      <c r="AZ3758" s="2"/>
      <c r="BA3758" s="2"/>
      <c r="BB3758" s="2"/>
      <c r="BC3758" s="2"/>
      <c r="BD3758" s="2"/>
      <c r="BE3758" s="2"/>
      <c r="BF3758" s="2"/>
      <c r="BG3758" s="2"/>
      <c r="BH3758" s="2"/>
      <c r="BI3758" s="2"/>
      <c r="BJ3758" s="2"/>
      <c r="BK3758" s="2"/>
      <c r="BL3758" s="2"/>
      <c r="BM3758" s="2"/>
      <c r="BN3758" s="2"/>
      <c r="BO3758" s="2"/>
      <c r="BP3758" s="2"/>
      <c r="BQ3758" s="2"/>
      <c r="BR3758" s="2"/>
      <c r="BS3758" s="2"/>
      <c r="BT3758" s="2"/>
      <c r="BU3758" s="2"/>
    </row>
    <row r="3759" spans="2:73" s="38" customFormat="1">
      <c r="B3759" s="1"/>
      <c r="C3759" s="1"/>
      <c r="D3759" s="1"/>
      <c r="E3759" s="1"/>
      <c r="F3759" s="1"/>
      <c r="G3759" s="1"/>
      <c r="H3759" s="1"/>
      <c r="I3759" s="1"/>
      <c r="J3759" s="1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/>
      <c r="AZ3759" s="2"/>
      <c r="BA3759" s="2"/>
      <c r="BB3759" s="2"/>
      <c r="BC3759" s="2"/>
      <c r="BD3759" s="2"/>
      <c r="BE3759" s="2"/>
      <c r="BF3759" s="2"/>
      <c r="BG3759" s="2"/>
      <c r="BH3759" s="2"/>
      <c r="BI3759" s="2"/>
      <c r="BJ3759" s="2"/>
      <c r="BK3759" s="2"/>
      <c r="BL3759" s="2"/>
      <c r="BM3759" s="2"/>
      <c r="BN3759" s="2"/>
      <c r="BO3759" s="2"/>
      <c r="BP3759" s="2"/>
      <c r="BQ3759" s="2"/>
      <c r="BR3759" s="2"/>
      <c r="BS3759" s="2"/>
      <c r="BT3759" s="2"/>
      <c r="BU3759" s="2"/>
    </row>
    <row r="3760" spans="2:73" s="38" customFormat="1">
      <c r="B3760" s="1"/>
      <c r="C3760" s="1"/>
      <c r="D3760" s="1"/>
      <c r="E3760" s="1"/>
      <c r="F3760" s="1"/>
      <c r="G3760" s="1"/>
      <c r="H3760" s="1"/>
      <c r="I3760" s="1"/>
      <c r="J3760" s="1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  <c r="AZ3760" s="2"/>
      <c r="BA3760" s="2"/>
      <c r="BB3760" s="2"/>
      <c r="BC3760" s="2"/>
      <c r="BD3760" s="2"/>
      <c r="BE3760" s="2"/>
      <c r="BF3760" s="2"/>
      <c r="BG3760" s="2"/>
      <c r="BH3760" s="2"/>
      <c r="BI3760" s="2"/>
      <c r="BJ3760" s="2"/>
      <c r="BK3760" s="2"/>
      <c r="BL3760" s="2"/>
      <c r="BM3760" s="2"/>
      <c r="BN3760" s="2"/>
      <c r="BO3760" s="2"/>
      <c r="BP3760" s="2"/>
      <c r="BQ3760" s="2"/>
      <c r="BR3760" s="2"/>
      <c r="BS3760" s="2"/>
      <c r="BT3760" s="2"/>
      <c r="BU3760" s="2"/>
    </row>
    <row r="3761" spans="2:73" s="38" customFormat="1">
      <c r="B3761" s="1"/>
      <c r="C3761" s="1"/>
      <c r="D3761" s="1"/>
      <c r="E3761" s="1"/>
      <c r="F3761" s="1"/>
      <c r="G3761" s="1"/>
      <c r="H3761" s="1"/>
      <c r="I3761" s="1"/>
      <c r="J3761" s="1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  <c r="BA3761" s="2"/>
      <c r="BB3761" s="2"/>
      <c r="BC3761" s="2"/>
      <c r="BD3761" s="2"/>
      <c r="BE3761" s="2"/>
      <c r="BF3761" s="2"/>
      <c r="BG3761" s="2"/>
      <c r="BH3761" s="2"/>
      <c r="BI3761" s="2"/>
      <c r="BJ3761" s="2"/>
      <c r="BK3761" s="2"/>
      <c r="BL3761" s="2"/>
      <c r="BM3761" s="2"/>
      <c r="BN3761" s="2"/>
      <c r="BO3761" s="2"/>
      <c r="BP3761" s="2"/>
      <c r="BQ3761" s="2"/>
      <c r="BR3761" s="2"/>
      <c r="BS3761" s="2"/>
      <c r="BT3761" s="2"/>
      <c r="BU3761" s="2"/>
    </row>
    <row r="3762" spans="2:73" s="38" customFormat="1">
      <c r="B3762" s="1"/>
      <c r="C3762" s="1"/>
      <c r="D3762" s="1"/>
      <c r="E3762" s="1"/>
      <c r="F3762" s="1"/>
      <c r="G3762" s="1"/>
      <c r="H3762" s="1"/>
      <c r="I3762" s="1"/>
      <c r="J3762" s="1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  <c r="AZ3762" s="2"/>
      <c r="BA3762" s="2"/>
      <c r="BB3762" s="2"/>
      <c r="BC3762" s="2"/>
      <c r="BD3762" s="2"/>
      <c r="BE3762" s="2"/>
      <c r="BF3762" s="2"/>
      <c r="BG3762" s="2"/>
      <c r="BH3762" s="2"/>
      <c r="BI3762" s="2"/>
      <c r="BJ3762" s="2"/>
      <c r="BK3762" s="2"/>
      <c r="BL3762" s="2"/>
      <c r="BM3762" s="2"/>
      <c r="BN3762" s="2"/>
      <c r="BO3762" s="2"/>
      <c r="BP3762" s="2"/>
      <c r="BQ3762" s="2"/>
      <c r="BR3762" s="2"/>
      <c r="BS3762" s="2"/>
      <c r="BT3762" s="2"/>
      <c r="BU3762" s="2"/>
    </row>
    <row r="3763" spans="2:73" s="38" customFormat="1">
      <c r="B3763" s="1"/>
      <c r="C3763" s="1"/>
      <c r="D3763" s="1"/>
      <c r="E3763" s="1"/>
      <c r="F3763" s="1"/>
      <c r="G3763" s="1"/>
      <c r="H3763" s="1"/>
      <c r="I3763" s="1"/>
      <c r="J3763" s="1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  <c r="AZ3763" s="2"/>
      <c r="BA3763" s="2"/>
      <c r="BB3763" s="2"/>
      <c r="BC3763" s="2"/>
      <c r="BD3763" s="2"/>
      <c r="BE3763" s="2"/>
      <c r="BF3763" s="2"/>
      <c r="BG3763" s="2"/>
      <c r="BH3763" s="2"/>
      <c r="BI3763" s="2"/>
      <c r="BJ3763" s="2"/>
      <c r="BK3763" s="2"/>
      <c r="BL3763" s="2"/>
      <c r="BM3763" s="2"/>
      <c r="BN3763" s="2"/>
      <c r="BO3763" s="2"/>
      <c r="BP3763" s="2"/>
      <c r="BQ3763" s="2"/>
      <c r="BR3763" s="2"/>
      <c r="BS3763" s="2"/>
      <c r="BT3763" s="2"/>
      <c r="BU3763" s="2"/>
    </row>
    <row r="3764" spans="2:73" s="38" customFormat="1">
      <c r="B3764" s="1"/>
      <c r="C3764" s="1"/>
      <c r="D3764" s="1"/>
      <c r="E3764" s="1"/>
      <c r="F3764" s="1"/>
      <c r="G3764" s="1"/>
      <c r="H3764" s="1"/>
      <c r="I3764" s="1"/>
      <c r="J3764" s="1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  <c r="AZ3764" s="2"/>
      <c r="BA3764" s="2"/>
      <c r="BB3764" s="2"/>
      <c r="BC3764" s="2"/>
      <c r="BD3764" s="2"/>
      <c r="BE3764" s="2"/>
      <c r="BF3764" s="2"/>
      <c r="BG3764" s="2"/>
      <c r="BH3764" s="2"/>
      <c r="BI3764" s="2"/>
      <c r="BJ3764" s="2"/>
      <c r="BK3764" s="2"/>
      <c r="BL3764" s="2"/>
      <c r="BM3764" s="2"/>
      <c r="BN3764" s="2"/>
      <c r="BO3764" s="2"/>
      <c r="BP3764" s="2"/>
      <c r="BQ3764" s="2"/>
      <c r="BR3764" s="2"/>
      <c r="BS3764" s="2"/>
      <c r="BT3764" s="2"/>
      <c r="BU3764" s="2"/>
    </row>
    <row r="3765" spans="2:73" s="38" customFormat="1">
      <c r="B3765" s="1"/>
      <c r="C3765" s="1"/>
      <c r="D3765" s="1"/>
      <c r="E3765" s="1"/>
      <c r="F3765" s="1"/>
      <c r="G3765" s="1"/>
      <c r="H3765" s="1"/>
      <c r="I3765" s="1"/>
      <c r="J3765" s="1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/>
      <c r="AX3765" s="2"/>
      <c r="AY3765" s="2"/>
      <c r="AZ3765" s="2"/>
      <c r="BA3765" s="2"/>
      <c r="BB3765" s="2"/>
      <c r="BC3765" s="2"/>
      <c r="BD3765" s="2"/>
      <c r="BE3765" s="2"/>
      <c r="BF3765" s="2"/>
      <c r="BG3765" s="2"/>
      <c r="BH3765" s="2"/>
      <c r="BI3765" s="2"/>
      <c r="BJ3765" s="2"/>
      <c r="BK3765" s="2"/>
      <c r="BL3765" s="2"/>
      <c r="BM3765" s="2"/>
      <c r="BN3765" s="2"/>
      <c r="BO3765" s="2"/>
      <c r="BP3765" s="2"/>
      <c r="BQ3765" s="2"/>
      <c r="BR3765" s="2"/>
      <c r="BS3765" s="2"/>
      <c r="BT3765" s="2"/>
      <c r="BU3765" s="2"/>
    </row>
    <row r="3766" spans="2:73" s="38" customFormat="1">
      <c r="B3766" s="1"/>
      <c r="C3766" s="1"/>
      <c r="D3766" s="1"/>
      <c r="E3766" s="1"/>
      <c r="F3766" s="1"/>
      <c r="G3766" s="1"/>
      <c r="H3766" s="1"/>
      <c r="I3766" s="1"/>
      <c r="J3766" s="1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/>
      <c r="AZ3766" s="2"/>
      <c r="BA3766" s="2"/>
      <c r="BB3766" s="2"/>
      <c r="BC3766" s="2"/>
      <c r="BD3766" s="2"/>
      <c r="BE3766" s="2"/>
      <c r="BF3766" s="2"/>
      <c r="BG3766" s="2"/>
      <c r="BH3766" s="2"/>
      <c r="BI3766" s="2"/>
      <c r="BJ3766" s="2"/>
      <c r="BK3766" s="2"/>
      <c r="BL3766" s="2"/>
      <c r="BM3766" s="2"/>
      <c r="BN3766" s="2"/>
      <c r="BO3766" s="2"/>
      <c r="BP3766" s="2"/>
      <c r="BQ3766" s="2"/>
      <c r="BR3766" s="2"/>
      <c r="BS3766" s="2"/>
      <c r="BT3766" s="2"/>
      <c r="BU3766" s="2"/>
    </row>
    <row r="3767" spans="2:73" s="38" customFormat="1">
      <c r="B3767" s="1"/>
      <c r="C3767" s="1"/>
      <c r="D3767" s="1"/>
      <c r="E3767" s="1"/>
      <c r="F3767" s="1"/>
      <c r="G3767" s="1"/>
      <c r="H3767" s="1"/>
      <c r="I3767" s="1"/>
      <c r="J3767" s="1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  <c r="AZ3767" s="2"/>
      <c r="BA3767" s="2"/>
      <c r="BB3767" s="2"/>
      <c r="BC3767" s="2"/>
      <c r="BD3767" s="2"/>
      <c r="BE3767" s="2"/>
      <c r="BF3767" s="2"/>
      <c r="BG3767" s="2"/>
      <c r="BH3767" s="2"/>
      <c r="BI3767" s="2"/>
      <c r="BJ3767" s="2"/>
      <c r="BK3767" s="2"/>
      <c r="BL3767" s="2"/>
      <c r="BM3767" s="2"/>
      <c r="BN3767" s="2"/>
      <c r="BO3767" s="2"/>
      <c r="BP3767" s="2"/>
      <c r="BQ3767" s="2"/>
      <c r="BR3767" s="2"/>
      <c r="BS3767" s="2"/>
      <c r="BT3767" s="2"/>
      <c r="BU3767" s="2"/>
    </row>
    <row r="3768" spans="2:73" s="38" customFormat="1">
      <c r="B3768" s="1"/>
      <c r="C3768" s="1"/>
      <c r="D3768" s="1"/>
      <c r="E3768" s="1"/>
      <c r="F3768" s="1"/>
      <c r="G3768" s="1"/>
      <c r="H3768" s="1"/>
      <c r="I3768" s="1"/>
      <c r="J3768" s="1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2"/>
      <c r="BA3768" s="2"/>
      <c r="BB3768" s="2"/>
      <c r="BC3768" s="2"/>
      <c r="BD3768" s="2"/>
      <c r="BE3768" s="2"/>
      <c r="BF3768" s="2"/>
      <c r="BG3768" s="2"/>
      <c r="BH3768" s="2"/>
      <c r="BI3768" s="2"/>
      <c r="BJ3768" s="2"/>
      <c r="BK3768" s="2"/>
      <c r="BL3768" s="2"/>
      <c r="BM3768" s="2"/>
      <c r="BN3768" s="2"/>
      <c r="BO3768" s="2"/>
      <c r="BP3768" s="2"/>
      <c r="BQ3768" s="2"/>
      <c r="BR3768" s="2"/>
      <c r="BS3768" s="2"/>
      <c r="BT3768" s="2"/>
      <c r="BU3768" s="2"/>
    </row>
    <row r="3769" spans="2:73" s="38" customFormat="1">
      <c r="B3769" s="1"/>
      <c r="C3769" s="1"/>
      <c r="D3769" s="1"/>
      <c r="E3769" s="1"/>
      <c r="F3769" s="1"/>
      <c r="G3769" s="1"/>
      <c r="H3769" s="1"/>
      <c r="I3769" s="1"/>
      <c r="J3769" s="1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  <c r="BA3769" s="2"/>
      <c r="BB3769" s="2"/>
      <c r="BC3769" s="2"/>
      <c r="BD3769" s="2"/>
      <c r="BE3769" s="2"/>
      <c r="BF3769" s="2"/>
      <c r="BG3769" s="2"/>
      <c r="BH3769" s="2"/>
      <c r="BI3769" s="2"/>
      <c r="BJ3769" s="2"/>
      <c r="BK3769" s="2"/>
      <c r="BL3769" s="2"/>
      <c r="BM3769" s="2"/>
      <c r="BN3769" s="2"/>
      <c r="BO3769" s="2"/>
      <c r="BP3769" s="2"/>
      <c r="BQ3769" s="2"/>
      <c r="BR3769" s="2"/>
      <c r="BS3769" s="2"/>
      <c r="BT3769" s="2"/>
      <c r="BU3769" s="2"/>
    </row>
    <row r="3770" spans="2:73" s="38" customFormat="1">
      <c r="B3770" s="1"/>
      <c r="C3770" s="1"/>
      <c r="D3770" s="1"/>
      <c r="E3770" s="1"/>
      <c r="F3770" s="1"/>
      <c r="G3770" s="1"/>
      <c r="H3770" s="1"/>
      <c r="I3770" s="1"/>
      <c r="J3770" s="1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2"/>
      <c r="BA3770" s="2"/>
      <c r="BB3770" s="2"/>
      <c r="BC3770" s="2"/>
      <c r="BD3770" s="2"/>
      <c r="BE3770" s="2"/>
      <c r="BF3770" s="2"/>
      <c r="BG3770" s="2"/>
      <c r="BH3770" s="2"/>
      <c r="BI3770" s="2"/>
      <c r="BJ3770" s="2"/>
      <c r="BK3770" s="2"/>
      <c r="BL3770" s="2"/>
      <c r="BM3770" s="2"/>
      <c r="BN3770" s="2"/>
      <c r="BO3770" s="2"/>
      <c r="BP3770" s="2"/>
      <c r="BQ3770" s="2"/>
      <c r="BR3770" s="2"/>
      <c r="BS3770" s="2"/>
      <c r="BT3770" s="2"/>
      <c r="BU3770" s="2"/>
    </row>
    <row r="3771" spans="2:73" s="38" customFormat="1">
      <c r="B3771" s="1"/>
      <c r="C3771" s="1"/>
      <c r="D3771" s="1"/>
      <c r="E3771" s="1"/>
      <c r="F3771" s="1"/>
      <c r="G3771" s="1"/>
      <c r="H3771" s="1"/>
      <c r="I3771" s="1"/>
      <c r="J3771" s="1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2"/>
      <c r="BA3771" s="2"/>
      <c r="BB3771" s="2"/>
      <c r="BC3771" s="2"/>
      <c r="BD3771" s="2"/>
      <c r="BE3771" s="2"/>
      <c r="BF3771" s="2"/>
      <c r="BG3771" s="2"/>
      <c r="BH3771" s="2"/>
      <c r="BI3771" s="2"/>
      <c r="BJ3771" s="2"/>
      <c r="BK3771" s="2"/>
      <c r="BL3771" s="2"/>
      <c r="BM3771" s="2"/>
      <c r="BN3771" s="2"/>
      <c r="BO3771" s="2"/>
      <c r="BP3771" s="2"/>
      <c r="BQ3771" s="2"/>
      <c r="BR3771" s="2"/>
      <c r="BS3771" s="2"/>
      <c r="BT3771" s="2"/>
      <c r="BU3771" s="2"/>
    </row>
    <row r="3772" spans="2:73" s="38" customFormat="1">
      <c r="B3772" s="1"/>
      <c r="C3772" s="1"/>
      <c r="D3772" s="1"/>
      <c r="E3772" s="1"/>
      <c r="F3772" s="1"/>
      <c r="G3772" s="1"/>
      <c r="H3772" s="1"/>
      <c r="I3772" s="1"/>
      <c r="J3772" s="1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2"/>
      <c r="BA3772" s="2"/>
      <c r="BB3772" s="2"/>
      <c r="BC3772" s="2"/>
      <c r="BD3772" s="2"/>
      <c r="BE3772" s="2"/>
      <c r="BF3772" s="2"/>
      <c r="BG3772" s="2"/>
      <c r="BH3772" s="2"/>
      <c r="BI3772" s="2"/>
      <c r="BJ3772" s="2"/>
      <c r="BK3772" s="2"/>
      <c r="BL3772" s="2"/>
      <c r="BM3772" s="2"/>
      <c r="BN3772" s="2"/>
      <c r="BO3772" s="2"/>
      <c r="BP3772" s="2"/>
      <c r="BQ3772" s="2"/>
      <c r="BR3772" s="2"/>
      <c r="BS3772" s="2"/>
      <c r="BT3772" s="2"/>
      <c r="BU3772" s="2"/>
    </row>
    <row r="3773" spans="2:73" s="38" customFormat="1">
      <c r="B3773" s="1"/>
      <c r="C3773" s="1"/>
      <c r="D3773" s="1"/>
      <c r="E3773" s="1"/>
      <c r="F3773" s="1"/>
      <c r="G3773" s="1"/>
      <c r="H3773" s="1"/>
      <c r="I3773" s="1"/>
      <c r="J3773" s="1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/>
      <c r="AZ3773" s="2"/>
      <c r="BA3773" s="2"/>
      <c r="BB3773" s="2"/>
      <c r="BC3773" s="2"/>
      <c r="BD3773" s="2"/>
      <c r="BE3773" s="2"/>
      <c r="BF3773" s="2"/>
      <c r="BG3773" s="2"/>
      <c r="BH3773" s="2"/>
      <c r="BI3773" s="2"/>
      <c r="BJ3773" s="2"/>
      <c r="BK3773" s="2"/>
      <c r="BL3773" s="2"/>
      <c r="BM3773" s="2"/>
      <c r="BN3773" s="2"/>
      <c r="BO3773" s="2"/>
      <c r="BP3773" s="2"/>
      <c r="BQ3773" s="2"/>
      <c r="BR3773" s="2"/>
      <c r="BS3773" s="2"/>
      <c r="BT3773" s="2"/>
      <c r="BU3773" s="2"/>
    </row>
    <row r="3774" spans="2:73" s="38" customFormat="1">
      <c r="B3774" s="1"/>
      <c r="C3774" s="1"/>
      <c r="D3774" s="1"/>
      <c r="E3774" s="1"/>
      <c r="F3774" s="1"/>
      <c r="G3774" s="1"/>
      <c r="H3774" s="1"/>
      <c r="I3774" s="1"/>
      <c r="J3774" s="1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  <c r="AZ3774" s="2"/>
      <c r="BA3774" s="2"/>
      <c r="BB3774" s="2"/>
      <c r="BC3774" s="2"/>
      <c r="BD3774" s="2"/>
      <c r="BE3774" s="2"/>
      <c r="BF3774" s="2"/>
      <c r="BG3774" s="2"/>
      <c r="BH3774" s="2"/>
      <c r="BI3774" s="2"/>
      <c r="BJ3774" s="2"/>
      <c r="BK3774" s="2"/>
      <c r="BL3774" s="2"/>
      <c r="BM3774" s="2"/>
      <c r="BN3774" s="2"/>
      <c r="BO3774" s="2"/>
      <c r="BP3774" s="2"/>
      <c r="BQ3774" s="2"/>
      <c r="BR3774" s="2"/>
      <c r="BS3774" s="2"/>
      <c r="BT3774" s="2"/>
      <c r="BU3774" s="2"/>
    </row>
    <row r="3775" spans="2:73" s="38" customFormat="1">
      <c r="B3775" s="1"/>
      <c r="C3775" s="1"/>
      <c r="D3775" s="1"/>
      <c r="E3775" s="1"/>
      <c r="F3775" s="1"/>
      <c r="G3775" s="1"/>
      <c r="H3775" s="1"/>
      <c r="I3775" s="1"/>
      <c r="J3775" s="1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2"/>
      <c r="BA3775" s="2"/>
      <c r="BB3775" s="2"/>
      <c r="BC3775" s="2"/>
      <c r="BD3775" s="2"/>
      <c r="BE3775" s="2"/>
      <c r="BF3775" s="2"/>
      <c r="BG3775" s="2"/>
      <c r="BH3775" s="2"/>
      <c r="BI3775" s="2"/>
      <c r="BJ3775" s="2"/>
      <c r="BK3775" s="2"/>
      <c r="BL3775" s="2"/>
      <c r="BM3775" s="2"/>
      <c r="BN3775" s="2"/>
      <c r="BO3775" s="2"/>
      <c r="BP3775" s="2"/>
      <c r="BQ3775" s="2"/>
      <c r="BR3775" s="2"/>
      <c r="BS3775" s="2"/>
      <c r="BT3775" s="2"/>
      <c r="BU3775" s="2"/>
    </row>
    <row r="3776" spans="2:73" s="38" customFormat="1">
      <c r="B3776" s="1"/>
      <c r="C3776" s="1"/>
      <c r="D3776" s="1"/>
      <c r="E3776" s="1"/>
      <c r="F3776" s="1"/>
      <c r="G3776" s="1"/>
      <c r="H3776" s="1"/>
      <c r="I3776" s="1"/>
      <c r="J3776" s="1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  <c r="BA3776" s="2"/>
      <c r="BB3776" s="2"/>
      <c r="BC3776" s="2"/>
      <c r="BD3776" s="2"/>
      <c r="BE3776" s="2"/>
      <c r="BF3776" s="2"/>
      <c r="BG3776" s="2"/>
      <c r="BH3776" s="2"/>
      <c r="BI3776" s="2"/>
      <c r="BJ3776" s="2"/>
      <c r="BK3776" s="2"/>
      <c r="BL3776" s="2"/>
      <c r="BM3776" s="2"/>
      <c r="BN3776" s="2"/>
      <c r="BO3776" s="2"/>
      <c r="BP3776" s="2"/>
      <c r="BQ3776" s="2"/>
      <c r="BR3776" s="2"/>
      <c r="BS3776" s="2"/>
      <c r="BT3776" s="2"/>
      <c r="BU3776" s="2"/>
    </row>
    <row r="3777" spans="2:73" s="38" customFormat="1">
      <c r="B3777" s="1"/>
      <c r="C3777" s="1"/>
      <c r="D3777" s="1"/>
      <c r="E3777" s="1"/>
      <c r="F3777" s="1"/>
      <c r="G3777" s="1"/>
      <c r="H3777" s="1"/>
      <c r="I3777" s="1"/>
      <c r="J3777" s="1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  <c r="AZ3777" s="2"/>
      <c r="BA3777" s="2"/>
      <c r="BB3777" s="2"/>
      <c r="BC3777" s="2"/>
      <c r="BD3777" s="2"/>
      <c r="BE3777" s="2"/>
      <c r="BF3777" s="2"/>
      <c r="BG3777" s="2"/>
      <c r="BH3777" s="2"/>
      <c r="BI3777" s="2"/>
      <c r="BJ3777" s="2"/>
      <c r="BK3777" s="2"/>
      <c r="BL3777" s="2"/>
      <c r="BM3777" s="2"/>
      <c r="BN3777" s="2"/>
      <c r="BO3777" s="2"/>
      <c r="BP3777" s="2"/>
      <c r="BQ3777" s="2"/>
      <c r="BR3777" s="2"/>
      <c r="BS3777" s="2"/>
      <c r="BT3777" s="2"/>
      <c r="BU3777" s="2"/>
    </row>
    <row r="3778" spans="2:73" s="38" customFormat="1">
      <c r="B3778" s="1"/>
      <c r="C3778" s="1"/>
      <c r="D3778" s="1"/>
      <c r="E3778" s="1"/>
      <c r="F3778" s="1"/>
      <c r="G3778" s="1"/>
      <c r="H3778" s="1"/>
      <c r="I3778" s="1"/>
      <c r="J3778" s="1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  <c r="AZ3778" s="2"/>
      <c r="BA3778" s="2"/>
      <c r="BB3778" s="2"/>
      <c r="BC3778" s="2"/>
      <c r="BD3778" s="2"/>
      <c r="BE3778" s="2"/>
      <c r="BF3778" s="2"/>
      <c r="BG3778" s="2"/>
      <c r="BH3778" s="2"/>
      <c r="BI3778" s="2"/>
      <c r="BJ3778" s="2"/>
      <c r="BK3778" s="2"/>
      <c r="BL3778" s="2"/>
      <c r="BM3778" s="2"/>
      <c r="BN3778" s="2"/>
      <c r="BO3778" s="2"/>
      <c r="BP3778" s="2"/>
      <c r="BQ3778" s="2"/>
      <c r="BR3778" s="2"/>
      <c r="BS3778" s="2"/>
      <c r="BT3778" s="2"/>
      <c r="BU3778" s="2"/>
    </row>
    <row r="3779" spans="2:73" s="38" customFormat="1">
      <c r="B3779" s="1"/>
      <c r="C3779" s="1"/>
      <c r="D3779" s="1"/>
      <c r="E3779" s="1"/>
      <c r="F3779" s="1"/>
      <c r="G3779" s="1"/>
      <c r="H3779" s="1"/>
      <c r="I3779" s="1"/>
      <c r="J3779" s="1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  <c r="AW3779" s="2"/>
      <c r="AX3779" s="2"/>
      <c r="AY3779" s="2"/>
      <c r="AZ3779" s="2"/>
      <c r="BA3779" s="2"/>
      <c r="BB3779" s="2"/>
      <c r="BC3779" s="2"/>
      <c r="BD3779" s="2"/>
      <c r="BE3779" s="2"/>
      <c r="BF3779" s="2"/>
      <c r="BG3779" s="2"/>
      <c r="BH3779" s="2"/>
      <c r="BI3779" s="2"/>
      <c r="BJ3779" s="2"/>
      <c r="BK3779" s="2"/>
      <c r="BL3779" s="2"/>
      <c r="BM3779" s="2"/>
      <c r="BN3779" s="2"/>
      <c r="BO3779" s="2"/>
      <c r="BP3779" s="2"/>
      <c r="BQ3779" s="2"/>
      <c r="BR3779" s="2"/>
      <c r="BS3779" s="2"/>
      <c r="BT3779" s="2"/>
      <c r="BU3779" s="2"/>
    </row>
    <row r="3780" spans="2:73" s="38" customFormat="1">
      <c r="B3780" s="1"/>
      <c r="C3780" s="1"/>
      <c r="D3780" s="1"/>
      <c r="E3780" s="1"/>
      <c r="F3780" s="1"/>
      <c r="G3780" s="1"/>
      <c r="H3780" s="1"/>
      <c r="I3780" s="1"/>
      <c r="J3780" s="1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  <c r="AZ3780" s="2"/>
      <c r="BA3780" s="2"/>
      <c r="BB3780" s="2"/>
      <c r="BC3780" s="2"/>
      <c r="BD3780" s="2"/>
      <c r="BE3780" s="2"/>
      <c r="BF3780" s="2"/>
      <c r="BG3780" s="2"/>
      <c r="BH3780" s="2"/>
      <c r="BI3780" s="2"/>
      <c r="BJ3780" s="2"/>
      <c r="BK3780" s="2"/>
      <c r="BL3780" s="2"/>
      <c r="BM3780" s="2"/>
      <c r="BN3780" s="2"/>
      <c r="BO3780" s="2"/>
      <c r="BP3780" s="2"/>
      <c r="BQ3780" s="2"/>
      <c r="BR3780" s="2"/>
      <c r="BS3780" s="2"/>
      <c r="BT3780" s="2"/>
      <c r="BU3780" s="2"/>
    </row>
    <row r="3781" spans="2:73" s="38" customFormat="1">
      <c r="B3781" s="1"/>
      <c r="C3781" s="1"/>
      <c r="D3781" s="1"/>
      <c r="E3781" s="1"/>
      <c r="F3781" s="1"/>
      <c r="G3781" s="1"/>
      <c r="H3781" s="1"/>
      <c r="I3781" s="1"/>
      <c r="J3781" s="1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/>
      <c r="AZ3781" s="2"/>
      <c r="BA3781" s="2"/>
      <c r="BB3781" s="2"/>
      <c r="BC3781" s="2"/>
      <c r="BD3781" s="2"/>
      <c r="BE3781" s="2"/>
      <c r="BF3781" s="2"/>
      <c r="BG3781" s="2"/>
      <c r="BH3781" s="2"/>
      <c r="BI3781" s="2"/>
      <c r="BJ3781" s="2"/>
      <c r="BK3781" s="2"/>
      <c r="BL3781" s="2"/>
      <c r="BM3781" s="2"/>
      <c r="BN3781" s="2"/>
      <c r="BO3781" s="2"/>
      <c r="BP3781" s="2"/>
      <c r="BQ3781" s="2"/>
      <c r="BR3781" s="2"/>
      <c r="BS3781" s="2"/>
      <c r="BT3781" s="2"/>
      <c r="BU3781" s="2"/>
    </row>
    <row r="3782" spans="2:73" s="38" customFormat="1">
      <c r="B3782" s="1"/>
      <c r="C3782" s="1"/>
      <c r="D3782" s="1"/>
      <c r="E3782" s="1"/>
      <c r="F3782" s="1"/>
      <c r="G3782" s="1"/>
      <c r="H3782" s="1"/>
      <c r="I3782" s="1"/>
      <c r="J3782" s="1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  <c r="AX3782" s="2"/>
      <c r="AY3782" s="2"/>
      <c r="AZ3782" s="2"/>
      <c r="BA3782" s="2"/>
      <c r="BB3782" s="2"/>
      <c r="BC3782" s="2"/>
      <c r="BD3782" s="2"/>
      <c r="BE3782" s="2"/>
      <c r="BF3782" s="2"/>
      <c r="BG3782" s="2"/>
      <c r="BH3782" s="2"/>
      <c r="BI3782" s="2"/>
      <c r="BJ3782" s="2"/>
      <c r="BK3782" s="2"/>
      <c r="BL3782" s="2"/>
      <c r="BM3782" s="2"/>
      <c r="BN3782" s="2"/>
      <c r="BO3782" s="2"/>
      <c r="BP3782" s="2"/>
      <c r="BQ3782" s="2"/>
      <c r="BR3782" s="2"/>
      <c r="BS3782" s="2"/>
      <c r="BT3782" s="2"/>
      <c r="BU3782" s="2"/>
    </row>
    <row r="3783" spans="2:73" s="38" customFormat="1">
      <c r="B3783" s="1"/>
      <c r="C3783" s="1"/>
      <c r="D3783" s="1"/>
      <c r="E3783" s="1"/>
      <c r="F3783" s="1"/>
      <c r="G3783" s="1"/>
      <c r="H3783" s="1"/>
      <c r="I3783" s="1"/>
      <c r="J3783" s="1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/>
      <c r="AZ3783" s="2"/>
      <c r="BA3783" s="2"/>
      <c r="BB3783" s="2"/>
      <c r="BC3783" s="2"/>
      <c r="BD3783" s="2"/>
      <c r="BE3783" s="2"/>
      <c r="BF3783" s="2"/>
      <c r="BG3783" s="2"/>
      <c r="BH3783" s="2"/>
      <c r="BI3783" s="2"/>
      <c r="BJ3783" s="2"/>
      <c r="BK3783" s="2"/>
      <c r="BL3783" s="2"/>
      <c r="BM3783" s="2"/>
      <c r="BN3783" s="2"/>
      <c r="BO3783" s="2"/>
      <c r="BP3783" s="2"/>
      <c r="BQ3783" s="2"/>
      <c r="BR3783" s="2"/>
      <c r="BS3783" s="2"/>
      <c r="BT3783" s="2"/>
      <c r="BU3783" s="2"/>
    </row>
    <row r="3784" spans="2:73" s="38" customFormat="1">
      <c r="B3784" s="1"/>
      <c r="C3784" s="1"/>
      <c r="D3784" s="1"/>
      <c r="E3784" s="1"/>
      <c r="F3784" s="1"/>
      <c r="G3784" s="1"/>
      <c r="H3784" s="1"/>
      <c r="I3784" s="1"/>
      <c r="J3784" s="1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  <c r="AX3784" s="2"/>
      <c r="AY3784" s="2"/>
      <c r="AZ3784" s="2"/>
      <c r="BA3784" s="2"/>
      <c r="BB3784" s="2"/>
      <c r="BC3784" s="2"/>
      <c r="BD3784" s="2"/>
      <c r="BE3784" s="2"/>
      <c r="BF3784" s="2"/>
      <c r="BG3784" s="2"/>
      <c r="BH3784" s="2"/>
      <c r="BI3784" s="2"/>
      <c r="BJ3784" s="2"/>
      <c r="BK3784" s="2"/>
      <c r="BL3784" s="2"/>
      <c r="BM3784" s="2"/>
      <c r="BN3784" s="2"/>
      <c r="BO3784" s="2"/>
      <c r="BP3784" s="2"/>
      <c r="BQ3784" s="2"/>
      <c r="BR3784" s="2"/>
      <c r="BS3784" s="2"/>
      <c r="BT3784" s="2"/>
      <c r="BU3784" s="2"/>
    </row>
    <row r="3785" spans="2:73" s="38" customFormat="1">
      <c r="B3785" s="1"/>
      <c r="C3785" s="1"/>
      <c r="D3785" s="1"/>
      <c r="E3785" s="1"/>
      <c r="F3785" s="1"/>
      <c r="G3785" s="1"/>
      <c r="H3785" s="1"/>
      <c r="I3785" s="1"/>
      <c r="J3785" s="1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  <c r="AZ3785" s="2"/>
      <c r="BA3785" s="2"/>
      <c r="BB3785" s="2"/>
      <c r="BC3785" s="2"/>
      <c r="BD3785" s="2"/>
      <c r="BE3785" s="2"/>
      <c r="BF3785" s="2"/>
      <c r="BG3785" s="2"/>
      <c r="BH3785" s="2"/>
      <c r="BI3785" s="2"/>
      <c r="BJ3785" s="2"/>
      <c r="BK3785" s="2"/>
      <c r="BL3785" s="2"/>
      <c r="BM3785" s="2"/>
      <c r="BN3785" s="2"/>
      <c r="BO3785" s="2"/>
      <c r="BP3785" s="2"/>
      <c r="BQ3785" s="2"/>
      <c r="BR3785" s="2"/>
      <c r="BS3785" s="2"/>
      <c r="BT3785" s="2"/>
      <c r="BU3785" s="2"/>
    </row>
    <row r="3786" spans="2:73" s="38" customFormat="1">
      <c r="B3786" s="1"/>
      <c r="C3786" s="1"/>
      <c r="D3786" s="1"/>
      <c r="E3786" s="1"/>
      <c r="F3786" s="1"/>
      <c r="G3786" s="1"/>
      <c r="H3786" s="1"/>
      <c r="I3786" s="1"/>
      <c r="J3786" s="1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  <c r="AZ3786" s="2"/>
      <c r="BA3786" s="2"/>
      <c r="BB3786" s="2"/>
      <c r="BC3786" s="2"/>
      <c r="BD3786" s="2"/>
      <c r="BE3786" s="2"/>
      <c r="BF3786" s="2"/>
      <c r="BG3786" s="2"/>
      <c r="BH3786" s="2"/>
      <c r="BI3786" s="2"/>
      <c r="BJ3786" s="2"/>
      <c r="BK3786" s="2"/>
      <c r="BL3786" s="2"/>
      <c r="BM3786" s="2"/>
      <c r="BN3786" s="2"/>
      <c r="BO3786" s="2"/>
      <c r="BP3786" s="2"/>
      <c r="BQ3786" s="2"/>
      <c r="BR3786" s="2"/>
      <c r="BS3786" s="2"/>
      <c r="BT3786" s="2"/>
      <c r="BU3786" s="2"/>
    </row>
    <row r="3787" spans="2:73" s="38" customFormat="1">
      <c r="B3787" s="1"/>
      <c r="C3787" s="1"/>
      <c r="D3787" s="1"/>
      <c r="E3787" s="1"/>
      <c r="F3787" s="1"/>
      <c r="G3787" s="1"/>
      <c r="H3787" s="1"/>
      <c r="I3787" s="1"/>
      <c r="J3787" s="1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  <c r="AZ3787" s="2"/>
      <c r="BA3787" s="2"/>
      <c r="BB3787" s="2"/>
      <c r="BC3787" s="2"/>
      <c r="BD3787" s="2"/>
      <c r="BE3787" s="2"/>
      <c r="BF3787" s="2"/>
      <c r="BG3787" s="2"/>
      <c r="BH3787" s="2"/>
      <c r="BI3787" s="2"/>
      <c r="BJ3787" s="2"/>
      <c r="BK3787" s="2"/>
      <c r="BL3787" s="2"/>
      <c r="BM3787" s="2"/>
      <c r="BN3787" s="2"/>
      <c r="BO3787" s="2"/>
      <c r="BP3787" s="2"/>
      <c r="BQ3787" s="2"/>
      <c r="BR3787" s="2"/>
      <c r="BS3787" s="2"/>
      <c r="BT3787" s="2"/>
      <c r="BU3787" s="2"/>
    </row>
    <row r="3788" spans="2:73" s="38" customFormat="1">
      <c r="B3788" s="1"/>
      <c r="C3788" s="1"/>
      <c r="D3788" s="1"/>
      <c r="E3788" s="1"/>
      <c r="F3788" s="1"/>
      <c r="G3788" s="1"/>
      <c r="H3788" s="1"/>
      <c r="I3788" s="1"/>
      <c r="J3788" s="1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2"/>
      <c r="BA3788" s="2"/>
      <c r="BB3788" s="2"/>
      <c r="BC3788" s="2"/>
      <c r="BD3788" s="2"/>
      <c r="BE3788" s="2"/>
      <c r="BF3788" s="2"/>
      <c r="BG3788" s="2"/>
      <c r="BH3788" s="2"/>
      <c r="BI3788" s="2"/>
      <c r="BJ3788" s="2"/>
      <c r="BK3788" s="2"/>
      <c r="BL3788" s="2"/>
      <c r="BM3788" s="2"/>
      <c r="BN3788" s="2"/>
      <c r="BO3788" s="2"/>
      <c r="BP3788" s="2"/>
      <c r="BQ3788" s="2"/>
      <c r="BR3788" s="2"/>
      <c r="BS3788" s="2"/>
      <c r="BT3788" s="2"/>
      <c r="BU3788" s="2"/>
    </row>
    <row r="3789" spans="2:73" s="38" customFormat="1">
      <c r="B3789" s="1"/>
      <c r="C3789" s="1"/>
      <c r="D3789" s="1"/>
      <c r="E3789" s="1"/>
      <c r="F3789" s="1"/>
      <c r="G3789" s="1"/>
      <c r="H3789" s="1"/>
      <c r="I3789" s="1"/>
      <c r="J3789" s="1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2"/>
      <c r="BA3789" s="2"/>
      <c r="BB3789" s="2"/>
      <c r="BC3789" s="2"/>
      <c r="BD3789" s="2"/>
      <c r="BE3789" s="2"/>
      <c r="BF3789" s="2"/>
      <c r="BG3789" s="2"/>
      <c r="BH3789" s="2"/>
      <c r="BI3789" s="2"/>
      <c r="BJ3789" s="2"/>
      <c r="BK3789" s="2"/>
      <c r="BL3789" s="2"/>
      <c r="BM3789" s="2"/>
      <c r="BN3789" s="2"/>
      <c r="BO3789" s="2"/>
      <c r="BP3789" s="2"/>
      <c r="BQ3789" s="2"/>
      <c r="BR3789" s="2"/>
      <c r="BS3789" s="2"/>
      <c r="BT3789" s="2"/>
      <c r="BU3789" s="2"/>
    </row>
    <row r="3790" spans="2:73" s="38" customFormat="1">
      <c r="B3790" s="1"/>
      <c r="C3790" s="1"/>
      <c r="D3790" s="1"/>
      <c r="E3790" s="1"/>
      <c r="F3790" s="1"/>
      <c r="G3790" s="1"/>
      <c r="H3790" s="1"/>
      <c r="I3790" s="1"/>
      <c r="J3790" s="1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  <c r="BA3790" s="2"/>
      <c r="BB3790" s="2"/>
      <c r="BC3790" s="2"/>
      <c r="BD3790" s="2"/>
      <c r="BE3790" s="2"/>
      <c r="BF3790" s="2"/>
      <c r="BG3790" s="2"/>
      <c r="BH3790" s="2"/>
      <c r="BI3790" s="2"/>
      <c r="BJ3790" s="2"/>
      <c r="BK3790" s="2"/>
      <c r="BL3790" s="2"/>
      <c r="BM3790" s="2"/>
      <c r="BN3790" s="2"/>
      <c r="BO3790" s="2"/>
      <c r="BP3790" s="2"/>
      <c r="BQ3790" s="2"/>
      <c r="BR3790" s="2"/>
      <c r="BS3790" s="2"/>
      <c r="BT3790" s="2"/>
      <c r="BU3790" s="2"/>
    </row>
    <row r="3791" spans="2:73" s="38" customFormat="1">
      <c r="B3791" s="1"/>
      <c r="C3791" s="1"/>
      <c r="D3791" s="1"/>
      <c r="E3791" s="1"/>
      <c r="F3791" s="1"/>
      <c r="G3791" s="1"/>
      <c r="H3791" s="1"/>
      <c r="I3791" s="1"/>
      <c r="J3791" s="1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  <c r="BA3791" s="2"/>
      <c r="BB3791" s="2"/>
      <c r="BC3791" s="2"/>
      <c r="BD3791" s="2"/>
      <c r="BE3791" s="2"/>
      <c r="BF3791" s="2"/>
      <c r="BG3791" s="2"/>
      <c r="BH3791" s="2"/>
      <c r="BI3791" s="2"/>
      <c r="BJ3791" s="2"/>
      <c r="BK3791" s="2"/>
      <c r="BL3791" s="2"/>
      <c r="BM3791" s="2"/>
      <c r="BN3791" s="2"/>
      <c r="BO3791" s="2"/>
      <c r="BP3791" s="2"/>
      <c r="BQ3791" s="2"/>
      <c r="BR3791" s="2"/>
      <c r="BS3791" s="2"/>
      <c r="BT3791" s="2"/>
      <c r="BU3791" s="2"/>
    </row>
    <row r="3792" spans="2:73" s="38" customFormat="1">
      <c r="B3792" s="1"/>
      <c r="C3792" s="1"/>
      <c r="D3792" s="1"/>
      <c r="E3792" s="1"/>
      <c r="F3792" s="1"/>
      <c r="G3792" s="1"/>
      <c r="H3792" s="1"/>
      <c r="I3792" s="1"/>
      <c r="J3792" s="1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  <c r="BA3792" s="2"/>
      <c r="BB3792" s="2"/>
      <c r="BC3792" s="2"/>
      <c r="BD3792" s="2"/>
      <c r="BE3792" s="2"/>
      <c r="BF3792" s="2"/>
      <c r="BG3792" s="2"/>
      <c r="BH3792" s="2"/>
      <c r="BI3792" s="2"/>
      <c r="BJ3792" s="2"/>
      <c r="BK3792" s="2"/>
      <c r="BL3792" s="2"/>
      <c r="BM3792" s="2"/>
      <c r="BN3792" s="2"/>
      <c r="BO3792" s="2"/>
      <c r="BP3792" s="2"/>
      <c r="BQ3792" s="2"/>
      <c r="BR3792" s="2"/>
      <c r="BS3792" s="2"/>
      <c r="BT3792" s="2"/>
      <c r="BU3792" s="2"/>
    </row>
    <row r="3793" spans="2:73" s="38" customFormat="1">
      <c r="B3793" s="1"/>
      <c r="C3793" s="1"/>
      <c r="D3793" s="1"/>
      <c r="E3793" s="1"/>
      <c r="F3793" s="1"/>
      <c r="G3793" s="1"/>
      <c r="H3793" s="1"/>
      <c r="I3793" s="1"/>
      <c r="J3793" s="1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  <c r="AZ3793" s="2"/>
      <c r="BA3793" s="2"/>
      <c r="BB3793" s="2"/>
      <c r="BC3793" s="2"/>
      <c r="BD3793" s="2"/>
      <c r="BE3793" s="2"/>
      <c r="BF3793" s="2"/>
      <c r="BG3793" s="2"/>
      <c r="BH3793" s="2"/>
      <c r="BI3793" s="2"/>
      <c r="BJ3793" s="2"/>
      <c r="BK3793" s="2"/>
      <c r="BL3793" s="2"/>
      <c r="BM3793" s="2"/>
      <c r="BN3793" s="2"/>
      <c r="BO3793" s="2"/>
      <c r="BP3793" s="2"/>
      <c r="BQ3793" s="2"/>
      <c r="BR3793" s="2"/>
      <c r="BS3793" s="2"/>
      <c r="BT3793" s="2"/>
      <c r="BU3793" s="2"/>
    </row>
    <row r="3794" spans="2:73" s="38" customFormat="1">
      <c r="B3794" s="1"/>
      <c r="C3794" s="1"/>
      <c r="D3794" s="1"/>
      <c r="E3794" s="1"/>
      <c r="F3794" s="1"/>
      <c r="G3794" s="1"/>
      <c r="H3794" s="1"/>
      <c r="I3794" s="1"/>
      <c r="J3794" s="1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  <c r="AZ3794" s="2"/>
      <c r="BA3794" s="2"/>
      <c r="BB3794" s="2"/>
      <c r="BC3794" s="2"/>
      <c r="BD3794" s="2"/>
      <c r="BE3794" s="2"/>
      <c r="BF3794" s="2"/>
      <c r="BG3794" s="2"/>
      <c r="BH3794" s="2"/>
      <c r="BI3794" s="2"/>
      <c r="BJ3794" s="2"/>
      <c r="BK3794" s="2"/>
      <c r="BL3794" s="2"/>
      <c r="BM3794" s="2"/>
      <c r="BN3794" s="2"/>
      <c r="BO3794" s="2"/>
      <c r="BP3794" s="2"/>
      <c r="BQ3794" s="2"/>
      <c r="BR3794" s="2"/>
      <c r="BS3794" s="2"/>
      <c r="BT3794" s="2"/>
      <c r="BU3794" s="2"/>
    </row>
    <row r="3795" spans="2:73" s="38" customFormat="1">
      <c r="B3795" s="1"/>
      <c r="C3795" s="1"/>
      <c r="D3795" s="1"/>
      <c r="E3795" s="1"/>
      <c r="F3795" s="1"/>
      <c r="G3795" s="1"/>
      <c r="H3795" s="1"/>
      <c r="I3795" s="1"/>
      <c r="J3795" s="1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2"/>
      <c r="BA3795" s="2"/>
      <c r="BB3795" s="2"/>
      <c r="BC3795" s="2"/>
      <c r="BD3795" s="2"/>
      <c r="BE3795" s="2"/>
      <c r="BF3795" s="2"/>
      <c r="BG3795" s="2"/>
      <c r="BH3795" s="2"/>
      <c r="BI3795" s="2"/>
      <c r="BJ3795" s="2"/>
      <c r="BK3795" s="2"/>
      <c r="BL3795" s="2"/>
      <c r="BM3795" s="2"/>
      <c r="BN3795" s="2"/>
      <c r="BO3795" s="2"/>
      <c r="BP3795" s="2"/>
      <c r="BQ3795" s="2"/>
      <c r="BR3795" s="2"/>
      <c r="BS3795" s="2"/>
      <c r="BT3795" s="2"/>
      <c r="BU3795" s="2"/>
    </row>
    <row r="3796" spans="2:73" s="38" customFormat="1">
      <c r="B3796" s="1"/>
      <c r="C3796" s="1"/>
      <c r="D3796" s="1"/>
      <c r="E3796" s="1"/>
      <c r="F3796" s="1"/>
      <c r="G3796" s="1"/>
      <c r="H3796" s="1"/>
      <c r="I3796" s="1"/>
      <c r="J3796" s="1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/>
      <c r="AZ3796" s="2"/>
      <c r="BA3796" s="2"/>
      <c r="BB3796" s="2"/>
      <c r="BC3796" s="2"/>
      <c r="BD3796" s="2"/>
      <c r="BE3796" s="2"/>
      <c r="BF3796" s="2"/>
      <c r="BG3796" s="2"/>
      <c r="BH3796" s="2"/>
      <c r="BI3796" s="2"/>
      <c r="BJ3796" s="2"/>
      <c r="BK3796" s="2"/>
      <c r="BL3796" s="2"/>
      <c r="BM3796" s="2"/>
      <c r="BN3796" s="2"/>
      <c r="BO3796" s="2"/>
      <c r="BP3796" s="2"/>
      <c r="BQ3796" s="2"/>
      <c r="BR3796" s="2"/>
      <c r="BS3796" s="2"/>
      <c r="BT3796" s="2"/>
      <c r="BU3796" s="2"/>
    </row>
    <row r="3797" spans="2:73" s="38" customFormat="1">
      <c r="B3797" s="1"/>
      <c r="C3797" s="1"/>
      <c r="D3797" s="1"/>
      <c r="E3797" s="1"/>
      <c r="F3797" s="1"/>
      <c r="G3797" s="1"/>
      <c r="H3797" s="1"/>
      <c r="I3797" s="1"/>
      <c r="J3797" s="1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  <c r="AZ3797" s="2"/>
      <c r="BA3797" s="2"/>
      <c r="BB3797" s="2"/>
      <c r="BC3797" s="2"/>
      <c r="BD3797" s="2"/>
      <c r="BE3797" s="2"/>
      <c r="BF3797" s="2"/>
      <c r="BG3797" s="2"/>
      <c r="BH3797" s="2"/>
      <c r="BI3797" s="2"/>
      <c r="BJ3797" s="2"/>
      <c r="BK3797" s="2"/>
      <c r="BL3797" s="2"/>
      <c r="BM3797" s="2"/>
      <c r="BN3797" s="2"/>
      <c r="BO3797" s="2"/>
      <c r="BP3797" s="2"/>
      <c r="BQ3797" s="2"/>
      <c r="BR3797" s="2"/>
      <c r="BS3797" s="2"/>
      <c r="BT3797" s="2"/>
      <c r="BU3797" s="2"/>
    </row>
    <row r="3798" spans="2:73" s="38" customFormat="1">
      <c r="B3798" s="1"/>
      <c r="C3798" s="1"/>
      <c r="D3798" s="1"/>
      <c r="E3798" s="1"/>
      <c r="F3798" s="1"/>
      <c r="G3798" s="1"/>
      <c r="H3798" s="1"/>
      <c r="I3798" s="1"/>
      <c r="J3798" s="1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/>
      <c r="AZ3798" s="2"/>
      <c r="BA3798" s="2"/>
      <c r="BB3798" s="2"/>
      <c r="BC3798" s="2"/>
      <c r="BD3798" s="2"/>
      <c r="BE3798" s="2"/>
      <c r="BF3798" s="2"/>
      <c r="BG3798" s="2"/>
      <c r="BH3798" s="2"/>
      <c r="BI3798" s="2"/>
      <c r="BJ3798" s="2"/>
      <c r="BK3798" s="2"/>
      <c r="BL3798" s="2"/>
      <c r="BM3798" s="2"/>
      <c r="BN3798" s="2"/>
      <c r="BO3798" s="2"/>
      <c r="BP3798" s="2"/>
      <c r="BQ3798" s="2"/>
      <c r="BR3798" s="2"/>
      <c r="BS3798" s="2"/>
      <c r="BT3798" s="2"/>
      <c r="BU3798" s="2"/>
    </row>
    <row r="3799" spans="2:73" s="38" customFormat="1">
      <c r="B3799" s="1"/>
      <c r="C3799" s="1"/>
      <c r="D3799" s="1"/>
      <c r="E3799" s="1"/>
      <c r="F3799" s="1"/>
      <c r="G3799" s="1"/>
      <c r="H3799" s="1"/>
      <c r="I3799" s="1"/>
      <c r="J3799" s="1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  <c r="BA3799" s="2"/>
      <c r="BB3799" s="2"/>
      <c r="BC3799" s="2"/>
      <c r="BD3799" s="2"/>
      <c r="BE3799" s="2"/>
      <c r="BF3799" s="2"/>
      <c r="BG3799" s="2"/>
      <c r="BH3799" s="2"/>
      <c r="BI3799" s="2"/>
      <c r="BJ3799" s="2"/>
      <c r="BK3799" s="2"/>
      <c r="BL3799" s="2"/>
      <c r="BM3799" s="2"/>
      <c r="BN3799" s="2"/>
      <c r="BO3799" s="2"/>
      <c r="BP3799" s="2"/>
      <c r="BQ3799" s="2"/>
      <c r="BR3799" s="2"/>
      <c r="BS3799" s="2"/>
      <c r="BT3799" s="2"/>
      <c r="BU3799" s="2"/>
    </row>
    <row r="3800" spans="2:73" s="38" customFormat="1">
      <c r="B3800" s="1"/>
      <c r="C3800" s="1"/>
      <c r="D3800" s="1"/>
      <c r="E3800" s="1"/>
      <c r="F3800" s="1"/>
      <c r="G3800" s="1"/>
      <c r="H3800" s="1"/>
      <c r="I3800" s="1"/>
      <c r="J3800" s="1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  <c r="BA3800" s="2"/>
      <c r="BB3800" s="2"/>
      <c r="BC3800" s="2"/>
      <c r="BD3800" s="2"/>
      <c r="BE3800" s="2"/>
      <c r="BF3800" s="2"/>
      <c r="BG3800" s="2"/>
      <c r="BH3800" s="2"/>
      <c r="BI3800" s="2"/>
      <c r="BJ3800" s="2"/>
      <c r="BK3800" s="2"/>
      <c r="BL3800" s="2"/>
      <c r="BM3800" s="2"/>
      <c r="BN3800" s="2"/>
      <c r="BO3800" s="2"/>
      <c r="BP3800" s="2"/>
      <c r="BQ3800" s="2"/>
      <c r="BR3800" s="2"/>
      <c r="BS3800" s="2"/>
      <c r="BT3800" s="2"/>
      <c r="BU3800" s="2"/>
    </row>
    <row r="3801" spans="2:73" s="38" customFormat="1">
      <c r="B3801" s="1"/>
      <c r="C3801" s="1"/>
      <c r="D3801" s="1"/>
      <c r="E3801" s="1"/>
      <c r="F3801" s="1"/>
      <c r="G3801" s="1"/>
      <c r="H3801" s="1"/>
      <c r="I3801" s="1"/>
      <c r="J3801" s="1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/>
      <c r="AZ3801" s="2"/>
      <c r="BA3801" s="2"/>
      <c r="BB3801" s="2"/>
      <c r="BC3801" s="2"/>
      <c r="BD3801" s="2"/>
      <c r="BE3801" s="2"/>
      <c r="BF3801" s="2"/>
      <c r="BG3801" s="2"/>
      <c r="BH3801" s="2"/>
      <c r="BI3801" s="2"/>
      <c r="BJ3801" s="2"/>
      <c r="BK3801" s="2"/>
      <c r="BL3801" s="2"/>
      <c r="BM3801" s="2"/>
      <c r="BN3801" s="2"/>
      <c r="BO3801" s="2"/>
      <c r="BP3801" s="2"/>
      <c r="BQ3801" s="2"/>
      <c r="BR3801" s="2"/>
      <c r="BS3801" s="2"/>
      <c r="BT3801" s="2"/>
      <c r="BU3801" s="2"/>
    </row>
    <row r="3802" spans="2:73" s="38" customFormat="1">
      <c r="B3802" s="1"/>
      <c r="C3802" s="1"/>
      <c r="D3802" s="1"/>
      <c r="E3802" s="1"/>
      <c r="F3802" s="1"/>
      <c r="G3802" s="1"/>
      <c r="H3802" s="1"/>
      <c r="I3802" s="1"/>
      <c r="J3802" s="1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  <c r="AW3802" s="2"/>
      <c r="AX3802" s="2"/>
      <c r="AY3802" s="2"/>
      <c r="AZ3802" s="2"/>
      <c r="BA3802" s="2"/>
      <c r="BB3802" s="2"/>
      <c r="BC3802" s="2"/>
      <c r="BD3802" s="2"/>
      <c r="BE3802" s="2"/>
      <c r="BF3802" s="2"/>
      <c r="BG3802" s="2"/>
      <c r="BH3802" s="2"/>
      <c r="BI3802" s="2"/>
      <c r="BJ3802" s="2"/>
      <c r="BK3802" s="2"/>
      <c r="BL3802" s="2"/>
      <c r="BM3802" s="2"/>
      <c r="BN3802" s="2"/>
      <c r="BO3802" s="2"/>
      <c r="BP3802" s="2"/>
      <c r="BQ3802" s="2"/>
      <c r="BR3802" s="2"/>
      <c r="BS3802" s="2"/>
      <c r="BT3802" s="2"/>
      <c r="BU3802" s="2"/>
    </row>
    <row r="3803" spans="2:73" s="38" customFormat="1">
      <c r="B3803" s="1"/>
      <c r="C3803" s="1"/>
      <c r="D3803" s="1"/>
      <c r="E3803" s="1"/>
      <c r="F3803" s="1"/>
      <c r="G3803" s="1"/>
      <c r="H3803" s="1"/>
      <c r="I3803" s="1"/>
      <c r="J3803" s="1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/>
      <c r="AZ3803" s="2"/>
      <c r="BA3803" s="2"/>
      <c r="BB3803" s="2"/>
      <c r="BC3803" s="2"/>
      <c r="BD3803" s="2"/>
      <c r="BE3803" s="2"/>
      <c r="BF3803" s="2"/>
      <c r="BG3803" s="2"/>
      <c r="BH3803" s="2"/>
      <c r="BI3803" s="2"/>
      <c r="BJ3803" s="2"/>
      <c r="BK3803" s="2"/>
      <c r="BL3803" s="2"/>
      <c r="BM3803" s="2"/>
      <c r="BN3803" s="2"/>
      <c r="BO3803" s="2"/>
      <c r="BP3803" s="2"/>
      <c r="BQ3803" s="2"/>
      <c r="BR3803" s="2"/>
      <c r="BS3803" s="2"/>
      <c r="BT3803" s="2"/>
      <c r="BU3803" s="2"/>
    </row>
    <row r="3804" spans="2:73" s="38" customFormat="1">
      <c r="B3804" s="1"/>
      <c r="C3804" s="1"/>
      <c r="D3804" s="1"/>
      <c r="E3804" s="1"/>
      <c r="F3804" s="1"/>
      <c r="G3804" s="1"/>
      <c r="H3804" s="1"/>
      <c r="I3804" s="1"/>
      <c r="J3804" s="1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/>
      <c r="AZ3804" s="2"/>
      <c r="BA3804" s="2"/>
      <c r="BB3804" s="2"/>
      <c r="BC3804" s="2"/>
      <c r="BD3804" s="2"/>
      <c r="BE3804" s="2"/>
      <c r="BF3804" s="2"/>
      <c r="BG3804" s="2"/>
      <c r="BH3804" s="2"/>
      <c r="BI3804" s="2"/>
      <c r="BJ3804" s="2"/>
      <c r="BK3804" s="2"/>
      <c r="BL3804" s="2"/>
      <c r="BM3804" s="2"/>
      <c r="BN3804" s="2"/>
      <c r="BO3804" s="2"/>
      <c r="BP3804" s="2"/>
      <c r="BQ3804" s="2"/>
      <c r="BR3804" s="2"/>
      <c r="BS3804" s="2"/>
      <c r="BT3804" s="2"/>
      <c r="BU3804" s="2"/>
    </row>
    <row r="3805" spans="2:73" s="38" customFormat="1">
      <c r="B3805" s="1"/>
      <c r="C3805" s="1"/>
      <c r="D3805" s="1"/>
      <c r="E3805" s="1"/>
      <c r="F3805" s="1"/>
      <c r="G3805" s="1"/>
      <c r="H3805" s="1"/>
      <c r="I3805" s="1"/>
      <c r="J3805" s="1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  <c r="AZ3805" s="2"/>
      <c r="BA3805" s="2"/>
      <c r="BB3805" s="2"/>
      <c r="BC3805" s="2"/>
      <c r="BD3805" s="2"/>
      <c r="BE3805" s="2"/>
      <c r="BF3805" s="2"/>
      <c r="BG3805" s="2"/>
      <c r="BH3805" s="2"/>
      <c r="BI3805" s="2"/>
      <c r="BJ3805" s="2"/>
      <c r="BK3805" s="2"/>
      <c r="BL3805" s="2"/>
      <c r="BM3805" s="2"/>
      <c r="BN3805" s="2"/>
      <c r="BO3805" s="2"/>
      <c r="BP3805" s="2"/>
      <c r="BQ3805" s="2"/>
      <c r="BR3805" s="2"/>
      <c r="BS3805" s="2"/>
      <c r="BT3805" s="2"/>
      <c r="BU3805" s="2"/>
    </row>
    <row r="3806" spans="2:73" s="38" customFormat="1">
      <c r="B3806" s="1"/>
      <c r="C3806" s="1"/>
      <c r="D3806" s="1"/>
      <c r="E3806" s="1"/>
      <c r="F3806" s="1"/>
      <c r="G3806" s="1"/>
      <c r="H3806" s="1"/>
      <c r="I3806" s="1"/>
      <c r="J3806" s="1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2"/>
      <c r="BA3806" s="2"/>
      <c r="BB3806" s="2"/>
      <c r="BC3806" s="2"/>
      <c r="BD3806" s="2"/>
      <c r="BE3806" s="2"/>
      <c r="BF3806" s="2"/>
      <c r="BG3806" s="2"/>
      <c r="BH3806" s="2"/>
      <c r="BI3806" s="2"/>
      <c r="BJ3806" s="2"/>
      <c r="BK3806" s="2"/>
      <c r="BL3806" s="2"/>
      <c r="BM3806" s="2"/>
      <c r="BN3806" s="2"/>
      <c r="BO3806" s="2"/>
      <c r="BP3806" s="2"/>
      <c r="BQ3806" s="2"/>
      <c r="BR3806" s="2"/>
      <c r="BS3806" s="2"/>
      <c r="BT3806" s="2"/>
      <c r="BU3806" s="2"/>
    </row>
    <row r="3807" spans="2:73" s="38" customFormat="1">
      <c r="B3807" s="1"/>
      <c r="C3807" s="1"/>
      <c r="D3807" s="1"/>
      <c r="E3807" s="1"/>
      <c r="F3807" s="1"/>
      <c r="G3807" s="1"/>
      <c r="H3807" s="1"/>
      <c r="I3807" s="1"/>
      <c r="J3807" s="1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2"/>
      <c r="BA3807" s="2"/>
      <c r="BB3807" s="2"/>
      <c r="BC3807" s="2"/>
      <c r="BD3807" s="2"/>
      <c r="BE3807" s="2"/>
      <c r="BF3807" s="2"/>
      <c r="BG3807" s="2"/>
      <c r="BH3807" s="2"/>
      <c r="BI3807" s="2"/>
      <c r="BJ3807" s="2"/>
      <c r="BK3807" s="2"/>
      <c r="BL3807" s="2"/>
      <c r="BM3807" s="2"/>
      <c r="BN3807" s="2"/>
      <c r="BO3807" s="2"/>
      <c r="BP3807" s="2"/>
      <c r="BQ3807" s="2"/>
      <c r="BR3807" s="2"/>
      <c r="BS3807" s="2"/>
      <c r="BT3807" s="2"/>
      <c r="BU3807" s="2"/>
    </row>
    <row r="3808" spans="2:73" s="38" customFormat="1">
      <c r="B3808" s="1"/>
      <c r="C3808" s="1"/>
      <c r="D3808" s="1"/>
      <c r="E3808" s="1"/>
      <c r="F3808" s="1"/>
      <c r="G3808" s="1"/>
      <c r="H3808" s="1"/>
      <c r="I3808" s="1"/>
      <c r="J3808" s="1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  <c r="AZ3808" s="2"/>
      <c r="BA3808" s="2"/>
      <c r="BB3808" s="2"/>
      <c r="BC3808" s="2"/>
      <c r="BD3808" s="2"/>
      <c r="BE3808" s="2"/>
      <c r="BF3808" s="2"/>
      <c r="BG3808" s="2"/>
      <c r="BH3808" s="2"/>
      <c r="BI3808" s="2"/>
      <c r="BJ3808" s="2"/>
      <c r="BK3808" s="2"/>
      <c r="BL3808" s="2"/>
      <c r="BM3808" s="2"/>
      <c r="BN3808" s="2"/>
      <c r="BO3808" s="2"/>
      <c r="BP3808" s="2"/>
      <c r="BQ3808" s="2"/>
      <c r="BR3808" s="2"/>
      <c r="BS3808" s="2"/>
      <c r="BT3808" s="2"/>
      <c r="BU3808" s="2"/>
    </row>
    <row r="3809" spans="2:73" s="38" customFormat="1">
      <c r="B3809" s="1"/>
      <c r="C3809" s="1"/>
      <c r="D3809" s="1"/>
      <c r="E3809" s="1"/>
      <c r="F3809" s="1"/>
      <c r="G3809" s="1"/>
      <c r="H3809" s="1"/>
      <c r="I3809" s="1"/>
      <c r="J3809" s="1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/>
      <c r="AZ3809" s="2"/>
      <c r="BA3809" s="2"/>
      <c r="BB3809" s="2"/>
      <c r="BC3809" s="2"/>
      <c r="BD3809" s="2"/>
      <c r="BE3809" s="2"/>
      <c r="BF3809" s="2"/>
      <c r="BG3809" s="2"/>
      <c r="BH3809" s="2"/>
      <c r="BI3809" s="2"/>
      <c r="BJ3809" s="2"/>
      <c r="BK3809" s="2"/>
      <c r="BL3809" s="2"/>
      <c r="BM3809" s="2"/>
      <c r="BN3809" s="2"/>
      <c r="BO3809" s="2"/>
      <c r="BP3809" s="2"/>
      <c r="BQ3809" s="2"/>
      <c r="BR3809" s="2"/>
      <c r="BS3809" s="2"/>
      <c r="BT3809" s="2"/>
      <c r="BU3809" s="2"/>
    </row>
    <row r="3810" spans="2:73" s="38" customFormat="1">
      <c r="B3810" s="1"/>
      <c r="C3810" s="1"/>
      <c r="D3810" s="1"/>
      <c r="E3810" s="1"/>
      <c r="F3810" s="1"/>
      <c r="G3810" s="1"/>
      <c r="H3810" s="1"/>
      <c r="I3810" s="1"/>
      <c r="J3810" s="1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  <c r="AZ3810" s="2"/>
      <c r="BA3810" s="2"/>
      <c r="BB3810" s="2"/>
      <c r="BC3810" s="2"/>
      <c r="BD3810" s="2"/>
      <c r="BE3810" s="2"/>
      <c r="BF3810" s="2"/>
      <c r="BG3810" s="2"/>
      <c r="BH3810" s="2"/>
      <c r="BI3810" s="2"/>
      <c r="BJ3810" s="2"/>
      <c r="BK3810" s="2"/>
      <c r="BL3810" s="2"/>
      <c r="BM3810" s="2"/>
      <c r="BN3810" s="2"/>
      <c r="BO3810" s="2"/>
      <c r="BP3810" s="2"/>
      <c r="BQ3810" s="2"/>
      <c r="BR3810" s="2"/>
      <c r="BS3810" s="2"/>
      <c r="BT3810" s="2"/>
      <c r="BU3810" s="2"/>
    </row>
    <row r="3811" spans="2:73" s="38" customFormat="1">
      <c r="B3811" s="1"/>
      <c r="C3811" s="1"/>
      <c r="D3811" s="1"/>
      <c r="E3811" s="1"/>
      <c r="F3811" s="1"/>
      <c r="G3811" s="1"/>
      <c r="H3811" s="1"/>
      <c r="I3811" s="1"/>
      <c r="J3811" s="1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  <c r="AZ3811" s="2"/>
      <c r="BA3811" s="2"/>
      <c r="BB3811" s="2"/>
      <c r="BC3811" s="2"/>
      <c r="BD3811" s="2"/>
      <c r="BE3811" s="2"/>
      <c r="BF3811" s="2"/>
      <c r="BG3811" s="2"/>
      <c r="BH3811" s="2"/>
      <c r="BI3811" s="2"/>
      <c r="BJ3811" s="2"/>
      <c r="BK3811" s="2"/>
      <c r="BL3811" s="2"/>
      <c r="BM3811" s="2"/>
      <c r="BN3811" s="2"/>
      <c r="BO3811" s="2"/>
      <c r="BP3811" s="2"/>
      <c r="BQ3811" s="2"/>
      <c r="BR3811" s="2"/>
      <c r="BS3811" s="2"/>
      <c r="BT3811" s="2"/>
      <c r="BU3811" s="2"/>
    </row>
    <row r="3812" spans="2:73" s="38" customFormat="1">
      <c r="B3812" s="1"/>
      <c r="C3812" s="1"/>
      <c r="D3812" s="1"/>
      <c r="E3812" s="1"/>
      <c r="F3812" s="1"/>
      <c r="G3812" s="1"/>
      <c r="H3812" s="1"/>
      <c r="I3812" s="1"/>
      <c r="J3812" s="1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/>
      <c r="AZ3812" s="2"/>
      <c r="BA3812" s="2"/>
      <c r="BB3812" s="2"/>
      <c r="BC3812" s="2"/>
      <c r="BD3812" s="2"/>
      <c r="BE3812" s="2"/>
      <c r="BF3812" s="2"/>
      <c r="BG3812" s="2"/>
      <c r="BH3812" s="2"/>
      <c r="BI3812" s="2"/>
      <c r="BJ3812" s="2"/>
      <c r="BK3812" s="2"/>
      <c r="BL3812" s="2"/>
      <c r="BM3812" s="2"/>
      <c r="BN3812" s="2"/>
      <c r="BO3812" s="2"/>
      <c r="BP3812" s="2"/>
      <c r="BQ3812" s="2"/>
      <c r="BR3812" s="2"/>
      <c r="BS3812" s="2"/>
      <c r="BT3812" s="2"/>
      <c r="BU3812" s="2"/>
    </row>
    <row r="3813" spans="2:73" s="38" customFormat="1">
      <c r="B3813" s="1"/>
      <c r="C3813" s="1"/>
      <c r="D3813" s="1"/>
      <c r="E3813" s="1"/>
      <c r="F3813" s="1"/>
      <c r="G3813" s="1"/>
      <c r="H3813" s="1"/>
      <c r="I3813" s="1"/>
      <c r="J3813" s="1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  <c r="AX3813" s="2"/>
      <c r="AY3813" s="2"/>
      <c r="AZ3813" s="2"/>
      <c r="BA3813" s="2"/>
      <c r="BB3813" s="2"/>
      <c r="BC3813" s="2"/>
      <c r="BD3813" s="2"/>
      <c r="BE3813" s="2"/>
      <c r="BF3813" s="2"/>
      <c r="BG3813" s="2"/>
      <c r="BH3813" s="2"/>
      <c r="BI3813" s="2"/>
      <c r="BJ3813" s="2"/>
      <c r="BK3813" s="2"/>
      <c r="BL3813" s="2"/>
      <c r="BM3813" s="2"/>
      <c r="BN3813" s="2"/>
      <c r="BO3813" s="2"/>
      <c r="BP3813" s="2"/>
      <c r="BQ3813" s="2"/>
      <c r="BR3813" s="2"/>
      <c r="BS3813" s="2"/>
      <c r="BT3813" s="2"/>
      <c r="BU3813" s="2"/>
    </row>
    <row r="3814" spans="2:73" s="38" customFormat="1">
      <c r="B3814" s="1"/>
      <c r="C3814" s="1"/>
      <c r="D3814" s="1"/>
      <c r="E3814" s="1"/>
      <c r="F3814" s="1"/>
      <c r="G3814" s="1"/>
      <c r="H3814" s="1"/>
      <c r="I3814" s="1"/>
      <c r="J3814" s="1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  <c r="AZ3814" s="2"/>
      <c r="BA3814" s="2"/>
      <c r="BB3814" s="2"/>
      <c r="BC3814" s="2"/>
      <c r="BD3814" s="2"/>
      <c r="BE3814" s="2"/>
      <c r="BF3814" s="2"/>
      <c r="BG3814" s="2"/>
      <c r="BH3814" s="2"/>
      <c r="BI3814" s="2"/>
      <c r="BJ3814" s="2"/>
      <c r="BK3814" s="2"/>
      <c r="BL3814" s="2"/>
      <c r="BM3814" s="2"/>
      <c r="BN3814" s="2"/>
      <c r="BO3814" s="2"/>
      <c r="BP3814" s="2"/>
      <c r="BQ3814" s="2"/>
      <c r="BR3814" s="2"/>
      <c r="BS3814" s="2"/>
      <c r="BT3814" s="2"/>
      <c r="BU3814" s="2"/>
    </row>
    <row r="3815" spans="2:73" s="38" customFormat="1">
      <c r="B3815" s="1"/>
      <c r="C3815" s="1"/>
      <c r="D3815" s="1"/>
      <c r="E3815" s="1"/>
      <c r="F3815" s="1"/>
      <c r="G3815" s="1"/>
      <c r="H3815" s="1"/>
      <c r="I3815" s="1"/>
      <c r="J3815" s="1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  <c r="AX3815" s="2"/>
      <c r="AY3815" s="2"/>
      <c r="AZ3815" s="2"/>
      <c r="BA3815" s="2"/>
      <c r="BB3815" s="2"/>
      <c r="BC3815" s="2"/>
      <c r="BD3815" s="2"/>
      <c r="BE3815" s="2"/>
      <c r="BF3815" s="2"/>
      <c r="BG3815" s="2"/>
      <c r="BH3815" s="2"/>
      <c r="BI3815" s="2"/>
      <c r="BJ3815" s="2"/>
      <c r="BK3815" s="2"/>
      <c r="BL3815" s="2"/>
      <c r="BM3815" s="2"/>
      <c r="BN3815" s="2"/>
      <c r="BO3815" s="2"/>
      <c r="BP3815" s="2"/>
      <c r="BQ3815" s="2"/>
      <c r="BR3815" s="2"/>
      <c r="BS3815" s="2"/>
      <c r="BT3815" s="2"/>
      <c r="BU3815" s="2"/>
    </row>
    <row r="3816" spans="2:73" s="38" customFormat="1">
      <c r="B3816" s="1"/>
      <c r="C3816" s="1"/>
      <c r="D3816" s="1"/>
      <c r="E3816" s="1"/>
      <c r="F3816" s="1"/>
      <c r="G3816" s="1"/>
      <c r="H3816" s="1"/>
      <c r="I3816" s="1"/>
      <c r="J3816" s="1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Y3816" s="2"/>
      <c r="AZ3816" s="2"/>
      <c r="BA3816" s="2"/>
      <c r="BB3816" s="2"/>
      <c r="BC3816" s="2"/>
      <c r="BD3816" s="2"/>
      <c r="BE3816" s="2"/>
      <c r="BF3816" s="2"/>
      <c r="BG3816" s="2"/>
      <c r="BH3816" s="2"/>
      <c r="BI3816" s="2"/>
      <c r="BJ3816" s="2"/>
      <c r="BK3816" s="2"/>
      <c r="BL3816" s="2"/>
      <c r="BM3816" s="2"/>
      <c r="BN3816" s="2"/>
      <c r="BO3816" s="2"/>
      <c r="BP3816" s="2"/>
      <c r="BQ3816" s="2"/>
      <c r="BR3816" s="2"/>
      <c r="BS3816" s="2"/>
      <c r="BT3816" s="2"/>
      <c r="BU3816" s="2"/>
    </row>
    <row r="3817" spans="2:73" s="38" customFormat="1">
      <c r="B3817" s="1"/>
      <c r="C3817" s="1"/>
      <c r="D3817" s="1"/>
      <c r="E3817" s="1"/>
      <c r="F3817" s="1"/>
      <c r="G3817" s="1"/>
      <c r="H3817" s="1"/>
      <c r="I3817" s="1"/>
      <c r="J3817" s="1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Y3817" s="2"/>
      <c r="AZ3817" s="2"/>
      <c r="BA3817" s="2"/>
      <c r="BB3817" s="2"/>
      <c r="BC3817" s="2"/>
      <c r="BD3817" s="2"/>
      <c r="BE3817" s="2"/>
      <c r="BF3817" s="2"/>
      <c r="BG3817" s="2"/>
      <c r="BH3817" s="2"/>
      <c r="BI3817" s="2"/>
      <c r="BJ3817" s="2"/>
      <c r="BK3817" s="2"/>
      <c r="BL3817" s="2"/>
      <c r="BM3817" s="2"/>
      <c r="BN3817" s="2"/>
      <c r="BO3817" s="2"/>
      <c r="BP3817" s="2"/>
      <c r="BQ3817" s="2"/>
      <c r="BR3817" s="2"/>
      <c r="BS3817" s="2"/>
      <c r="BT3817" s="2"/>
      <c r="BU3817" s="2"/>
    </row>
    <row r="3818" spans="2:73" s="38" customFormat="1">
      <c r="B3818" s="1"/>
      <c r="C3818" s="1"/>
      <c r="D3818" s="1"/>
      <c r="E3818" s="1"/>
      <c r="F3818" s="1"/>
      <c r="G3818" s="1"/>
      <c r="H3818" s="1"/>
      <c r="I3818" s="1"/>
      <c r="J3818" s="1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  <c r="BA3818" s="2"/>
      <c r="BB3818" s="2"/>
      <c r="BC3818" s="2"/>
      <c r="BD3818" s="2"/>
      <c r="BE3818" s="2"/>
      <c r="BF3818" s="2"/>
      <c r="BG3818" s="2"/>
      <c r="BH3818" s="2"/>
      <c r="BI3818" s="2"/>
      <c r="BJ3818" s="2"/>
      <c r="BK3818" s="2"/>
      <c r="BL3818" s="2"/>
      <c r="BM3818" s="2"/>
      <c r="BN3818" s="2"/>
      <c r="BO3818" s="2"/>
      <c r="BP3818" s="2"/>
      <c r="BQ3818" s="2"/>
      <c r="BR3818" s="2"/>
      <c r="BS3818" s="2"/>
      <c r="BT3818" s="2"/>
      <c r="BU3818" s="2"/>
    </row>
    <row r="3819" spans="2:73" s="38" customFormat="1">
      <c r="B3819" s="1"/>
      <c r="C3819" s="1"/>
      <c r="D3819" s="1"/>
      <c r="E3819" s="1"/>
      <c r="F3819" s="1"/>
      <c r="G3819" s="1"/>
      <c r="H3819" s="1"/>
      <c r="I3819" s="1"/>
      <c r="J3819" s="1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/>
      <c r="AZ3819" s="2"/>
      <c r="BA3819" s="2"/>
      <c r="BB3819" s="2"/>
      <c r="BC3819" s="2"/>
      <c r="BD3819" s="2"/>
      <c r="BE3819" s="2"/>
      <c r="BF3819" s="2"/>
      <c r="BG3819" s="2"/>
      <c r="BH3819" s="2"/>
      <c r="BI3819" s="2"/>
      <c r="BJ3819" s="2"/>
      <c r="BK3819" s="2"/>
      <c r="BL3819" s="2"/>
      <c r="BM3819" s="2"/>
      <c r="BN3819" s="2"/>
      <c r="BO3819" s="2"/>
      <c r="BP3819" s="2"/>
      <c r="BQ3819" s="2"/>
      <c r="BR3819" s="2"/>
      <c r="BS3819" s="2"/>
      <c r="BT3819" s="2"/>
      <c r="BU3819" s="2"/>
    </row>
    <row r="3820" spans="2:73" s="38" customFormat="1">
      <c r="B3820" s="1"/>
      <c r="C3820" s="1"/>
      <c r="D3820" s="1"/>
      <c r="E3820" s="1"/>
      <c r="F3820" s="1"/>
      <c r="G3820" s="1"/>
      <c r="H3820" s="1"/>
      <c r="I3820" s="1"/>
      <c r="J3820" s="1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  <c r="AZ3820" s="2"/>
      <c r="BA3820" s="2"/>
      <c r="BB3820" s="2"/>
      <c r="BC3820" s="2"/>
      <c r="BD3820" s="2"/>
      <c r="BE3820" s="2"/>
      <c r="BF3820" s="2"/>
      <c r="BG3820" s="2"/>
      <c r="BH3820" s="2"/>
      <c r="BI3820" s="2"/>
      <c r="BJ3820" s="2"/>
      <c r="BK3820" s="2"/>
      <c r="BL3820" s="2"/>
      <c r="BM3820" s="2"/>
      <c r="BN3820" s="2"/>
      <c r="BO3820" s="2"/>
      <c r="BP3820" s="2"/>
      <c r="BQ3820" s="2"/>
      <c r="BR3820" s="2"/>
      <c r="BS3820" s="2"/>
      <c r="BT3820" s="2"/>
      <c r="BU3820" s="2"/>
    </row>
    <row r="3821" spans="2:73" s="38" customFormat="1">
      <c r="B3821" s="1"/>
      <c r="C3821" s="1"/>
      <c r="D3821" s="1"/>
      <c r="E3821" s="1"/>
      <c r="F3821" s="1"/>
      <c r="G3821" s="1"/>
      <c r="H3821" s="1"/>
      <c r="I3821" s="1"/>
      <c r="J3821" s="1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/>
      <c r="AZ3821" s="2"/>
      <c r="BA3821" s="2"/>
      <c r="BB3821" s="2"/>
      <c r="BC3821" s="2"/>
      <c r="BD3821" s="2"/>
      <c r="BE3821" s="2"/>
      <c r="BF3821" s="2"/>
      <c r="BG3821" s="2"/>
      <c r="BH3821" s="2"/>
      <c r="BI3821" s="2"/>
      <c r="BJ3821" s="2"/>
      <c r="BK3821" s="2"/>
      <c r="BL3821" s="2"/>
      <c r="BM3821" s="2"/>
      <c r="BN3821" s="2"/>
      <c r="BO3821" s="2"/>
      <c r="BP3821" s="2"/>
      <c r="BQ3821" s="2"/>
      <c r="BR3821" s="2"/>
      <c r="BS3821" s="2"/>
      <c r="BT3821" s="2"/>
      <c r="BU3821" s="2"/>
    </row>
    <row r="3822" spans="2:73" s="38" customFormat="1">
      <c r="B3822" s="1"/>
      <c r="C3822" s="1"/>
      <c r="D3822" s="1"/>
      <c r="E3822" s="1"/>
      <c r="F3822" s="1"/>
      <c r="G3822" s="1"/>
      <c r="H3822" s="1"/>
      <c r="I3822" s="1"/>
      <c r="J3822" s="1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  <c r="AZ3822" s="2"/>
      <c r="BA3822" s="2"/>
      <c r="BB3822" s="2"/>
      <c r="BC3822" s="2"/>
      <c r="BD3822" s="2"/>
      <c r="BE3822" s="2"/>
      <c r="BF3822" s="2"/>
      <c r="BG3822" s="2"/>
      <c r="BH3822" s="2"/>
      <c r="BI3822" s="2"/>
      <c r="BJ3822" s="2"/>
      <c r="BK3822" s="2"/>
      <c r="BL3822" s="2"/>
      <c r="BM3822" s="2"/>
      <c r="BN3822" s="2"/>
      <c r="BO3822" s="2"/>
      <c r="BP3822" s="2"/>
      <c r="BQ3822" s="2"/>
      <c r="BR3822" s="2"/>
      <c r="BS3822" s="2"/>
      <c r="BT3822" s="2"/>
      <c r="BU3822" s="2"/>
    </row>
    <row r="3823" spans="2:73" s="38" customFormat="1">
      <c r="B3823" s="1"/>
      <c r="C3823" s="1"/>
      <c r="D3823" s="1"/>
      <c r="E3823" s="1"/>
      <c r="F3823" s="1"/>
      <c r="G3823" s="1"/>
      <c r="H3823" s="1"/>
      <c r="I3823" s="1"/>
      <c r="J3823" s="1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  <c r="BA3823" s="2"/>
      <c r="BB3823" s="2"/>
      <c r="BC3823" s="2"/>
      <c r="BD3823" s="2"/>
      <c r="BE3823" s="2"/>
      <c r="BF3823" s="2"/>
      <c r="BG3823" s="2"/>
      <c r="BH3823" s="2"/>
      <c r="BI3823" s="2"/>
      <c r="BJ3823" s="2"/>
      <c r="BK3823" s="2"/>
      <c r="BL3823" s="2"/>
      <c r="BM3823" s="2"/>
      <c r="BN3823" s="2"/>
      <c r="BO3823" s="2"/>
      <c r="BP3823" s="2"/>
      <c r="BQ3823" s="2"/>
      <c r="BR3823" s="2"/>
      <c r="BS3823" s="2"/>
      <c r="BT3823" s="2"/>
      <c r="BU3823" s="2"/>
    </row>
    <row r="3824" spans="2:73" s="38" customFormat="1">
      <c r="B3824" s="1"/>
      <c r="C3824" s="1"/>
      <c r="D3824" s="1"/>
      <c r="E3824" s="1"/>
      <c r="F3824" s="1"/>
      <c r="G3824" s="1"/>
      <c r="H3824" s="1"/>
      <c r="I3824" s="1"/>
      <c r="J3824" s="1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2"/>
      <c r="BA3824" s="2"/>
      <c r="BB3824" s="2"/>
      <c r="BC3824" s="2"/>
      <c r="BD3824" s="2"/>
      <c r="BE3824" s="2"/>
      <c r="BF3824" s="2"/>
      <c r="BG3824" s="2"/>
      <c r="BH3824" s="2"/>
      <c r="BI3824" s="2"/>
      <c r="BJ3824" s="2"/>
      <c r="BK3824" s="2"/>
      <c r="BL3824" s="2"/>
      <c r="BM3824" s="2"/>
      <c r="BN3824" s="2"/>
      <c r="BO3824" s="2"/>
      <c r="BP3824" s="2"/>
      <c r="BQ3824" s="2"/>
      <c r="BR3824" s="2"/>
      <c r="BS3824" s="2"/>
      <c r="BT3824" s="2"/>
      <c r="BU3824" s="2"/>
    </row>
    <row r="3825" spans="2:73" s="38" customFormat="1">
      <c r="B3825" s="1"/>
      <c r="C3825" s="1"/>
      <c r="D3825" s="1"/>
      <c r="E3825" s="1"/>
      <c r="F3825" s="1"/>
      <c r="G3825" s="1"/>
      <c r="H3825" s="1"/>
      <c r="I3825" s="1"/>
      <c r="J3825" s="1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2"/>
      <c r="BA3825" s="2"/>
      <c r="BB3825" s="2"/>
      <c r="BC3825" s="2"/>
      <c r="BD3825" s="2"/>
      <c r="BE3825" s="2"/>
      <c r="BF3825" s="2"/>
      <c r="BG3825" s="2"/>
      <c r="BH3825" s="2"/>
      <c r="BI3825" s="2"/>
      <c r="BJ3825" s="2"/>
      <c r="BK3825" s="2"/>
      <c r="BL3825" s="2"/>
      <c r="BM3825" s="2"/>
      <c r="BN3825" s="2"/>
      <c r="BO3825" s="2"/>
      <c r="BP3825" s="2"/>
      <c r="BQ3825" s="2"/>
      <c r="BR3825" s="2"/>
      <c r="BS3825" s="2"/>
      <c r="BT3825" s="2"/>
      <c r="BU3825" s="2"/>
    </row>
    <row r="3826" spans="2:73" s="38" customFormat="1">
      <c r="B3826" s="1"/>
      <c r="C3826" s="1"/>
      <c r="D3826" s="1"/>
      <c r="E3826" s="1"/>
      <c r="F3826" s="1"/>
      <c r="G3826" s="1"/>
      <c r="H3826" s="1"/>
      <c r="I3826" s="1"/>
      <c r="J3826" s="1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  <c r="BA3826" s="2"/>
      <c r="BB3826" s="2"/>
      <c r="BC3826" s="2"/>
      <c r="BD3826" s="2"/>
      <c r="BE3826" s="2"/>
      <c r="BF3826" s="2"/>
      <c r="BG3826" s="2"/>
      <c r="BH3826" s="2"/>
      <c r="BI3826" s="2"/>
      <c r="BJ3826" s="2"/>
      <c r="BK3826" s="2"/>
      <c r="BL3826" s="2"/>
      <c r="BM3826" s="2"/>
      <c r="BN3826" s="2"/>
      <c r="BO3826" s="2"/>
      <c r="BP3826" s="2"/>
      <c r="BQ3826" s="2"/>
      <c r="BR3826" s="2"/>
      <c r="BS3826" s="2"/>
      <c r="BT3826" s="2"/>
      <c r="BU3826" s="2"/>
    </row>
    <row r="3827" spans="2:73" s="38" customFormat="1">
      <c r="B3827" s="1"/>
      <c r="C3827" s="1"/>
      <c r="D3827" s="1"/>
      <c r="E3827" s="1"/>
      <c r="F3827" s="1"/>
      <c r="G3827" s="1"/>
      <c r="H3827" s="1"/>
      <c r="I3827" s="1"/>
      <c r="J3827" s="1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/>
      <c r="AZ3827" s="2"/>
      <c r="BA3827" s="2"/>
      <c r="BB3827" s="2"/>
      <c r="BC3827" s="2"/>
      <c r="BD3827" s="2"/>
      <c r="BE3827" s="2"/>
      <c r="BF3827" s="2"/>
      <c r="BG3827" s="2"/>
      <c r="BH3827" s="2"/>
      <c r="BI3827" s="2"/>
      <c r="BJ3827" s="2"/>
      <c r="BK3827" s="2"/>
      <c r="BL3827" s="2"/>
      <c r="BM3827" s="2"/>
      <c r="BN3827" s="2"/>
      <c r="BO3827" s="2"/>
      <c r="BP3827" s="2"/>
      <c r="BQ3827" s="2"/>
      <c r="BR3827" s="2"/>
      <c r="BS3827" s="2"/>
      <c r="BT3827" s="2"/>
      <c r="BU3827" s="2"/>
    </row>
    <row r="3828" spans="2:73" s="38" customFormat="1">
      <c r="B3828" s="1"/>
      <c r="C3828" s="1"/>
      <c r="D3828" s="1"/>
      <c r="E3828" s="1"/>
      <c r="F3828" s="1"/>
      <c r="G3828" s="1"/>
      <c r="H3828" s="1"/>
      <c r="I3828" s="1"/>
      <c r="J3828" s="1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/>
      <c r="AZ3828" s="2"/>
      <c r="BA3828" s="2"/>
      <c r="BB3828" s="2"/>
      <c r="BC3828" s="2"/>
      <c r="BD3828" s="2"/>
      <c r="BE3828" s="2"/>
      <c r="BF3828" s="2"/>
      <c r="BG3828" s="2"/>
      <c r="BH3828" s="2"/>
      <c r="BI3828" s="2"/>
      <c r="BJ3828" s="2"/>
      <c r="BK3828" s="2"/>
      <c r="BL3828" s="2"/>
      <c r="BM3828" s="2"/>
      <c r="BN3828" s="2"/>
      <c r="BO3828" s="2"/>
      <c r="BP3828" s="2"/>
      <c r="BQ3828" s="2"/>
      <c r="BR3828" s="2"/>
      <c r="BS3828" s="2"/>
      <c r="BT3828" s="2"/>
      <c r="BU3828" s="2"/>
    </row>
    <row r="3829" spans="2:73" s="38" customFormat="1">
      <c r="B3829" s="1"/>
      <c r="C3829" s="1"/>
      <c r="D3829" s="1"/>
      <c r="E3829" s="1"/>
      <c r="F3829" s="1"/>
      <c r="G3829" s="1"/>
      <c r="H3829" s="1"/>
      <c r="I3829" s="1"/>
      <c r="J3829" s="1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/>
      <c r="AZ3829" s="2"/>
      <c r="BA3829" s="2"/>
      <c r="BB3829" s="2"/>
      <c r="BC3829" s="2"/>
      <c r="BD3829" s="2"/>
      <c r="BE3829" s="2"/>
      <c r="BF3829" s="2"/>
      <c r="BG3829" s="2"/>
      <c r="BH3829" s="2"/>
      <c r="BI3829" s="2"/>
      <c r="BJ3829" s="2"/>
      <c r="BK3829" s="2"/>
      <c r="BL3829" s="2"/>
      <c r="BM3829" s="2"/>
      <c r="BN3829" s="2"/>
      <c r="BO3829" s="2"/>
      <c r="BP3829" s="2"/>
      <c r="BQ3829" s="2"/>
      <c r="BR3829" s="2"/>
      <c r="BS3829" s="2"/>
      <c r="BT3829" s="2"/>
      <c r="BU3829" s="2"/>
    </row>
    <row r="3830" spans="2:73" s="38" customFormat="1">
      <c r="B3830" s="1"/>
      <c r="C3830" s="1"/>
      <c r="D3830" s="1"/>
      <c r="E3830" s="1"/>
      <c r="F3830" s="1"/>
      <c r="G3830" s="1"/>
      <c r="H3830" s="1"/>
      <c r="I3830" s="1"/>
      <c r="J3830" s="1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  <c r="AZ3830" s="2"/>
      <c r="BA3830" s="2"/>
      <c r="BB3830" s="2"/>
      <c r="BC3830" s="2"/>
      <c r="BD3830" s="2"/>
      <c r="BE3830" s="2"/>
      <c r="BF3830" s="2"/>
      <c r="BG3830" s="2"/>
      <c r="BH3830" s="2"/>
      <c r="BI3830" s="2"/>
      <c r="BJ3830" s="2"/>
      <c r="BK3830" s="2"/>
      <c r="BL3830" s="2"/>
      <c r="BM3830" s="2"/>
      <c r="BN3830" s="2"/>
      <c r="BO3830" s="2"/>
      <c r="BP3830" s="2"/>
      <c r="BQ3830" s="2"/>
      <c r="BR3830" s="2"/>
      <c r="BS3830" s="2"/>
      <c r="BT3830" s="2"/>
      <c r="BU3830" s="2"/>
    </row>
    <row r="3831" spans="2:73" s="38" customFormat="1">
      <c r="B3831" s="1"/>
      <c r="C3831" s="1"/>
      <c r="D3831" s="1"/>
      <c r="E3831" s="1"/>
      <c r="F3831" s="1"/>
      <c r="G3831" s="1"/>
      <c r="H3831" s="1"/>
      <c r="I3831" s="1"/>
      <c r="J3831" s="1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/>
      <c r="AZ3831" s="2"/>
      <c r="BA3831" s="2"/>
      <c r="BB3831" s="2"/>
      <c r="BC3831" s="2"/>
      <c r="BD3831" s="2"/>
      <c r="BE3831" s="2"/>
      <c r="BF3831" s="2"/>
      <c r="BG3831" s="2"/>
      <c r="BH3831" s="2"/>
      <c r="BI3831" s="2"/>
      <c r="BJ3831" s="2"/>
      <c r="BK3831" s="2"/>
      <c r="BL3831" s="2"/>
      <c r="BM3831" s="2"/>
      <c r="BN3831" s="2"/>
      <c r="BO3831" s="2"/>
      <c r="BP3831" s="2"/>
      <c r="BQ3831" s="2"/>
      <c r="BR3831" s="2"/>
      <c r="BS3831" s="2"/>
      <c r="BT3831" s="2"/>
      <c r="BU3831" s="2"/>
    </row>
    <row r="3832" spans="2:73" s="38" customFormat="1">
      <c r="B3832" s="1"/>
      <c r="C3832" s="1"/>
      <c r="D3832" s="1"/>
      <c r="E3832" s="1"/>
      <c r="F3832" s="1"/>
      <c r="G3832" s="1"/>
      <c r="H3832" s="1"/>
      <c r="I3832" s="1"/>
      <c r="J3832" s="1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  <c r="AZ3832" s="2"/>
      <c r="BA3832" s="2"/>
      <c r="BB3832" s="2"/>
      <c r="BC3832" s="2"/>
      <c r="BD3832" s="2"/>
      <c r="BE3832" s="2"/>
      <c r="BF3832" s="2"/>
      <c r="BG3832" s="2"/>
      <c r="BH3832" s="2"/>
      <c r="BI3832" s="2"/>
      <c r="BJ3832" s="2"/>
      <c r="BK3832" s="2"/>
      <c r="BL3832" s="2"/>
      <c r="BM3832" s="2"/>
      <c r="BN3832" s="2"/>
      <c r="BO3832" s="2"/>
      <c r="BP3832" s="2"/>
      <c r="BQ3832" s="2"/>
      <c r="BR3832" s="2"/>
      <c r="BS3832" s="2"/>
      <c r="BT3832" s="2"/>
      <c r="BU3832" s="2"/>
    </row>
    <row r="3833" spans="2:73" s="38" customFormat="1">
      <c r="B3833" s="1"/>
      <c r="C3833" s="1"/>
      <c r="D3833" s="1"/>
      <c r="E3833" s="1"/>
      <c r="F3833" s="1"/>
      <c r="G3833" s="1"/>
      <c r="H3833" s="1"/>
      <c r="I3833" s="1"/>
      <c r="J3833" s="1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/>
      <c r="AZ3833" s="2"/>
      <c r="BA3833" s="2"/>
      <c r="BB3833" s="2"/>
      <c r="BC3833" s="2"/>
      <c r="BD3833" s="2"/>
      <c r="BE3833" s="2"/>
      <c r="BF3833" s="2"/>
      <c r="BG3833" s="2"/>
      <c r="BH3833" s="2"/>
      <c r="BI3833" s="2"/>
      <c r="BJ3833" s="2"/>
      <c r="BK3833" s="2"/>
      <c r="BL3833" s="2"/>
      <c r="BM3833" s="2"/>
      <c r="BN3833" s="2"/>
      <c r="BO3833" s="2"/>
      <c r="BP3833" s="2"/>
      <c r="BQ3833" s="2"/>
      <c r="BR3833" s="2"/>
      <c r="BS3833" s="2"/>
      <c r="BT3833" s="2"/>
      <c r="BU3833" s="2"/>
    </row>
    <row r="3834" spans="2:73" s="38" customFormat="1">
      <c r="B3834" s="1"/>
      <c r="C3834" s="1"/>
      <c r="D3834" s="1"/>
      <c r="E3834" s="1"/>
      <c r="F3834" s="1"/>
      <c r="G3834" s="1"/>
      <c r="H3834" s="1"/>
      <c r="I3834" s="1"/>
      <c r="J3834" s="1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  <c r="BA3834" s="2"/>
      <c r="BB3834" s="2"/>
      <c r="BC3834" s="2"/>
      <c r="BD3834" s="2"/>
      <c r="BE3834" s="2"/>
      <c r="BF3834" s="2"/>
      <c r="BG3834" s="2"/>
      <c r="BH3834" s="2"/>
      <c r="BI3834" s="2"/>
      <c r="BJ3834" s="2"/>
      <c r="BK3834" s="2"/>
      <c r="BL3834" s="2"/>
      <c r="BM3834" s="2"/>
      <c r="BN3834" s="2"/>
      <c r="BO3834" s="2"/>
      <c r="BP3834" s="2"/>
      <c r="BQ3834" s="2"/>
      <c r="BR3834" s="2"/>
      <c r="BS3834" s="2"/>
      <c r="BT3834" s="2"/>
      <c r="BU3834" s="2"/>
    </row>
    <row r="3835" spans="2:73" s="38" customFormat="1">
      <c r="B3835" s="1"/>
      <c r="C3835" s="1"/>
      <c r="D3835" s="1"/>
      <c r="E3835" s="1"/>
      <c r="F3835" s="1"/>
      <c r="G3835" s="1"/>
      <c r="H3835" s="1"/>
      <c r="I3835" s="1"/>
      <c r="J3835" s="1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  <c r="AX3835" s="2"/>
      <c r="AY3835" s="2"/>
      <c r="AZ3835" s="2"/>
      <c r="BA3835" s="2"/>
      <c r="BB3835" s="2"/>
      <c r="BC3835" s="2"/>
      <c r="BD3835" s="2"/>
      <c r="BE3835" s="2"/>
      <c r="BF3835" s="2"/>
      <c r="BG3835" s="2"/>
      <c r="BH3835" s="2"/>
      <c r="BI3835" s="2"/>
      <c r="BJ3835" s="2"/>
      <c r="BK3835" s="2"/>
      <c r="BL3835" s="2"/>
      <c r="BM3835" s="2"/>
      <c r="BN3835" s="2"/>
      <c r="BO3835" s="2"/>
      <c r="BP3835" s="2"/>
      <c r="BQ3835" s="2"/>
      <c r="BR3835" s="2"/>
      <c r="BS3835" s="2"/>
      <c r="BT3835" s="2"/>
      <c r="BU3835" s="2"/>
    </row>
    <row r="3836" spans="2:73" s="38" customFormat="1">
      <c r="B3836" s="1"/>
      <c r="C3836" s="1"/>
      <c r="D3836" s="1"/>
      <c r="E3836" s="1"/>
      <c r="F3836" s="1"/>
      <c r="G3836" s="1"/>
      <c r="H3836" s="1"/>
      <c r="I3836" s="1"/>
      <c r="J3836" s="1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  <c r="AZ3836" s="2"/>
      <c r="BA3836" s="2"/>
      <c r="BB3836" s="2"/>
      <c r="BC3836" s="2"/>
      <c r="BD3836" s="2"/>
      <c r="BE3836" s="2"/>
      <c r="BF3836" s="2"/>
      <c r="BG3836" s="2"/>
      <c r="BH3836" s="2"/>
      <c r="BI3836" s="2"/>
      <c r="BJ3836" s="2"/>
      <c r="BK3836" s="2"/>
      <c r="BL3836" s="2"/>
      <c r="BM3836" s="2"/>
      <c r="BN3836" s="2"/>
      <c r="BO3836" s="2"/>
      <c r="BP3836" s="2"/>
      <c r="BQ3836" s="2"/>
      <c r="BR3836" s="2"/>
      <c r="BS3836" s="2"/>
      <c r="BT3836" s="2"/>
      <c r="BU3836" s="2"/>
    </row>
    <row r="3837" spans="2:73" s="38" customFormat="1">
      <c r="B3837" s="1"/>
      <c r="C3837" s="1"/>
      <c r="D3837" s="1"/>
      <c r="E3837" s="1"/>
      <c r="F3837" s="1"/>
      <c r="G3837" s="1"/>
      <c r="H3837" s="1"/>
      <c r="I3837" s="1"/>
      <c r="J3837" s="1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  <c r="AZ3837" s="2"/>
      <c r="BA3837" s="2"/>
      <c r="BB3837" s="2"/>
      <c r="BC3837" s="2"/>
      <c r="BD3837" s="2"/>
      <c r="BE3837" s="2"/>
      <c r="BF3837" s="2"/>
      <c r="BG3837" s="2"/>
      <c r="BH3837" s="2"/>
      <c r="BI3837" s="2"/>
      <c r="BJ3837" s="2"/>
      <c r="BK3837" s="2"/>
      <c r="BL3837" s="2"/>
      <c r="BM3837" s="2"/>
      <c r="BN3837" s="2"/>
      <c r="BO3837" s="2"/>
      <c r="BP3837" s="2"/>
      <c r="BQ3837" s="2"/>
      <c r="BR3837" s="2"/>
      <c r="BS3837" s="2"/>
      <c r="BT3837" s="2"/>
      <c r="BU3837" s="2"/>
    </row>
    <row r="3838" spans="2:73" s="38" customFormat="1">
      <c r="B3838" s="1"/>
      <c r="C3838" s="1"/>
      <c r="D3838" s="1"/>
      <c r="E3838" s="1"/>
      <c r="F3838" s="1"/>
      <c r="G3838" s="1"/>
      <c r="H3838" s="1"/>
      <c r="I3838" s="1"/>
      <c r="J3838" s="1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  <c r="AZ3838" s="2"/>
      <c r="BA3838" s="2"/>
      <c r="BB3838" s="2"/>
      <c r="BC3838" s="2"/>
      <c r="BD3838" s="2"/>
      <c r="BE3838" s="2"/>
      <c r="BF3838" s="2"/>
      <c r="BG3838" s="2"/>
      <c r="BH3838" s="2"/>
      <c r="BI3838" s="2"/>
      <c r="BJ3838" s="2"/>
      <c r="BK3838" s="2"/>
      <c r="BL3838" s="2"/>
      <c r="BM3838" s="2"/>
      <c r="BN3838" s="2"/>
      <c r="BO3838" s="2"/>
      <c r="BP3838" s="2"/>
      <c r="BQ3838" s="2"/>
      <c r="BR3838" s="2"/>
      <c r="BS3838" s="2"/>
      <c r="BT3838" s="2"/>
      <c r="BU3838" s="2"/>
    </row>
    <row r="3839" spans="2:73" s="38" customFormat="1">
      <c r="B3839" s="1"/>
      <c r="C3839" s="1"/>
      <c r="D3839" s="1"/>
      <c r="E3839" s="1"/>
      <c r="F3839" s="1"/>
      <c r="G3839" s="1"/>
      <c r="H3839" s="1"/>
      <c r="I3839" s="1"/>
      <c r="J3839" s="1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2"/>
      <c r="BA3839" s="2"/>
      <c r="BB3839" s="2"/>
      <c r="BC3839" s="2"/>
      <c r="BD3839" s="2"/>
      <c r="BE3839" s="2"/>
      <c r="BF3839" s="2"/>
      <c r="BG3839" s="2"/>
      <c r="BH3839" s="2"/>
      <c r="BI3839" s="2"/>
      <c r="BJ3839" s="2"/>
      <c r="BK3839" s="2"/>
      <c r="BL3839" s="2"/>
      <c r="BM3839" s="2"/>
      <c r="BN3839" s="2"/>
      <c r="BO3839" s="2"/>
      <c r="BP3839" s="2"/>
      <c r="BQ3839" s="2"/>
      <c r="BR3839" s="2"/>
      <c r="BS3839" s="2"/>
      <c r="BT3839" s="2"/>
      <c r="BU3839" s="2"/>
    </row>
    <row r="3840" spans="2:73" s="38" customFormat="1">
      <c r="B3840" s="1"/>
      <c r="C3840" s="1"/>
      <c r="D3840" s="1"/>
      <c r="E3840" s="1"/>
      <c r="F3840" s="1"/>
      <c r="G3840" s="1"/>
      <c r="H3840" s="1"/>
      <c r="I3840" s="1"/>
      <c r="J3840" s="1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/>
      <c r="AZ3840" s="2"/>
      <c r="BA3840" s="2"/>
      <c r="BB3840" s="2"/>
      <c r="BC3840" s="2"/>
      <c r="BD3840" s="2"/>
      <c r="BE3840" s="2"/>
      <c r="BF3840" s="2"/>
      <c r="BG3840" s="2"/>
      <c r="BH3840" s="2"/>
      <c r="BI3840" s="2"/>
      <c r="BJ3840" s="2"/>
      <c r="BK3840" s="2"/>
      <c r="BL3840" s="2"/>
      <c r="BM3840" s="2"/>
      <c r="BN3840" s="2"/>
      <c r="BO3840" s="2"/>
      <c r="BP3840" s="2"/>
      <c r="BQ3840" s="2"/>
      <c r="BR3840" s="2"/>
      <c r="BS3840" s="2"/>
      <c r="BT3840" s="2"/>
      <c r="BU3840" s="2"/>
    </row>
    <row r="3841" spans="2:73" s="38" customFormat="1">
      <c r="B3841" s="1"/>
      <c r="C3841" s="1"/>
      <c r="D3841" s="1"/>
      <c r="E3841" s="1"/>
      <c r="F3841" s="1"/>
      <c r="G3841" s="1"/>
      <c r="H3841" s="1"/>
      <c r="I3841" s="1"/>
      <c r="J3841" s="1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  <c r="BA3841" s="2"/>
      <c r="BB3841" s="2"/>
      <c r="BC3841" s="2"/>
      <c r="BD3841" s="2"/>
      <c r="BE3841" s="2"/>
      <c r="BF3841" s="2"/>
      <c r="BG3841" s="2"/>
      <c r="BH3841" s="2"/>
      <c r="BI3841" s="2"/>
      <c r="BJ3841" s="2"/>
      <c r="BK3841" s="2"/>
      <c r="BL3841" s="2"/>
      <c r="BM3841" s="2"/>
      <c r="BN3841" s="2"/>
      <c r="BO3841" s="2"/>
      <c r="BP3841" s="2"/>
      <c r="BQ3841" s="2"/>
      <c r="BR3841" s="2"/>
      <c r="BS3841" s="2"/>
      <c r="BT3841" s="2"/>
      <c r="BU3841" s="2"/>
    </row>
    <row r="3842" spans="2:73" s="38" customFormat="1">
      <c r="B3842" s="1"/>
      <c r="C3842" s="1"/>
      <c r="D3842" s="1"/>
      <c r="E3842" s="1"/>
      <c r="F3842" s="1"/>
      <c r="G3842" s="1"/>
      <c r="H3842" s="1"/>
      <c r="I3842" s="1"/>
      <c r="J3842" s="1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2"/>
      <c r="BA3842" s="2"/>
      <c r="BB3842" s="2"/>
      <c r="BC3842" s="2"/>
      <c r="BD3842" s="2"/>
      <c r="BE3842" s="2"/>
      <c r="BF3842" s="2"/>
      <c r="BG3842" s="2"/>
      <c r="BH3842" s="2"/>
      <c r="BI3842" s="2"/>
      <c r="BJ3842" s="2"/>
      <c r="BK3842" s="2"/>
      <c r="BL3842" s="2"/>
      <c r="BM3842" s="2"/>
      <c r="BN3842" s="2"/>
      <c r="BO3842" s="2"/>
      <c r="BP3842" s="2"/>
      <c r="BQ3842" s="2"/>
      <c r="BR3842" s="2"/>
      <c r="BS3842" s="2"/>
      <c r="BT3842" s="2"/>
      <c r="BU3842" s="2"/>
    </row>
    <row r="3843" spans="2:73" s="38" customFormat="1">
      <c r="B3843" s="1"/>
      <c r="C3843" s="1"/>
      <c r="D3843" s="1"/>
      <c r="E3843" s="1"/>
      <c r="F3843" s="1"/>
      <c r="G3843" s="1"/>
      <c r="H3843" s="1"/>
      <c r="I3843" s="1"/>
      <c r="J3843" s="1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  <c r="AZ3843" s="2"/>
      <c r="BA3843" s="2"/>
      <c r="BB3843" s="2"/>
      <c r="BC3843" s="2"/>
      <c r="BD3843" s="2"/>
      <c r="BE3843" s="2"/>
      <c r="BF3843" s="2"/>
      <c r="BG3843" s="2"/>
      <c r="BH3843" s="2"/>
      <c r="BI3843" s="2"/>
      <c r="BJ3843" s="2"/>
      <c r="BK3843" s="2"/>
      <c r="BL3843" s="2"/>
      <c r="BM3843" s="2"/>
      <c r="BN3843" s="2"/>
      <c r="BO3843" s="2"/>
      <c r="BP3843" s="2"/>
      <c r="BQ3843" s="2"/>
      <c r="BR3843" s="2"/>
      <c r="BS3843" s="2"/>
      <c r="BT3843" s="2"/>
      <c r="BU3843" s="2"/>
    </row>
    <row r="3844" spans="2:73" s="38" customFormat="1">
      <c r="B3844" s="1"/>
      <c r="C3844" s="1"/>
      <c r="D3844" s="1"/>
      <c r="E3844" s="1"/>
      <c r="F3844" s="1"/>
      <c r="G3844" s="1"/>
      <c r="H3844" s="1"/>
      <c r="I3844" s="1"/>
      <c r="J3844" s="1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  <c r="AX3844" s="2"/>
      <c r="AY3844" s="2"/>
      <c r="AZ3844" s="2"/>
      <c r="BA3844" s="2"/>
      <c r="BB3844" s="2"/>
      <c r="BC3844" s="2"/>
      <c r="BD3844" s="2"/>
      <c r="BE3844" s="2"/>
      <c r="BF3844" s="2"/>
      <c r="BG3844" s="2"/>
      <c r="BH3844" s="2"/>
      <c r="BI3844" s="2"/>
      <c r="BJ3844" s="2"/>
      <c r="BK3844" s="2"/>
      <c r="BL3844" s="2"/>
      <c r="BM3844" s="2"/>
      <c r="BN3844" s="2"/>
      <c r="BO3844" s="2"/>
      <c r="BP3844" s="2"/>
      <c r="BQ3844" s="2"/>
      <c r="BR3844" s="2"/>
      <c r="BS3844" s="2"/>
      <c r="BT3844" s="2"/>
      <c r="BU3844" s="2"/>
    </row>
    <row r="3845" spans="2:73" s="38" customFormat="1">
      <c r="B3845" s="1"/>
      <c r="C3845" s="1"/>
      <c r="D3845" s="1"/>
      <c r="E3845" s="1"/>
      <c r="F3845" s="1"/>
      <c r="G3845" s="1"/>
      <c r="H3845" s="1"/>
      <c r="I3845" s="1"/>
      <c r="J3845" s="1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  <c r="AZ3845" s="2"/>
      <c r="BA3845" s="2"/>
      <c r="BB3845" s="2"/>
      <c r="BC3845" s="2"/>
      <c r="BD3845" s="2"/>
      <c r="BE3845" s="2"/>
      <c r="BF3845" s="2"/>
      <c r="BG3845" s="2"/>
      <c r="BH3845" s="2"/>
      <c r="BI3845" s="2"/>
      <c r="BJ3845" s="2"/>
      <c r="BK3845" s="2"/>
      <c r="BL3845" s="2"/>
      <c r="BM3845" s="2"/>
      <c r="BN3845" s="2"/>
      <c r="BO3845" s="2"/>
      <c r="BP3845" s="2"/>
      <c r="BQ3845" s="2"/>
      <c r="BR3845" s="2"/>
      <c r="BS3845" s="2"/>
      <c r="BT3845" s="2"/>
      <c r="BU3845" s="2"/>
    </row>
    <row r="3846" spans="2:73" s="38" customFormat="1">
      <c r="B3846" s="1"/>
      <c r="C3846" s="1"/>
      <c r="D3846" s="1"/>
      <c r="E3846" s="1"/>
      <c r="F3846" s="1"/>
      <c r="G3846" s="1"/>
      <c r="H3846" s="1"/>
      <c r="I3846" s="1"/>
      <c r="J3846" s="1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Y3846" s="2"/>
      <c r="AZ3846" s="2"/>
      <c r="BA3846" s="2"/>
      <c r="BB3846" s="2"/>
      <c r="BC3846" s="2"/>
      <c r="BD3846" s="2"/>
      <c r="BE3846" s="2"/>
      <c r="BF3846" s="2"/>
      <c r="BG3846" s="2"/>
      <c r="BH3846" s="2"/>
      <c r="BI3846" s="2"/>
      <c r="BJ3846" s="2"/>
      <c r="BK3846" s="2"/>
      <c r="BL3846" s="2"/>
      <c r="BM3846" s="2"/>
      <c r="BN3846" s="2"/>
      <c r="BO3846" s="2"/>
      <c r="BP3846" s="2"/>
      <c r="BQ3846" s="2"/>
      <c r="BR3846" s="2"/>
      <c r="BS3846" s="2"/>
      <c r="BT3846" s="2"/>
      <c r="BU3846" s="2"/>
    </row>
    <row r="3847" spans="2:73" s="38" customFormat="1">
      <c r="B3847" s="1"/>
      <c r="C3847" s="1"/>
      <c r="D3847" s="1"/>
      <c r="E3847" s="1"/>
      <c r="F3847" s="1"/>
      <c r="G3847" s="1"/>
      <c r="H3847" s="1"/>
      <c r="I3847" s="1"/>
      <c r="J3847" s="1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Y3847" s="2"/>
      <c r="AZ3847" s="2"/>
      <c r="BA3847" s="2"/>
      <c r="BB3847" s="2"/>
      <c r="BC3847" s="2"/>
      <c r="BD3847" s="2"/>
      <c r="BE3847" s="2"/>
      <c r="BF3847" s="2"/>
      <c r="BG3847" s="2"/>
      <c r="BH3847" s="2"/>
      <c r="BI3847" s="2"/>
      <c r="BJ3847" s="2"/>
      <c r="BK3847" s="2"/>
      <c r="BL3847" s="2"/>
      <c r="BM3847" s="2"/>
      <c r="BN3847" s="2"/>
      <c r="BO3847" s="2"/>
      <c r="BP3847" s="2"/>
      <c r="BQ3847" s="2"/>
      <c r="BR3847" s="2"/>
      <c r="BS3847" s="2"/>
      <c r="BT3847" s="2"/>
      <c r="BU3847" s="2"/>
    </row>
    <row r="3848" spans="2:73" s="38" customFormat="1">
      <c r="B3848" s="1"/>
      <c r="C3848" s="1"/>
      <c r="D3848" s="1"/>
      <c r="E3848" s="1"/>
      <c r="F3848" s="1"/>
      <c r="G3848" s="1"/>
      <c r="H3848" s="1"/>
      <c r="I3848" s="1"/>
      <c r="J3848" s="1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  <c r="AZ3848" s="2"/>
      <c r="BA3848" s="2"/>
      <c r="BB3848" s="2"/>
      <c r="BC3848" s="2"/>
      <c r="BD3848" s="2"/>
      <c r="BE3848" s="2"/>
      <c r="BF3848" s="2"/>
      <c r="BG3848" s="2"/>
      <c r="BH3848" s="2"/>
      <c r="BI3848" s="2"/>
      <c r="BJ3848" s="2"/>
      <c r="BK3848" s="2"/>
      <c r="BL3848" s="2"/>
      <c r="BM3848" s="2"/>
      <c r="BN3848" s="2"/>
      <c r="BO3848" s="2"/>
      <c r="BP3848" s="2"/>
      <c r="BQ3848" s="2"/>
      <c r="BR3848" s="2"/>
      <c r="BS3848" s="2"/>
      <c r="BT3848" s="2"/>
      <c r="BU3848" s="2"/>
    </row>
    <row r="3849" spans="2:73" s="38" customFormat="1">
      <c r="B3849" s="1"/>
      <c r="C3849" s="1"/>
      <c r="D3849" s="1"/>
      <c r="E3849" s="1"/>
      <c r="F3849" s="1"/>
      <c r="G3849" s="1"/>
      <c r="H3849" s="1"/>
      <c r="I3849" s="1"/>
      <c r="J3849" s="1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  <c r="BA3849" s="2"/>
      <c r="BB3849" s="2"/>
      <c r="BC3849" s="2"/>
      <c r="BD3849" s="2"/>
      <c r="BE3849" s="2"/>
      <c r="BF3849" s="2"/>
      <c r="BG3849" s="2"/>
      <c r="BH3849" s="2"/>
      <c r="BI3849" s="2"/>
      <c r="BJ3849" s="2"/>
      <c r="BK3849" s="2"/>
      <c r="BL3849" s="2"/>
      <c r="BM3849" s="2"/>
      <c r="BN3849" s="2"/>
      <c r="BO3849" s="2"/>
      <c r="BP3849" s="2"/>
      <c r="BQ3849" s="2"/>
      <c r="BR3849" s="2"/>
      <c r="BS3849" s="2"/>
      <c r="BT3849" s="2"/>
      <c r="BU3849" s="2"/>
    </row>
    <row r="3850" spans="2:73" s="38" customFormat="1">
      <c r="B3850" s="1"/>
      <c r="C3850" s="1"/>
      <c r="D3850" s="1"/>
      <c r="E3850" s="1"/>
      <c r="F3850" s="1"/>
      <c r="G3850" s="1"/>
      <c r="H3850" s="1"/>
      <c r="I3850" s="1"/>
      <c r="J3850" s="1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2"/>
      <c r="BA3850" s="2"/>
      <c r="BB3850" s="2"/>
      <c r="BC3850" s="2"/>
      <c r="BD3850" s="2"/>
      <c r="BE3850" s="2"/>
      <c r="BF3850" s="2"/>
      <c r="BG3850" s="2"/>
      <c r="BH3850" s="2"/>
      <c r="BI3850" s="2"/>
      <c r="BJ3850" s="2"/>
      <c r="BK3850" s="2"/>
      <c r="BL3850" s="2"/>
      <c r="BM3850" s="2"/>
      <c r="BN3850" s="2"/>
      <c r="BO3850" s="2"/>
      <c r="BP3850" s="2"/>
      <c r="BQ3850" s="2"/>
      <c r="BR3850" s="2"/>
      <c r="BS3850" s="2"/>
      <c r="BT3850" s="2"/>
      <c r="BU3850" s="2"/>
    </row>
    <row r="3851" spans="2:73" s="38" customFormat="1">
      <c r="B3851" s="1"/>
      <c r="C3851" s="1"/>
      <c r="D3851" s="1"/>
      <c r="E3851" s="1"/>
      <c r="F3851" s="1"/>
      <c r="G3851" s="1"/>
      <c r="H3851" s="1"/>
      <c r="I3851" s="1"/>
      <c r="J3851" s="1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2"/>
      <c r="BA3851" s="2"/>
      <c r="BB3851" s="2"/>
      <c r="BC3851" s="2"/>
      <c r="BD3851" s="2"/>
      <c r="BE3851" s="2"/>
      <c r="BF3851" s="2"/>
      <c r="BG3851" s="2"/>
      <c r="BH3851" s="2"/>
      <c r="BI3851" s="2"/>
      <c r="BJ3851" s="2"/>
      <c r="BK3851" s="2"/>
      <c r="BL3851" s="2"/>
      <c r="BM3851" s="2"/>
      <c r="BN3851" s="2"/>
      <c r="BO3851" s="2"/>
      <c r="BP3851" s="2"/>
      <c r="BQ3851" s="2"/>
      <c r="BR3851" s="2"/>
      <c r="BS3851" s="2"/>
      <c r="BT3851" s="2"/>
      <c r="BU3851" s="2"/>
    </row>
    <row r="3852" spans="2:73" s="38" customFormat="1">
      <c r="B3852" s="1"/>
      <c r="C3852" s="1"/>
      <c r="D3852" s="1"/>
      <c r="E3852" s="1"/>
      <c r="F3852" s="1"/>
      <c r="G3852" s="1"/>
      <c r="H3852" s="1"/>
      <c r="I3852" s="1"/>
      <c r="J3852" s="1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  <c r="BA3852" s="2"/>
      <c r="BB3852" s="2"/>
      <c r="BC3852" s="2"/>
      <c r="BD3852" s="2"/>
      <c r="BE3852" s="2"/>
      <c r="BF3852" s="2"/>
      <c r="BG3852" s="2"/>
      <c r="BH3852" s="2"/>
      <c r="BI3852" s="2"/>
      <c r="BJ3852" s="2"/>
      <c r="BK3852" s="2"/>
      <c r="BL3852" s="2"/>
      <c r="BM3852" s="2"/>
      <c r="BN3852" s="2"/>
      <c r="BO3852" s="2"/>
      <c r="BP3852" s="2"/>
      <c r="BQ3852" s="2"/>
      <c r="BR3852" s="2"/>
      <c r="BS3852" s="2"/>
      <c r="BT3852" s="2"/>
      <c r="BU3852" s="2"/>
    </row>
    <row r="3853" spans="2:73" s="38" customFormat="1">
      <c r="B3853" s="1"/>
      <c r="C3853" s="1"/>
      <c r="D3853" s="1"/>
      <c r="E3853" s="1"/>
      <c r="F3853" s="1"/>
      <c r="G3853" s="1"/>
      <c r="H3853" s="1"/>
      <c r="I3853" s="1"/>
      <c r="J3853" s="1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  <c r="AX3853" s="2"/>
      <c r="AY3853" s="2"/>
      <c r="AZ3853" s="2"/>
      <c r="BA3853" s="2"/>
      <c r="BB3853" s="2"/>
      <c r="BC3853" s="2"/>
      <c r="BD3853" s="2"/>
      <c r="BE3853" s="2"/>
      <c r="BF3853" s="2"/>
      <c r="BG3853" s="2"/>
      <c r="BH3853" s="2"/>
      <c r="BI3853" s="2"/>
      <c r="BJ3853" s="2"/>
      <c r="BK3853" s="2"/>
      <c r="BL3853" s="2"/>
      <c r="BM3853" s="2"/>
      <c r="BN3853" s="2"/>
      <c r="BO3853" s="2"/>
      <c r="BP3853" s="2"/>
      <c r="BQ3853" s="2"/>
      <c r="BR3853" s="2"/>
      <c r="BS3853" s="2"/>
      <c r="BT3853" s="2"/>
      <c r="BU3853" s="2"/>
    </row>
    <row r="3854" spans="2:73" s="38" customFormat="1">
      <c r="B3854" s="1"/>
      <c r="C3854" s="1"/>
      <c r="D3854" s="1"/>
      <c r="E3854" s="1"/>
      <c r="F3854" s="1"/>
      <c r="G3854" s="1"/>
      <c r="H3854" s="1"/>
      <c r="I3854" s="1"/>
      <c r="J3854" s="1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  <c r="AZ3854" s="2"/>
      <c r="BA3854" s="2"/>
      <c r="BB3854" s="2"/>
      <c r="BC3854" s="2"/>
      <c r="BD3854" s="2"/>
      <c r="BE3854" s="2"/>
      <c r="BF3854" s="2"/>
      <c r="BG3854" s="2"/>
      <c r="BH3854" s="2"/>
      <c r="BI3854" s="2"/>
      <c r="BJ3854" s="2"/>
      <c r="BK3854" s="2"/>
      <c r="BL3854" s="2"/>
      <c r="BM3854" s="2"/>
      <c r="BN3854" s="2"/>
      <c r="BO3854" s="2"/>
      <c r="BP3854" s="2"/>
      <c r="BQ3854" s="2"/>
      <c r="BR3854" s="2"/>
      <c r="BS3854" s="2"/>
      <c r="BT3854" s="2"/>
      <c r="BU3854" s="2"/>
    </row>
    <row r="3855" spans="2:73" s="38" customFormat="1">
      <c r="B3855" s="1"/>
      <c r="C3855" s="1"/>
      <c r="D3855" s="1"/>
      <c r="E3855" s="1"/>
      <c r="F3855" s="1"/>
      <c r="G3855" s="1"/>
      <c r="H3855" s="1"/>
      <c r="I3855" s="1"/>
      <c r="J3855" s="1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  <c r="AZ3855" s="2"/>
      <c r="BA3855" s="2"/>
      <c r="BB3855" s="2"/>
      <c r="BC3855" s="2"/>
      <c r="BD3855" s="2"/>
      <c r="BE3855" s="2"/>
      <c r="BF3855" s="2"/>
      <c r="BG3855" s="2"/>
      <c r="BH3855" s="2"/>
      <c r="BI3855" s="2"/>
      <c r="BJ3855" s="2"/>
      <c r="BK3855" s="2"/>
      <c r="BL3855" s="2"/>
      <c r="BM3855" s="2"/>
      <c r="BN3855" s="2"/>
      <c r="BO3855" s="2"/>
      <c r="BP3855" s="2"/>
      <c r="BQ3855" s="2"/>
      <c r="BR3855" s="2"/>
      <c r="BS3855" s="2"/>
      <c r="BT3855" s="2"/>
      <c r="BU3855" s="2"/>
    </row>
    <row r="3856" spans="2:73" s="38" customFormat="1">
      <c r="B3856" s="1"/>
      <c r="C3856" s="1"/>
      <c r="D3856" s="1"/>
      <c r="E3856" s="1"/>
      <c r="F3856" s="1"/>
      <c r="G3856" s="1"/>
      <c r="H3856" s="1"/>
      <c r="I3856" s="1"/>
      <c r="J3856" s="1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  <c r="BA3856" s="2"/>
      <c r="BB3856" s="2"/>
      <c r="BC3856" s="2"/>
      <c r="BD3856" s="2"/>
      <c r="BE3856" s="2"/>
      <c r="BF3856" s="2"/>
      <c r="BG3856" s="2"/>
      <c r="BH3856" s="2"/>
      <c r="BI3856" s="2"/>
      <c r="BJ3856" s="2"/>
      <c r="BK3856" s="2"/>
      <c r="BL3856" s="2"/>
      <c r="BM3856" s="2"/>
      <c r="BN3856" s="2"/>
      <c r="BO3856" s="2"/>
      <c r="BP3856" s="2"/>
      <c r="BQ3856" s="2"/>
      <c r="BR3856" s="2"/>
      <c r="BS3856" s="2"/>
      <c r="BT3856" s="2"/>
      <c r="BU3856" s="2"/>
    </row>
    <row r="3857" spans="2:73" s="38" customFormat="1">
      <c r="B3857" s="1"/>
      <c r="C3857" s="1"/>
      <c r="D3857" s="1"/>
      <c r="E3857" s="1"/>
      <c r="F3857" s="1"/>
      <c r="G3857" s="1"/>
      <c r="H3857" s="1"/>
      <c r="I3857" s="1"/>
      <c r="J3857" s="1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  <c r="BA3857" s="2"/>
      <c r="BB3857" s="2"/>
      <c r="BC3857" s="2"/>
      <c r="BD3857" s="2"/>
      <c r="BE3857" s="2"/>
      <c r="BF3857" s="2"/>
      <c r="BG3857" s="2"/>
      <c r="BH3857" s="2"/>
      <c r="BI3857" s="2"/>
      <c r="BJ3857" s="2"/>
      <c r="BK3857" s="2"/>
      <c r="BL3857" s="2"/>
      <c r="BM3857" s="2"/>
      <c r="BN3857" s="2"/>
      <c r="BO3857" s="2"/>
      <c r="BP3857" s="2"/>
      <c r="BQ3857" s="2"/>
      <c r="BR3857" s="2"/>
      <c r="BS3857" s="2"/>
      <c r="BT3857" s="2"/>
      <c r="BU3857" s="2"/>
    </row>
    <row r="3858" spans="2:73" s="38" customFormat="1">
      <c r="B3858" s="1"/>
      <c r="C3858" s="1"/>
      <c r="D3858" s="1"/>
      <c r="E3858" s="1"/>
      <c r="F3858" s="1"/>
      <c r="G3858" s="1"/>
      <c r="H3858" s="1"/>
      <c r="I3858" s="1"/>
      <c r="J3858" s="1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/>
      <c r="AZ3858" s="2"/>
      <c r="BA3858" s="2"/>
      <c r="BB3858" s="2"/>
      <c r="BC3858" s="2"/>
      <c r="BD3858" s="2"/>
      <c r="BE3858" s="2"/>
      <c r="BF3858" s="2"/>
      <c r="BG3858" s="2"/>
      <c r="BH3858" s="2"/>
      <c r="BI3858" s="2"/>
      <c r="BJ3858" s="2"/>
      <c r="BK3858" s="2"/>
      <c r="BL3858" s="2"/>
      <c r="BM3858" s="2"/>
      <c r="BN3858" s="2"/>
      <c r="BO3858" s="2"/>
      <c r="BP3858" s="2"/>
      <c r="BQ3858" s="2"/>
      <c r="BR3858" s="2"/>
      <c r="BS3858" s="2"/>
      <c r="BT3858" s="2"/>
      <c r="BU3858" s="2"/>
    </row>
    <row r="3859" spans="2:73" s="38" customFormat="1">
      <c r="B3859" s="1"/>
      <c r="C3859" s="1"/>
      <c r="D3859" s="1"/>
      <c r="E3859" s="1"/>
      <c r="F3859" s="1"/>
      <c r="G3859" s="1"/>
      <c r="H3859" s="1"/>
      <c r="I3859" s="1"/>
      <c r="J3859" s="1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/>
      <c r="AZ3859" s="2"/>
      <c r="BA3859" s="2"/>
      <c r="BB3859" s="2"/>
      <c r="BC3859" s="2"/>
      <c r="BD3859" s="2"/>
      <c r="BE3859" s="2"/>
      <c r="BF3859" s="2"/>
      <c r="BG3859" s="2"/>
      <c r="BH3859" s="2"/>
      <c r="BI3859" s="2"/>
      <c r="BJ3859" s="2"/>
      <c r="BK3859" s="2"/>
      <c r="BL3859" s="2"/>
      <c r="BM3859" s="2"/>
      <c r="BN3859" s="2"/>
      <c r="BO3859" s="2"/>
      <c r="BP3859" s="2"/>
      <c r="BQ3859" s="2"/>
      <c r="BR3859" s="2"/>
      <c r="BS3859" s="2"/>
      <c r="BT3859" s="2"/>
      <c r="BU3859" s="2"/>
    </row>
    <row r="3860" spans="2:73" s="38" customFormat="1">
      <c r="B3860" s="1"/>
      <c r="C3860" s="1"/>
      <c r="D3860" s="1"/>
      <c r="E3860" s="1"/>
      <c r="F3860" s="1"/>
      <c r="G3860" s="1"/>
      <c r="H3860" s="1"/>
      <c r="I3860" s="1"/>
      <c r="J3860" s="1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  <c r="AZ3860" s="2"/>
      <c r="BA3860" s="2"/>
      <c r="BB3860" s="2"/>
      <c r="BC3860" s="2"/>
      <c r="BD3860" s="2"/>
      <c r="BE3860" s="2"/>
      <c r="BF3860" s="2"/>
      <c r="BG3860" s="2"/>
      <c r="BH3860" s="2"/>
      <c r="BI3860" s="2"/>
      <c r="BJ3860" s="2"/>
      <c r="BK3860" s="2"/>
      <c r="BL3860" s="2"/>
      <c r="BM3860" s="2"/>
      <c r="BN3860" s="2"/>
      <c r="BO3860" s="2"/>
      <c r="BP3860" s="2"/>
      <c r="BQ3860" s="2"/>
      <c r="BR3860" s="2"/>
      <c r="BS3860" s="2"/>
      <c r="BT3860" s="2"/>
      <c r="BU3860" s="2"/>
    </row>
    <row r="3861" spans="2:73" s="38" customFormat="1">
      <c r="B3861" s="1"/>
      <c r="C3861" s="1"/>
      <c r="D3861" s="1"/>
      <c r="E3861" s="1"/>
      <c r="F3861" s="1"/>
      <c r="G3861" s="1"/>
      <c r="H3861" s="1"/>
      <c r="I3861" s="1"/>
      <c r="J3861" s="1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/>
      <c r="AZ3861" s="2"/>
      <c r="BA3861" s="2"/>
      <c r="BB3861" s="2"/>
      <c r="BC3861" s="2"/>
      <c r="BD3861" s="2"/>
      <c r="BE3861" s="2"/>
      <c r="BF3861" s="2"/>
      <c r="BG3861" s="2"/>
      <c r="BH3861" s="2"/>
      <c r="BI3861" s="2"/>
      <c r="BJ3861" s="2"/>
      <c r="BK3861" s="2"/>
      <c r="BL3861" s="2"/>
      <c r="BM3861" s="2"/>
      <c r="BN3861" s="2"/>
      <c r="BO3861" s="2"/>
      <c r="BP3861" s="2"/>
      <c r="BQ3861" s="2"/>
      <c r="BR3861" s="2"/>
      <c r="BS3861" s="2"/>
      <c r="BT3861" s="2"/>
      <c r="BU3861" s="2"/>
    </row>
    <row r="3862" spans="2:73" s="38" customFormat="1">
      <c r="B3862" s="1"/>
      <c r="C3862" s="1"/>
      <c r="D3862" s="1"/>
      <c r="E3862" s="1"/>
      <c r="F3862" s="1"/>
      <c r="G3862" s="1"/>
      <c r="H3862" s="1"/>
      <c r="I3862" s="1"/>
      <c r="J3862" s="1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  <c r="AX3862" s="2"/>
      <c r="AY3862" s="2"/>
      <c r="AZ3862" s="2"/>
      <c r="BA3862" s="2"/>
      <c r="BB3862" s="2"/>
      <c r="BC3862" s="2"/>
      <c r="BD3862" s="2"/>
      <c r="BE3862" s="2"/>
      <c r="BF3862" s="2"/>
      <c r="BG3862" s="2"/>
      <c r="BH3862" s="2"/>
      <c r="BI3862" s="2"/>
      <c r="BJ3862" s="2"/>
      <c r="BK3862" s="2"/>
      <c r="BL3862" s="2"/>
      <c r="BM3862" s="2"/>
      <c r="BN3862" s="2"/>
      <c r="BO3862" s="2"/>
      <c r="BP3862" s="2"/>
      <c r="BQ3862" s="2"/>
      <c r="BR3862" s="2"/>
      <c r="BS3862" s="2"/>
      <c r="BT3862" s="2"/>
      <c r="BU3862" s="2"/>
    </row>
    <row r="3863" spans="2:73" s="38" customFormat="1">
      <c r="B3863" s="1"/>
      <c r="C3863" s="1"/>
      <c r="D3863" s="1"/>
      <c r="E3863" s="1"/>
      <c r="F3863" s="1"/>
      <c r="G3863" s="1"/>
      <c r="H3863" s="1"/>
      <c r="I3863" s="1"/>
      <c r="J3863" s="1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  <c r="AZ3863" s="2"/>
      <c r="BA3863" s="2"/>
      <c r="BB3863" s="2"/>
      <c r="BC3863" s="2"/>
      <c r="BD3863" s="2"/>
      <c r="BE3863" s="2"/>
      <c r="BF3863" s="2"/>
      <c r="BG3863" s="2"/>
      <c r="BH3863" s="2"/>
      <c r="BI3863" s="2"/>
      <c r="BJ3863" s="2"/>
      <c r="BK3863" s="2"/>
      <c r="BL3863" s="2"/>
      <c r="BM3863" s="2"/>
      <c r="BN3863" s="2"/>
      <c r="BO3863" s="2"/>
      <c r="BP3863" s="2"/>
      <c r="BQ3863" s="2"/>
      <c r="BR3863" s="2"/>
      <c r="BS3863" s="2"/>
      <c r="BT3863" s="2"/>
      <c r="BU3863" s="2"/>
    </row>
    <row r="3864" spans="2:73" s="38" customFormat="1">
      <c r="B3864" s="1"/>
      <c r="C3864" s="1"/>
      <c r="D3864" s="1"/>
      <c r="E3864" s="1"/>
      <c r="F3864" s="1"/>
      <c r="G3864" s="1"/>
      <c r="H3864" s="1"/>
      <c r="I3864" s="1"/>
      <c r="J3864" s="1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/>
      <c r="AZ3864" s="2"/>
      <c r="BA3864" s="2"/>
      <c r="BB3864" s="2"/>
      <c r="BC3864" s="2"/>
      <c r="BD3864" s="2"/>
      <c r="BE3864" s="2"/>
      <c r="BF3864" s="2"/>
      <c r="BG3864" s="2"/>
      <c r="BH3864" s="2"/>
      <c r="BI3864" s="2"/>
      <c r="BJ3864" s="2"/>
      <c r="BK3864" s="2"/>
      <c r="BL3864" s="2"/>
      <c r="BM3864" s="2"/>
      <c r="BN3864" s="2"/>
      <c r="BO3864" s="2"/>
      <c r="BP3864" s="2"/>
      <c r="BQ3864" s="2"/>
      <c r="BR3864" s="2"/>
      <c r="BS3864" s="2"/>
      <c r="BT3864" s="2"/>
      <c r="BU3864" s="2"/>
    </row>
    <row r="3865" spans="2:73" s="38" customFormat="1">
      <c r="B3865" s="1"/>
      <c r="C3865" s="1"/>
      <c r="D3865" s="1"/>
      <c r="E3865" s="1"/>
      <c r="F3865" s="1"/>
      <c r="G3865" s="1"/>
      <c r="H3865" s="1"/>
      <c r="I3865" s="1"/>
      <c r="J3865" s="1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  <c r="AX3865" s="2"/>
      <c r="AY3865" s="2"/>
      <c r="AZ3865" s="2"/>
      <c r="BA3865" s="2"/>
      <c r="BB3865" s="2"/>
      <c r="BC3865" s="2"/>
      <c r="BD3865" s="2"/>
      <c r="BE3865" s="2"/>
      <c r="BF3865" s="2"/>
      <c r="BG3865" s="2"/>
      <c r="BH3865" s="2"/>
      <c r="BI3865" s="2"/>
      <c r="BJ3865" s="2"/>
      <c r="BK3865" s="2"/>
      <c r="BL3865" s="2"/>
      <c r="BM3865" s="2"/>
      <c r="BN3865" s="2"/>
      <c r="BO3865" s="2"/>
      <c r="BP3865" s="2"/>
      <c r="BQ3865" s="2"/>
      <c r="BR3865" s="2"/>
      <c r="BS3865" s="2"/>
      <c r="BT3865" s="2"/>
      <c r="BU3865" s="2"/>
    </row>
    <row r="3866" spans="2:73" s="38" customFormat="1">
      <c r="B3866" s="1"/>
      <c r="C3866" s="1"/>
      <c r="D3866" s="1"/>
      <c r="E3866" s="1"/>
      <c r="F3866" s="1"/>
      <c r="G3866" s="1"/>
      <c r="H3866" s="1"/>
      <c r="I3866" s="1"/>
      <c r="J3866" s="1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2"/>
      <c r="AX3866" s="2"/>
      <c r="AY3866" s="2"/>
      <c r="AZ3866" s="2"/>
      <c r="BA3866" s="2"/>
      <c r="BB3866" s="2"/>
      <c r="BC3866" s="2"/>
      <c r="BD3866" s="2"/>
      <c r="BE3866" s="2"/>
      <c r="BF3866" s="2"/>
      <c r="BG3866" s="2"/>
      <c r="BH3866" s="2"/>
      <c r="BI3866" s="2"/>
      <c r="BJ3866" s="2"/>
      <c r="BK3866" s="2"/>
      <c r="BL3866" s="2"/>
      <c r="BM3866" s="2"/>
      <c r="BN3866" s="2"/>
      <c r="BO3866" s="2"/>
      <c r="BP3866" s="2"/>
      <c r="BQ3866" s="2"/>
      <c r="BR3866" s="2"/>
      <c r="BS3866" s="2"/>
      <c r="BT3866" s="2"/>
      <c r="BU3866" s="2"/>
    </row>
    <row r="3867" spans="2:73" s="38" customFormat="1">
      <c r="B3867" s="1"/>
      <c r="C3867" s="1"/>
      <c r="D3867" s="1"/>
      <c r="E3867" s="1"/>
      <c r="F3867" s="1"/>
      <c r="G3867" s="1"/>
      <c r="H3867" s="1"/>
      <c r="I3867" s="1"/>
      <c r="J3867" s="1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  <c r="AX3867" s="2"/>
      <c r="AY3867" s="2"/>
      <c r="AZ3867" s="2"/>
      <c r="BA3867" s="2"/>
      <c r="BB3867" s="2"/>
      <c r="BC3867" s="2"/>
      <c r="BD3867" s="2"/>
      <c r="BE3867" s="2"/>
      <c r="BF3867" s="2"/>
      <c r="BG3867" s="2"/>
      <c r="BH3867" s="2"/>
      <c r="BI3867" s="2"/>
      <c r="BJ3867" s="2"/>
      <c r="BK3867" s="2"/>
      <c r="BL3867" s="2"/>
      <c r="BM3867" s="2"/>
      <c r="BN3867" s="2"/>
      <c r="BO3867" s="2"/>
      <c r="BP3867" s="2"/>
      <c r="BQ3867" s="2"/>
      <c r="BR3867" s="2"/>
      <c r="BS3867" s="2"/>
      <c r="BT3867" s="2"/>
      <c r="BU3867" s="2"/>
    </row>
    <row r="3868" spans="2:73" s="38" customFormat="1">
      <c r="B3868" s="1"/>
      <c r="C3868" s="1"/>
      <c r="D3868" s="1"/>
      <c r="E3868" s="1"/>
      <c r="F3868" s="1"/>
      <c r="G3868" s="1"/>
      <c r="H3868" s="1"/>
      <c r="I3868" s="1"/>
      <c r="J3868" s="1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2"/>
      <c r="BA3868" s="2"/>
      <c r="BB3868" s="2"/>
      <c r="BC3868" s="2"/>
      <c r="BD3868" s="2"/>
      <c r="BE3868" s="2"/>
      <c r="BF3868" s="2"/>
      <c r="BG3868" s="2"/>
      <c r="BH3868" s="2"/>
      <c r="BI3868" s="2"/>
      <c r="BJ3868" s="2"/>
      <c r="BK3868" s="2"/>
      <c r="BL3868" s="2"/>
      <c r="BM3868" s="2"/>
      <c r="BN3868" s="2"/>
      <c r="BO3868" s="2"/>
      <c r="BP3868" s="2"/>
      <c r="BQ3868" s="2"/>
      <c r="BR3868" s="2"/>
      <c r="BS3868" s="2"/>
      <c r="BT3868" s="2"/>
      <c r="BU3868" s="2"/>
    </row>
    <row r="3869" spans="2:73" s="38" customFormat="1">
      <c r="B3869" s="1"/>
      <c r="C3869" s="1"/>
      <c r="D3869" s="1"/>
      <c r="E3869" s="1"/>
      <c r="F3869" s="1"/>
      <c r="G3869" s="1"/>
      <c r="H3869" s="1"/>
      <c r="I3869" s="1"/>
      <c r="J3869" s="1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  <c r="BA3869" s="2"/>
      <c r="BB3869" s="2"/>
      <c r="BC3869" s="2"/>
      <c r="BD3869" s="2"/>
      <c r="BE3869" s="2"/>
      <c r="BF3869" s="2"/>
      <c r="BG3869" s="2"/>
      <c r="BH3869" s="2"/>
      <c r="BI3869" s="2"/>
      <c r="BJ3869" s="2"/>
      <c r="BK3869" s="2"/>
      <c r="BL3869" s="2"/>
      <c r="BM3869" s="2"/>
      <c r="BN3869" s="2"/>
      <c r="BO3869" s="2"/>
      <c r="BP3869" s="2"/>
      <c r="BQ3869" s="2"/>
      <c r="BR3869" s="2"/>
      <c r="BS3869" s="2"/>
      <c r="BT3869" s="2"/>
      <c r="BU3869" s="2"/>
    </row>
    <row r="3870" spans="2:73" s="38" customFormat="1">
      <c r="B3870" s="1"/>
      <c r="C3870" s="1"/>
      <c r="D3870" s="1"/>
      <c r="E3870" s="1"/>
      <c r="F3870" s="1"/>
      <c r="G3870" s="1"/>
      <c r="H3870" s="1"/>
      <c r="I3870" s="1"/>
      <c r="J3870" s="1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  <c r="AX3870" s="2"/>
      <c r="AY3870" s="2"/>
      <c r="AZ3870" s="2"/>
      <c r="BA3870" s="2"/>
      <c r="BB3870" s="2"/>
      <c r="BC3870" s="2"/>
      <c r="BD3870" s="2"/>
      <c r="BE3870" s="2"/>
      <c r="BF3870" s="2"/>
      <c r="BG3870" s="2"/>
      <c r="BH3870" s="2"/>
      <c r="BI3870" s="2"/>
      <c r="BJ3870" s="2"/>
      <c r="BK3870" s="2"/>
      <c r="BL3870" s="2"/>
      <c r="BM3870" s="2"/>
      <c r="BN3870" s="2"/>
      <c r="BO3870" s="2"/>
      <c r="BP3870" s="2"/>
      <c r="BQ3870" s="2"/>
      <c r="BR3870" s="2"/>
      <c r="BS3870" s="2"/>
      <c r="BT3870" s="2"/>
      <c r="BU3870" s="2"/>
    </row>
    <row r="3871" spans="2:73" s="38" customFormat="1">
      <c r="B3871" s="1"/>
      <c r="C3871" s="1"/>
      <c r="D3871" s="1"/>
      <c r="E3871" s="1"/>
      <c r="F3871" s="1"/>
      <c r="G3871" s="1"/>
      <c r="H3871" s="1"/>
      <c r="I3871" s="1"/>
      <c r="J3871" s="1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  <c r="AX3871" s="2"/>
      <c r="AY3871" s="2"/>
      <c r="AZ3871" s="2"/>
      <c r="BA3871" s="2"/>
      <c r="BB3871" s="2"/>
      <c r="BC3871" s="2"/>
      <c r="BD3871" s="2"/>
      <c r="BE3871" s="2"/>
      <c r="BF3871" s="2"/>
      <c r="BG3871" s="2"/>
      <c r="BH3871" s="2"/>
      <c r="BI3871" s="2"/>
      <c r="BJ3871" s="2"/>
      <c r="BK3871" s="2"/>
      <c r="BL3871" s="2"/>
      <c r="BM3871" s="2"/>
      <c r="BN3871" s="2"/>
      <c r="BO3871" s="2"/>
      <c r="BP3871" s="2"/>
      <c r="BQ3871" s="2"/>
      <c r="BR3871" s="2"/>
      <c r="BS3871" s="2"/>
      <c r="BT3871" s="2"/>
      <c r="BU3871" s="2"/>
    </row>
    <row r="3872" spans="2:73" s="38" customFormat="1">
      <c r="B3872" s="1"/>
      <c r="C3872" s="1"/>
      <c r="D3872" s="1"/>
      <c r="E3872" s="1"/>
      <c r="F3872" s="1"/>
      <c r="G3872" s="1"/>
      <c r="H3872" s="1"/>
      <c r="I3872" s="1"/>
      <c r="J3872" s="1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/>
      <c r="AZ3872" s="2"/>
      <c r="BA3872" s="2"/>
      <c r="BB3872" s="2"/>
      <c r="BC3872" s="2"/>
      <c r="BD3872" s="2"/>
      <c r="BE3872" s="2"/>
      <c r="BF3872" s="2"/>
      <c r="BG3872" s="2"/>
      <c r="BH3872" s="2"/>
      <c r="BI3872" s="2"/>
      <c r="BJ3872" s="2"/>
      <c r="BK3872" s="2"/>
      <c r="BL3872" s="2"/>
      <c r="BM3872" s="2"/>
      <c r="BN3872" s="2"/>
      <c r="BO3872" s="2"/>
      <c r="BP3872" s="2"/>
      <c r="BQ3872" s="2"/>
      <c r="BR3872" s="2"/>
      <c r="BS3872" s="2"/>
      <c r="BT3872" s="2"/>
      <c r="BU3872" s="2"/>
    </row>
    <row r="3873" spans="2:73" s="38" customFormat="1">
      <c r="B3873" s="1"/>
      <c r="C3873" s="1"/>
      <c r="D3873" s="1"/>
      <c r="E3873" s="1"/>
      <c r="F3873" s="1"/>
      <c r="G3873" s="1"/>
      <c r="H3873" s="1"/>
      <c r="I3873" s="1"/>
      <c r="J3873" s="1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  <c r="AZ3873" s="2"/>
      <c r="BA3873" s="2"/>
      <c r="BB3873" s="2"/>
      <c r="BC3873" s="2"/>
      <c r="BD3873" s="2"/>
      <c r="BE3873" s="2"/>
      <c r="BF3873" s="2"/>
      <c r="BG3873" s="2"/>
      <c r="BH3873" s="2"/>
      <c r="BI3873" s="2"/>
      <c r="BJ3873" s="2"/>
      <c r="BK3873" s="2"/>
      <c r="BL3873" s="2"/>
      <c r="BM3873" s="2"/>
      <c r="BN3873" s="2"/>
      <c r="BO3873" s="2"/>
      <c r="BP3873" s="2"/>
      <c r="BQ3873" s="2"/>
      <c r="BR3873" s="2"/>
      <c r="BS3873" s="2"/>
      <c r="BT3873" s="2"/>
      <c r="BU3873" s="2"/>
    </row>
    <row r="3874" spans="2:73" s="38" customFormat="1">
      <c r="B3874" s="1"/>
      <c r="C3874" s="1"/>
      <c r="D3874" s="1"/>
      <c r="E3874" s="1"/>
      <c r="F3874" s="1"/>
      <c r="G3874" s="1"/>
      <c r="H3874" s="1"/>
      <c r="I3874" s="1"/>
      <c r="J3874" s="1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  <c r="AZ3874" s="2"/>
      <c r="BA3874" s="2"/>
      <c r="BB3874" s="2"/>
      <c r="BC3874" s="2"/>
      <c r="BD3874" s="2"/>
      <c r="BE3874" s="2"/>
      <c r="BF3874" s="2"/>
      <c r="BG3874" s="2"/>
      <c r="BH3874" s="2"/>
      <c r="BI3874" s="2"/>
      <c r="BJ3874" s="2"/>
      <c r="BK3874" s="2"/>
      <c r="BL3874" s="2"/>
      <c r="BM3874" s="2"/>
      <c r="BN3874" s="2"/>
      <c r="BO3874" s="2"/>
      <c r="BP3874" s="2"/>
      <c r="BQ3874" s="2"/>
      <c r="BR3874" s="2"/>
      <c r="BS3874" s="2"/>
      <c r="BT3874" s="2"/>
      <c r="BU3874" s="2"/>
    </row>
    <row r="3875" spans="2:73" s="38" customFormat="1">
      <c r="B3875" s="1"/>
      <c r="C3875" s="1"/>
      <c r="D3875" s="1"/>
      <c r="E3875" s="1"/>
      <c r="F3875" s="1"/>
      <c r="G3875" s="1"/>
      <c r="H3875" s="1"/>
      <c r="I3875" s="1"/>
      <c r="J3875" s="1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2"/>
      <c r="AX3875" s="2"/>
      <c r="AY3875" s="2"/>
      <c r="AZ3875" s="2"/>
      <c r="BA3875" s="2"/>
      <c r="BB3875" s="2"/>
      <c r="BC3875" s="2"/>
      <c r="BD3875" s="2"/>
      <c r="BE3875" s="2"/>
      <c r="BF3875" s="2"/>
      <c r="BG3875" s="2"/>
      <c r="BH3875" s="2"/>
      <c r="BI3875" s="2"/>
      <c r="BJ3875" s="2"/>
      <c r="BK3875" s="2"/>
      <c r="BL3875" s="2"/>
      <c r="BM3875" s="2"/>
      <c r="BN3875" s="2"/>
      <c r="BO3875" s="2"/>
      <c r="BP3875" s="2"/>
      <c r="BQ3875" s="2"/>
      <c r="BR3875" s="2"/>
      <c r="BS3875" s="2"/>
      <c r="BT3875" s="2"/>
      <c r="BU3875" s="2"/>
    </row>
    <row r="3876" spans="2:73" s="38" customFormat="1">
      <c r="B3876" s="1"/>
      <c r="C3876" s="1"/>
      <c r="D3876" s="1"/>
      <c r="E3876" s="1"/>
      <c r="F3876" s="1"/>
      <c r="G3876" s="1"/>
      <c r="H3876" s="1"/>
      <c r="I3876" s="1"/>
      <c r="J3876" s="1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  <c r="AX3876" s="2"/>
      <c r="AY3876" s="2"/>
      <c r="AZ3876" s="2"/>
      <c r="BA3876" s="2"/>
      <c r="BB3876" s="2"/>
      <c r="BC3876" s="2"/>
      <c r="BD3876" s="2"/>
      <c r="BE3876" s="2"/>
      <c r="BF3876" s="2"/>
      <c r="BG3876" s="2"/>
      <c r="BH3876" s="2"/>
      <c r="BI3876" s="2"/>
      <c r="BJ3876" s="2"/>
      <c r="BK3876" s="2"/>
      <c r="BL3876" s="2"/>
      <c r="BM3876" s="2"/>
      <c r="BN3876" s="2"/>
      <c r="BO3876" s="2"/>
      <c r="BP3876" s="2"/>
      <c r="BQ3876" s="2"/>
      <c r="BR3876" s="2"/>
      <c r="BS3876" s="2"/>
      <c r="BT3876" s="2"/>
      <c r="BU3876" s="2"/>
    </row>
    <row r="3877" spans="2:73" s="38" customFormat="1">
      <c r="B3877" s="1"/>
      <c r="C3877" s="1"/>
      <c r="D3877" s="1"/>
      <c r="E3877" s="1"/>
      <c r="F3877" s="1"/>
      <c r="G3877" s="1"/>
      <c r="H3877" s="1"/>
      <c r="I3877" s="1"/>
      <c r="J3877" s="1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  <c r="AX3877" s="2"/>
      <c r="AY3877" s="2"/>
      <c r="AZ3877" s="2"/>
      <c r="BA3877" s="2"/>
      <c r="BB3877" s="2"/>
      <c r="BC3877" s="2"/>
      <c r="BD3877" s="2"/>
      <c r="BE3877" s="2"/>
      <c r="BF3877" s="2"/>
      <c r="BG3877" s="2"/>
      <c r="BH3877" s="2"/>
      <c r="BI3877" s="2"/>
      <c r="BJ3877" s="2"/>
      <c r="BK3877" s="2"/>
      <c r="BL3877" s="2"/>
      <c r="BM3877" s="2"/>
      <c r="BN3877" s="2"/>
      <c r="BO3877" s="2"/>
      <c r="BP3877" s="2"/>
      <c r="BQ3877" s="2"/>
      <c r="BR3877" s="2"/>
      <c r="BS3877" s="2"/>
      <c r="BT3877" s="2"/>
      <c r="BU3877" s="2"/>
    </row>
    <row r="3878" spans="2:73" s="38" customFormat="1">
      <c r="B3878" s="1"/>
      <c r="C3878" s="1"/>
      <c r="D3878" s="1"/>
      <c r="E3878" s="1"/>
      <c r="F3878" s="1"/>
      <c r="G3878" s="1"/>
      <c r="H3878" s="1"/>
      <c r="I3878" s="1"/>
      <c r="J3878" s="1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/>
      <c r="AZ3878" s="2"/>
      <c r="BA3878" s="2"/>
      <c r="BB3878" s="2"/>
      <c r="BC3878" s="2"/>
      <c r="BD3878" s="2"/>
      <c r="BE3878" s="2"/>
      <c r="BF3878" s="2"/>
      <c r="BG3878" s="2"/>
      <c r="BH3878" s="2"/>
      <c r="BI3878" s="2"/>
      <c r="BJ3878" s="2"/>
      <c r="BK3878" s="2"/>
      <c r="BL3878" s="2"/>
      <c r="BM3878" s="2"/>
      <c r="BN3878" s="2"/>
      <c r="BO3878" s="2"/>
      <c r="BP3878" s="2"/>
      <c r="BQ3878" s="2"/>
      <c r="BR3878" s="2"/>
      <c r="BS3878" s="2"/>
      <c r="BT3878" s="2"/>
      <c r="BU3878" s="2"/>
    </row>
    <row r="3879" spans="2:73" s="38" customFormat="1">
      <c r="B3879" s="1"/>
      <c r="C3879" s="1"/>
      <c r="D3879" s="1"/>
      <c r="E3879" s="1"/>
      <c r="F3879" s="1"/>
      <c r="G3879" s="1"/>
      <c r="H3879" s="1"/>
      <c r="I3879" s="1"/>
      <c r="J3879" s="1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  <c r="AX3879" s="2"/>
      <c r="AY3879" s="2"/>
      <c r="AZ3879" s="2"/>
      <c r="BA3879" s="2"/>
      <c r="BB3879" s="2"/>
      <c r="BC3879" s="2"/>
      <c r="BD3879" s="2"/>
      <c r="BE3879" s="2"/>
      <c r="BF3879" s="2"/>
      <c r="BG3879" s="2"/>
      <c r="BH3879" s="2"/>
      <c r="BI3879" s="2"/>
      <c r="BJ3879" s="2"/>
      <c r="BK3879" s="2"/>
      <c r="BL3879" s="2"/>
      <c r="BM3879" s="2"/>
      <c r="BN3879" s="2"/>
      <c r="BO3879" s="2"/>
      <c r="BP3879" s="2"/>
      <c r="BQ3879" s="2"/>
      <c r="BR3879" s="2"/>
      <c r="BS3879" s="2"/>
      <c r="BT3879" s="2"/>
      <c r="BU3879" s="2"/>
    </row>
    <row r="3880" spans="2:73" s="38" customFormat="1">
      <c r="B3880" s="1"/>
      <c r="C3880" s="1"/>
      <c r="D3880" s="1"/>
      <c r="E3880" s="1"/>
      <c r="F3880" s="1"/>
      <c r="G3880" s="1"/>
      <c r="H3880" s="1"/>
      <c r="I3880" s="1"/>
      <c r="J3880" s="1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2"/>
      <c r="BA3880" s="2"/>
      <c r="BB3880" s="2"/>
      <c r="BC3880" s="2"/>
      <c r="BD3880" s="2"/>
      <c r="BE3880" s="2"/>
      <c r="BF3880" s="2"/>
      <c r="BG3880" s="2"/>
      <c r="BH3880" s="2"/>
      <c r="BI3880" s="2"/>
      <c r="BJ3880" s="2"/>
      <c r="BK3880" s="2"/>
      <c r="BL3880" s="2"/>
      <c r="BM3880" s="2"/>
      <c r="BN3880" s="2"/>
      <c r="BO3880" s="2"/>
      <c r="BP3880" s="2"/>
      <c r="BQ3880" s="2"/>
      <c r="BR3880" s="2"/>
      <c r="BS3880" s="2"/>
      <c r="BT3880" s="2"/>
      <c r="BU3880" s="2"/>
    </row>
    <row r="3881" spans="2:73" s="38" customFormat="1">
      <c r="B3881" s="1"/>
      <c r="C3881" s="1"/>
      <c r="D3881" s="1"/>
      <c r="E3881" s="1"/>
      <c r="F3881" s="1"/>
      <c r="G3881" s="1"/>
      <c r="H3881" s="1"/>
      <c r="I3881" s="1"/>
      <c r="J3881" s="1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  <c r="AZ3881" s="2"/>
      <c r="BA3881" s="2"/>
      <c r="BB3881" s="2"/>
      <c r="BC3881" s="2"/>
      <c r="BD3881" s="2"/>
      <c r="BE3881" s="2"/>
      <c r="BF3881" s="2"/>
      <c r="BG3881" s="2"/>
      <c r="BH3881" s="2"/>
      <c r="BI3881" s="2"/>
      <c r="BJ3881" s="2"/>
      <c r="BK3881" s="2"/>
      <c r="BL3881" s="2"/>
      <c r="BM3881" s="2"/>
      <c r="BN3881" s="2"/>
      <c r="BO3881" s="2"/>
      <c r="BP3881" s="2"/>
      <c r="BQ3881" s="2"/>
      <c r="BR3881" s="2"/>
      <c r="BS3881" s="2"/>
      <c r="BT3881" s="2"/>
      <c r="BU3881" s="2"/>
    </row>
    <row r="3882" spans="2:73" s="38" customFormat="1">
      <c r="B3882" s="1"/>
      <c r="C3882" s="1"/>
      <c r="D3882" s="1"/>
      <c r="E3882" s="1"/>
      <c r="F3882" s="1"/>
      <c r="G3882" s="1"/>
      <c r="H3882" s="1"/>
      <c r="I3882" s="1"/>
      <c r="J3882" s="1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/>
      <c r="AZ3882" s="2"/>
      <c r="BA3882" s="2"/>
      <c r="BB3882" s="2"/>
      <c r="BC3882" s="2"/>
      <c r="BD3882" s="2"/>
      <c r="BE3882" s="2"/>
      <c r="BF3882" s="2"/>
      <c r="BG3882" s="2"/>
      <c r="BH3882" s="2"/>
      <c r="BI3882" s="2"/>
      <c r="BJ3882" s="2"/>
      <c r="BK3882" s="2"/>
      <c r="BL3882" s="2"/>
      <c r="BM3882" s="2"/>
      <c r="BN3882" s="2"/>
      <c r="BO3882" s="2"/>
      <c r="BP3882" s="2"/>
      <c r="BQ3882" s="2"/>
      <c r="BR3882" s="2"/>
      <c r="BS3882" s="2"/>
      <c r="BT3882" s="2"/>
      <c r="BU3882" s="2"/>
    </row>
    <row r="3883" spans="2:73" s="38" customFormat="1">
      <c r="B3883" s="1"/>
      <c r="C3883" s="1"/>
      <c r="D3883" s="1"/>
      <c r="E3883" s="1"/>
      <c r="F3883" s="1"/>
      <c r="G3883" s="1"/>
      <c r="H3883" s="1"/>
      <c r="I3883" s="1"/>
      <c r="J3883" s="1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  <c r="AZ3883" s="2"/>
      <c r="BA3883" s="2"/>
      <c r="BB3883" s="2"/>
      <c r="BC3883" s="2"/>
      <c r="BD3883" s="2"/>
      <c r="BE3883" s="2"/>
      <c r="BF3883" s="2"/>
      <c r="BG3883" s="2"/>
      <c r="BH3883" s="2"/>
      <c r="BI3883" s="2"/>
      <c r="BJ3883" s="2"/>
      <c r="BK3883" s="2"/>
      <c r="BL3883" s="2"/>
      <c r="BM3883" s="2"/>
      <c r="BN3883" s="2"/>
      <c r="BO3883" s="2"/>
      <c r="BP3883" s="2"/>
      <c r="BQ3883" s="2"/>
      <c r="BR3883" s="2"/>
      <c r="BS3883" s="2"/>
      <c r="BT3883" s="2"/>
      <c r="BU3883" s="2"/>
    </row>
    <row r="3884" spans="2:73" s="38" customFormat="1">
      <c r="B3884" s="1"/>
      <c r="C3884" s="1"/>
      <c r="D3884" s="1"/>
      <c r="E3884" s="1"/>
      <c r="F3884" s="1"/>
      <c r="G3884" s="1"/>
      <c r="H3884" s="1"/>
      <c r="I3884" s="1"/>
      <c r="J3884" s="1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/>
      <c r="AZ3884" s="2"/>
      <c r="BA3884" s="2"/>
      <c r="BB3884" s="2"/>
      <c r="BC3884" s="2"/>
      <c r="BD3884" s="2"/>
      <c r="BE3884" s="2"/>
      <c r="BF3884" s="2"/>
      <c r="BG3884" s="2"/>
      <c r="BH3884" s="2"/>
      <c r="BI3884" s="2"/>
      <c r="BJ3884" s="2"/>
      <c r="BK3884" s="2"/>
      <c r="BL3884" s="2"/>
      <c r="BM3884" s="2"/>
      <c r="BN3884" s="2"/>
      <c r="BO3884" s="2"/>
      <c r="BP3884" s="2"/>
      <c r="BQ3884" s="2"/>
      <c r="BR3884" s="2"/>
      <c r="BS3884" s="2"/>
      <c r="BT3884" s="2"/>
      <c r="BU3884" s="2"/>
    </row>
    <row r="3885" spans="2:73" s="38" customFormat="1">
      <c r="B3885" s="1"/>
      <c r="C3885" s="1"/>
      <c r="D3885" s="1"/>
      <c r="E3885" s="1"/>
      <c r="F3885" s="1"/>
      <c r="G3885" s="1"/>
      <c r="H3885" s="1"/>
      <c r="I3885" s="1"/>
      <c r="J3885" s="1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  <c r="AZ3885" s="2"/>
      <c r="BA3885" s="2"/>
      <c r="BB3885" s="2"/>
      <c r="BC3885" s="2"/>
      <c r="BD3885" s="2"/>
      <c r="BE3885" s="2"/>
      <c r="BF3885" s="2"/>
      <c r="BG3885" s="2"/>
      <c r="BH3885" s="2"/>
      <c r="BI3885" s="2"/>
      <c r="BJ3885" s="2"/>
      <c r="BK3885" s="2"/>
      <c r="BL3885" s="2"/>
      <c r="BM3885" s="2"/>
      <c r="BN3885" s="2"/>
      <c r="BO3885" s="2"/>
      <c r="BP3885" s="2"/>
      <c r="BQ3885" s="2"/>
      <c r="BR3885" s="2"/>
      <c r="BS3885" s="2"/>
      <c r="BT3885" s="2"/>
      <c r="BU3885" s="2"/>
    </row>
    <row r="3886" spans="2:73" s="38" customFormat="1">
      <c r="B3886" s="1"/>
      <c r="C3886" s="1"/>
      <c r="D3886" s="1"/>
      <c r="E3886" s="1"/>
      <c r="F3886" s="1"/>
      <c r="G3886" s="1"/>
      <c r="H3886" s="1"/>
      <c r="I3886" s="1"/>
      <c r="J3886" s="1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  <c r="AZ3886" s="2"/>
      <c r="BA3886" s="2"/>
      <c r="BB3886" s="2"/>
      <c r="BC3886" s="2"/>
      <c r="BD3886" s="2"/>
      <c r="BE3886" s="2"/>
      <c r="BF3886" s="2"/>
      <c r="BG3886" s="2"/>
      <c r="BH3886" s="2"/>
      <c r="BI3886" s="2"/>
      <c r="BJ3886" s="2"/>
      <c r="BK3886" s="2"/>
      <c r="BL3886" s="2"/>
      <c r="BM3886" s="2"/>
      <c r="BN3886" s="2"/>
      <c r="BO3886" s="2"/>
      <c r="BP3886" s="2"/>
      <c r="BQ3886" s="2"/>
      <c r="BR3886" s="2"/>
      <c r="BS3886" s="2"/>
      <c r="BT3886" s="2"/>
      <c r="BU3886" s="2"/>
    </row>
    <row r="3887" spans="2:73" s="38" customFormat="1">
      <c r="B3887" s="1"/>
      <c r="C3887" s="1"/>
      <c r="D3887" s="1"/>
      <c r="E3887" s="1"/>
      <c r="F3887" s="1"/>
      <c r="G3887" s="1"/>
      <c r="H3887" s="1"/>
      <c r="I3887" s="1"/>
      <c r="J3887" s="1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2"/>
      <c r="BA3887" s="2"/>
      <c r="BB3887" s="2"/>
      <c r="BC3887" s="2"/>
      <c r="BD3887" s="2"/>
      <c r="BE3887" s="2"/>
      <c r="BF3887" s="2"/>
      <c r="BG3887" s="2"/>
      <c r="BH3887" s="2"/>
      <c r="BI3887" s="2"/>
      <c r="BJ3887" s="2"/>
      <c r="BK3887" s="2"/>
      <c r="BL3887" s="2"/>
      <c r="BM3887" s="2"/>
      <c r="BN3887" s="2"/>
      <c r="BO3887" s="2"/>
      <c r="BP3887" s="2"/>
      <c r="BQ3887" s="2"/>
      <c r="BR3887" s="2"/>
      <c r="BS3887" s="2"/>
      <c r="BT3887" s="2"/>
      <c r="BU3887" s="2"/>
    </row>
    <row r="3888" spans="2:73" s="38" customFormat="1">
      <c r="B3888" s="1"/>
      <c r="C3888" s="1"/>
      <c r="D3888" s="1"/>
      <c r="E3888" s="1"/>
      <c r="F3888" s="1"/>
      <c r="G3888" s="1"/>
      <c r="H3888" s="1"/>
      <c r="I3888" s="1"/>
      <c r="J3888" s="1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2"/>
      <c r="BA3888" s="2"/>
      <c r="BB3888" s="2"/>
      <c r="BC3888" s="2"/>
      <c r="BD3888" s="2"/>
      <c r="BE3888" s="2"/>
      <c r="BF3888" s="2"/>
      <c r="BG3888" s="2"/>
      <c r="BH3888" s="2"/>
      <c r="BI3888" s="2"/>
      <c r="BJ3888" s="2"/>
      <c r="BK3888" s="2"/>
      <c r="BL3888" s="2"/>
      <c r="BM3888" s="2"/>
      <c r="BN3888" s="2"/>
      <c r="BO3888" s="2"/>
      <c r="BP3888" s="2"/>
      <c r="BQ3888" s="2"/>
      <c r="BR3888" s="2"/>
      <c r="BS3888" s="2"/>
      <c r="BT3888" s="2"/>
      <c r="BU3888" s="2"/>
    </row>
    <row r="3889" spans="2:73" s="38" customFormat="1">
      <c r="B3889" s="1"/>
      <c r="C3889" s="1"/>
      <c r="D3889" s="1"/>
      <c r="E3889" s="1"/>
      <c r="F3889" s="1"/>
      <c r="G3889" s="1"/>
      <c r="H3889" s="1"/>
      <c r="I3889" s="1"/>
      <c r="J3889" s="1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  <c r="AZ3889" s="2"/>
      <c r="BA3889" s="2"/>
      <c r="BB3889" s="2"/>
      <c r="BC3889" s="2"/>
      <c r="BD3889" s="2"/>
      <c r="BE3889" s="2"/>
      <c r="BF3889" s="2"/>
      <c r="BG3889" s="2"/>
      <c r="BH3889" s="2"/>
      <c r="BI3889" s="2"/>
      <c r="BJ3889" s="2"/>
      <c r="BK3889" s="2"/>
      <c r="BL3889" s="2"/>
      <c r="BM3889" s="2"/>
      <c r="BN3889" s="2"/>
      <c r="BO3889" s="2"/>
      <c r="BP3889" s="2"/>
      <c r="BQ3889" s="2"/>
      <c r="BR3889" s="2"/>
      <c r="BS3889" s="2"/>
      <c r="BT3889" s="2"/>
      <c r="BU3889" s="2"/>
    </row>
    <row r="3890" spans="2:73" s="38" customFormat="1">
      <c r="B3890" s="1"/>
      <c r="C3890" s="1"/>
      <c r="D3890" s="1"/>
      <c r="E3890" s="1"/>
      <c r="F3890" s="1"/>
      <c r="G3890" s="1"/>
      <c r="H3890" s="1"/>
      <c r="I3890" s="1"/>
      <c r="J3890" s="1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/>
      <c r="AZ3890" s="2"/>
      <c r="BA3890" s="2"/>
      <c r="BB3890" s="2"/>
      <c r="BC3890" s="2"/>
      <c r="BD3890" s="2"/>
      <c r="BE3890" s="2"/>
      <c r="BF3890" s="2"/>
      <c r="BG3890" s="2"/>
      <c r="BH3890" s="2"/>
      <c r="BI3890" s="2"/>
      <c r="BJ3890" s="2"/>
      <c r="BK3890" s="2"/>
      <c r="BL3890" s="2"/>
      <c r="BM3890" s="2"/>
      <c r="BN3890" s="2"/>
      <c r="BO3890" s="2"/>
      <c r="BP3890" s="2"/>
      <c r="BQ3890" s="2"/>
      <c r="BR3890" s="2"/>
      <c r="BS3890" s="2"/>
      <c r="BT3890" s="2"/>
      <c r="BU3890" s="2"/>
    </row>
    <row r="3891" spans="2:73" s="38" customFormat="1">
      <c r="B3891" s="1"/>
      <c r="C3891" s="1"/>
      <c r="D3891" s="1"/>
      <c r="E3891" s="1"/>
      <c r="F3891" s="1"/>
      <c r="G3891" s="1"/>
      <c r="H3891" s="1"/>
      <c r="I3891" s="1"/>
      <c r="J3891" s="1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  <c r="AZ3891" s="2"/>
      <c r="BA3891" s="2"/>
      <c r="BB3891" s="2"/>
      <c r="BC3891" s="2"/>
      <c r="BD3891" s="2"/>
      <c r="BE3891" s="2"/>
      <c r="BF3891" s="2"/>
      <c r="BG3891" s="2"/>
      <c r="BH3891" s="2"/>
      <c r="BI3891" s="2"/>
      <c r="BJ3891" s="2"/>
      <c r="BK3891" s="2"/>
      <c r="BL3891" s="2"/>
      <c r="BM3891" s="2"/>
      <c r="BN3891" s="2"/>
      <c r="BO3891" s="2"/>
      <c r="BP3891" s="2"/>
      <c r="BQ3891" s="2"/>
      <c r="BR3891" s="2"/>
      <c r="BS3891" s="2"/>
      <c r="BT3891" s="2"/>
      <c r="BU3891" s="2"/>
    </row>
    <row r="3892" spans="2:73" s="38" customFormat="1">
      <c r="B3892" s="1"/>
      <c r="C3892" s="1"/>
      <c r="D3892" s="1"/>
      <c r="E3892" s="1"/>
      <c r="F3892" s="1"/>
      <c r="G3892" s="1"/>
      <c r="H3892" s="1"/>
      <c r="I3892" s="1"/>
      <c r="J3892" s="1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  <c r="AZ3892" s="2"/>
      <c r="BA3892" s="2"/>
      <c r="BB3892" s="2"/>
      <c r="BC3892" s="2"/>
      <c r="BD3892" s="2"/>
      <c r="BE3892" s="2"/>
      <c r="BF3892" s="2"/>
      <c r="BG3892" s="2"/>
      <c r="BH3892" s="2"/>
      <c r="BI3892" s="2"/>
      <c r="BJ3892" s="2"/>
      <c r="BK3892" s="2"/>
      <c r="BL3892" s="2"/>
      <c r="BM3892" s="2"/>
      <c r="BN3892" s="2"/>
      <c r="BO3892" s="2"/>
      <c r="BP3892" s="2"/>
      <c r="BQ3892" s="2"/>
      <c r="BR3892" s="2"/>
      <c r="BS3892" s="2"/>
      <c r="BT3892" s="2"/>
      <c r="BU3892" s="2"/>
    </row>
    <row r="3893" spans="2:73" s="38" customFormat="1">
      <c r="B3893" s="1"/>
      <c r="C3893" s="1"/>
      <c r="D3893" s="1"/>
      <c r="E3893" s="1"/>
      <c r="F3893" s="1"/>
      <c r="G3893" s="1"/>
      <c r="H3893" s="1"/>
      <c r="I3893" s="1"/>
      <c r="J3893" s="1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  <c r="AZ3893" s="2"/>
      <c r="BA3893" s="2"/>
      <c r="BB3893" s="2"/>
      <c r="BC3893" s="2"/>
      <c r="BD3893" s="2"/>
      <c r="BE3893" s="2"/>
      <c r="BF3893" s="2"/>
      <c r="BG3893" s="2"/>
      <c r="BH3893" s="2"/>
      <c r="BI3893" s="2"/>
      <c r="BJ3893" s="2"/>
      <c r="BK3893" s="2"/>
      <c r="BL3893" s="2"/>
      <c r="BM3893" s="2"/>
      <c r="BN3893" s="2"/>
      <c r="BO3893" s="2"/>
      <c r="BP3893" s="2"/>
      <c r="BQ3893" s="2"/>
      <c r="BR3893" s="2"/>
      <c r="BS3893" s="2"/>
      <c r="BT3893" s="2"/>
      <c r="BU3893" s="2"/>
    </row>
    <row r="3894" spans="2:73" s="38" customFormat="1">
      <c r="B3894" s="1"/>
      <c r="C3894" s="1"/>
      <c r="D3894" s="1"/>
      <c r="E3894" s="1"/>
      <c r="F3894" s="1"/>
      <c r="G3894" s="1"/>
      <c r="H3894" s="1"/>
      <c r="I3894" s="1"/>
      <c r="J3894" s="1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  <c r="AZ3894" s="2"/>
      <c r="BA3894" s="2"/>
      <c r="BB3894" s="2"/>
      <c r="BC3894" s="2"/>
      <c r="BD3894" s="2"/>
      <c r="BE3894" s="2"/>
      <c r="BF3894" s="2"/>
      <c r="BG3894" s="2"/>
      <c r="BH3894" s="2"/>
      <c r="BI3894" s="2"/>
      <c r="BJ3894" s="2"/>
      <c r="BK3894" s="2"/>
      <c r="BL3894" s="2"/>
      <c r="BM3894" s="2"/>
      <c r="BN3894" s="2"/>
      <c r="BO3894" s="2"/>
      <c r="BP3894" s="2"/>
      <c r="BQ3894" s="2"/>
      <c r="BR3894" s="2"/>
      <c r="BS3894" s="2"/>
      <c r="BT3894" s="2"/>
      <c r="BU3894" s="2"/>
    </row>
    <row r="3895" spans="2:73" s="38" customFormat="1">
      <c r="B3895" s="1"/>
      <c r="C3895" s="1"/>
      <c r="D3895" s="1"/>
      <c r="E3895" s="1"/>
      <c r="F3895" s="1"/>
      <c r="G3895" s="1"/>
      <c r="H3895" s="1"/>
      <c r="I3895" s="1"/>
      <c r="J3895" s="1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2"/>
      <c r="AX3895" s="2"/>
      <c r="AY3895" s="2"/>
      <c r="AZ3895" s="2"/>
      <c r="BA3895" s="2"/>
      <c r="BB3895" s="2"/>
      <c r="BC3895" s="2"/>
      <c r="BD3895" s="2"/>
      <c r="BE3895" s="2"/>
      <c r="BF3895" s="2"/>
      <c r="BG3895" s="2"/>
      <c r="BH3895" s="2"/>
      <c r="BI3895" s="2"/>
      <c r="BJ3895" s="2"/>
      <c r="BK3895" s="2"/>
      <c r="BL3895" s="2"/>
      <c r="BM3895" s="2"/>
      <c r="BN3895" s="2"/>
      <c r="BO3895" s="2"/>
      <c r="BP3895" s="2"/>
      <c r="BQ3895" s="2"/>
      <c r="BR3895" s="2"/>
      <c r="BS3895" s="2"/>
      <c r="BT3895" s="2"/>
      <c r="BU3895" s="2"/>
    </row>
    <row r="3896" spans="2:73" s="38" customFormat="1">
      <c r="B3896" s="1"/>
      <c r="C3896" s="1"/>
      <c r="D3896" s="1"/>
      <c r="E3896" s="1"/>
      <c r="F3896" s="1"/>
      <c r="G3896" s="1"/>
      <c r="H3896" s="1"/>
      <c r="I3896" s="1"/>
      <c r="J3896" s="1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  <c r="AX3896" s="2"/>
      <c r="AY3896" s="2"/>
      <c r="AZ3896" s="2"/>
      <c r="BA3896" s="2"/>
      <c r="BB3896" s="2"/>
      <c r="BC3896" s="2"/>
      <c r="BD3896" s="2"/>
      <c r="BE3896" s="2"/>
      <c r="BF3896" s="2"/>
      <c r="BG3896" s="2"/>
      <c r="BH3896" s="2"/>
      <c r="BI3896" s="2"/>
      <c r="BJ3896" s="2"/>
      <c r="BK3896" s="2"/>
      <c r="BL3896" s="2"/>
      <c r="BM3896" s="2"/>
      <c r="BN3896" s="2"/>
      <c r="BO3896" s="2"/>
      <c r="BP3896" s="2"/>
      <c r="BQ3896" s="2"/>
      <c r="BR3896" s="2"/>
      <c r="BS3896" s="2"/>
      <c r="BT3896" s="2"/>
      <c r="BU3896" s="2"/>
    </row>
    <row r="3897" spans="2:73" s="38" customFormat="1">
      <c r="B3897" s="1"/>
      <c r="C3897" s="1"/>
      <c r="D3897" s="1"/>
      <c r="E3897" s="1"/>
      <c r="F3897" s="1"/>
      <c r="G3897" s="1"/>
      <c r="H3897" s="1"/>
      <c r="I3897" s="1"/>
      <c r="J3897" s="1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/>
      <c r="AZ3897" s="2"/>
      <c r="BA3897" s="2"/>
      <c r="BB3897" s="2"/>
      <c r="BC3897" s="2"/>
      <c r="BD3897" s="2"/>
      <c r="BE3897" s="2"/>
      <c r="BF3897" s="2"/>
      <c r="BG3897" s="2"/>
      <c r="BH3897" s="2"/>
      <c r="BI3897" s="2"/>
      <c r="BJ3897" s="2"/>
      <c r="BK3897" s="2"/>
      <c r="BL3897" s="2"/>
      <c r="BM3897" s="2"/>
      <c r="BN3897" s="2"/>
      <c r="BO3897" s="2"/>
      <c r="BP3897" s="2"/>
      <c r="BQ3897" s="2"/>
      <c r="BR3897" s="2"/>
      <c r="BS3897" s="2"/>
      <c r="BT3897" s="2"/>
      <c r="BU3897" s="2"/>
    </row>
    <row r="3898" spans="2:73" s="38" customFormat="1">
      <c r="B3898" s="1"/>
      <c r="C3898" s="1"/>
      <c r="D3898" s="1"/>
      <c r="E3898" s="1"/>
      <c r="F3898" s="1"/>
      <c r="G3898" s="1"/>
      <c r="H3898" s="1"/>
      <c r="I3898" s="1"/>
      <c r="J3898" s="1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  <c r="AZ3898" s="2"/>
      <c r="BA3898" s="2"/>
      <c r="BB3898" s="2"/>
      <c r="BC3898" s="2"/>
      <c r="BD3898" s="2"/>
      <c r="BE3898" s="2"/>
      <c r="BF3898" s="2"/>
      <c r="BG3898" s="2"/>
      <c r="BH3898" s="2"/>
      <c r="BI3898" s="2"/>
      <c r="BJ3898" s="2"/>
      <c r="BK3898" s="2"/>
      <c r="BL3898" s="2"/>
      <c r="BM3898" s="2"/>
      <c r="BN3898" s="2"/>
      <c r="BO3898" s="2"/>
      <c r="BP3898" s="2"/>
      <c r="BQ3898" s="2"/>
      <c r="BR3898" s="2"/>
      <c r="BS3898" s="2"/>
      <c r="BT3898" s="2"/>
      <c r="BU3898" s="2"/>
    </row>
    <row r="3899" spans="2:73" s="38" customFormat="1">
      <c r="B3899" s="1"/>
      <c r="C3899" s="1"/>
      <c r="D3899" s="1"/>
      <c r="E3899" s="1"/>
      <c r="F3899" s="1"/>
      <c r="G3899" s="1"/>
      <c r="H3899" s="1"/>
      <c r="I3899" s="1"/>
      <c r="J3899" s="1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  <c r="AZ3899" s="2"/>
      <c r="BA3899" s="2"/>
      <c r="BB3899" s="2"/>
      <c r="BC3899" s="2"/>
      <c r="BD3899" s="2"/>
      <c r="BE3899" s="2"/>
      <c r="BF3899" s="2"/>
      <c r="BG3899" s="2"/>
      <c r="BH3899" s="2"/>
      <c r="BI3899" s="2"/>
      <c r="BJ3899" s="2"/>
      <c r="BK3899" s="2"/>
      <c r="BL3899" s="2"/>
      <c r="BM3899" s="2"/>
      <c r="BN3899" s="2"/>
      <c r="BO3899" s="2"/>
      <c r="BP3899" s="2"/>
      <c r="BQ3899" s="2"/>
      <c r="BR3899" s="2"/>
      <c r="BS3899" s="2"/>
      <c r="BT3899" s="2"/>
      <c r="BU3899" s="2"/>
    </row>
    <row r="3900" spans="2:73" s="38" customFormat="1">
      <c r="B3900" s="1"/>
      <c r="C3900" s="1"/>
      <c r="D3900" s="1"/>
      <c r="E3900" s="1"/>
      <c r="F3900" s="1"/>
      <c r="G3900" s="1"/>
      <c r="H3900" s="1"/>
      <c r="I3900" s="1"/>
      <c r="J3900" s="1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2"/>
      <c r="BA3900" s="2"/>
      <c r="BB3900" s="2"/>
      <c r="BC3900" s="2"/>
      <c r="BD3900" s="2"/>
      <c r="BE3900" s="2"/>
      <c r="BF3900" s="2"/>
      <c r="BG3900" s="2"/>
      <c r="BH3900" s="2"/>
      <c r="BI3900" s="2"/>
      <c r="BJ3900" s="2"/>
      <c r="BK3900" s="2"/>
      <c r="BL3900" s="2"/>
      <c r="BM3900" s="2"/>
      <c r="BN3900" s="2"/>
      <c r="BO3900" s="2"/>
      <c r="BP3900" s="2"/>
      <c r="BQ3900" s="2"/>
      <c r="BR3900" s="2"/>
      <c r="BS3900" s="2"/>
      <c r="BT3900" s="2"/>
      <c r="BU3900" s="2"/>
    </row>
    <row r="3901" spans="2:73" s="38" customFormat="1">
      <c r="B3901" s="1"/>
      <c r="C3901" s="1"/>
      <c r="D3901" s="1"/>
      <c r="E3901" s="1"/>
      <c r="F3901" s="1"/>
      <c r="G3901" s="1"/>
      <c r="H3901" s="1"/>
      <c r="I3901" s="1"/>
      <c r="J3901" s="1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  <c r="AX3901" s="2"/>
      <c r="AY3901" s="2"/>
      <c r="AZ3901" s="2"/>
      <c r="BA3901" s="2"/>
      <c r="BB3901" s="2"/>
      <c r="BC3901" s="2"/>
      <c r="BD3901" s="2"/>
      <c r="BE3901" s="2"/>
      <c r="BF3901" s="2"/>
      <c r="BG3901" s="2"/>
      <c r="BH3901" s="2"/>
      <c r="BI3901" s="2"/>
      <c r="BJ3901" s="2"/>
      <c r="BK3901" s="2"/>
      <c r="BL3901" s="2"/>
      <c r="BM3901" s="2"/>
      <c r="BN3901" s="2"/>
      <c r="BO3901" s="2"/>
      <c r="BP3901" s="2"/>
      <c r="BQ3901" s="2"/>
      <c r="BR3901" s="2"/>
      <c r="BS3901" s="2"/>
      <c r="BT3901" s="2"/>
      <c r="BU3901" s="2"/>
    </row>
    <row r="3902" spans="2:73" s="38" customFormat="1">
      <c r="B3902" s="1"/>
      <c r="C3902" s="1"/>
      <c r="D3902" s="1"/>
      <c r="E3902" s="1"/>
      <c r="F3902" s="1"/>
      <c r="G3902" s="1"/>
      <c r="H3902" s="1"/>
      <c r="I3902" s="1"/>
      <c r="J3902" s="1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  <c r="AX3902" s="2"/>
      <c r="AY3902" s="2"/>
      <c r="AZ3902" s="2"/>
      <c r="BA3902" s="2"/>
      <c r="BB3902" s="2"/>
      <c r="BC3902" s="2"/>
      <c r="BD3902" s="2"/>
      <c r="BE3902" s="2"/>
      <c r="BF3902" s="2"/>
      <c r="BG3902" s="2"/>
      <c r="BH3902" s="2"/>
      <c r="BI3902" s="2"/>
      <c r="BJ3902" s="2"/>
      <c r="BK3902" s="2"/>
      <c r="BL3902" s="2"/>
      <c r="BM3902" s="2"/>
      <c r="BN3902" s="2"/>
      <c r="BO3902" s="2"/>
      <c r="BP3902" s="2"/>
      <c r="BQ3902" s="2"/>
      <c r="BR3902" s="2"/>
      <c r="BS3902" s="2"/>
      <c r="BT3902" s="2"/>
      <c r="BU3902" s="2"/>
    </row>
    <row r="3903" spans="2:73" s="38" customFormat="1">
      <c r="B3903" s="1"/>
      <c r="C3903" s="1"/>
      <c r="D3903" s="1"/>
      <c r="E3903" s="1"/>
      <c r="F3903" s="1"/>
      <c r="G3903" s="1"/>
      <c r="H3903" s="1"/>
      <c r="I3903" s="1"/>
      <c r="J3903" s="1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  <c r="AW3903" s="2"/>
      <c r="AX3903" s="2"/>
      <c r="AY3903" s="2"/>
      <c r="AZ3903" s="2"/>
      <c r="BA3903" s="2"/>
      <c r="BB3903" s="2"/>
      <c r="BC3903" s="2"/>
      <c r="BD3903" s="2"/>
      <c r="BE3903" s="2"/>
      <c r="BF3903" s="2"/>
      <c r="BG3903" s="2"/>
      <c r="BH3903" s="2"/>
      <c r="BI3903" s="2"/>
      <c r="BJ3903" s="2"/>
      <c r="BK3903" s="2"/>
      <c r="BL3903" s="2"/>
      <c r="BM3903" s="2"/>
      <c r="BN3903" s="2"/>
      <c r="BO3903" s="2"/>
      <c r="BP3903" s="2"/>
      <c r="BQ3903" s="2"/>
      <c r="BR3903" s="2"/>
      <c r="BS3903" s="2"/>
      <c r="BT3903" s="2"/>
      <c r="BU3903" s="2"/>
    </row>
    <row r="3904" spans="2:73" s="38" customFormat="1">
      <c r="B3904" s="1"/>
      <c r="C3904" s="1"/>
      <c r="D3904" s="1"/>
      <c r="E3904" s="1"/>
      <c r="F3904" s="1"/>
      <c r="G3904" s="1"/>
      <c r="H3904" s="1"/>
      <c r="I3904" s="1"/>
      <c r="J3904" s="1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  <c r="AX3904" s="2"/>
      <c r="AY3904" s="2"/>
      <c r="AZ3904" s="2"/>
      <c r="BA3904" s="2"/>
      <c r="BB3904" s="2"/>
      <c r="BC3904" s="2"/>
      <c r="BD3904" s="2"/>
      <c r="BE3904" s="2"/>
      <c r="BF3904" s="2"/>
      <c r="BG3904" s="2"/>
      <c r="BH3904" s="2"/>
      <c r="BI3904" s="2"/>
      <c r="BJ3904" s="2"/>
      <c r="BK3904" s="2"/>
      <c r="BL3904" s="2"/>
      <c r="BM3904" s="2"/>
      <c r="BN3904" s="2"/>
      <c r="BO3904" s="2"/>
      <c r="BP3904" s="2"/>
      <c r="BQ3904" s="2"/>
      <c r="BR3904" s="2"/>
      <c r="BS3904" s="2"/>
      <c r="BT3904" s="2"/>
      <c r="BU3904" s="2"/>
    </row>
    <row r="3905" spans="2:73" s="38" customFormat="1">
      <c r="B3905" s="1"/>
      <c r="C3905" s="1"/>
      <c r="D3905" s="1"/>
      <c r="E3905" s="1"/>
      <c r="F3905" s="1"/>
      <c r="G3905" s="1"/>
      <c r="H3905" s="1"/>
      <c r="I3905" s="1"/>
      <c r="J3905" s="1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  <c r="AX3905" s="2"/>
      <c r="AY3905" s="2"/>
      <c r="AZ3905" s="2"/>
      <c r="BA3905" s="2"/>
      <c r="BB3905" s="2"/>
      <c r="BC3905" s="2"/>
      <c r="BD3905" s="2"/>
      <c r="BE3905" s="2"/>
      <c r="BF3905" s="2"/>
      <c r="BG3905" s="2"/>
      <c r="BH3905" s="2"/>
      <c r="BI3905" s="2"/>
      <c r="BJ3905" s="2"/>
      <c r="BK3905" s="2"/>
      <c r="BL3905" s="2"/>
      <c r="BM3905" s="2"/>
      <c r="BN3905" s="2"/>
      <c r="BO3905" s="2"/>
      <c r="BP3905" s="2"/>
      <c r="BQ3905" s="2"/>
      <c r="BR3905" s="2"/>
      <c r="BS3905" s="2"/>
      <c r="BT3905" s="2"/>
      <c r="BU3905" s="2"/>
    </row>
    <row r="3906" spans="2:73" s="38" customFormat="1">
      <c r="B3906" s="1"/>
      <c r="C3906" s="1"/>
      <c r="D3906" s="1"/>
      <c r="E3906" s="1"/>
      <c r="F3906" s="1"/>
      <c r="G3906" s="1"/>
      <c r="H3906" s="1"/>
      <c r="I3906" s="1"/>
      <c r="J3906" s="1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  <c r="AX3906" s="2"/>
      <c r="AY3906" s="2"/>
      <c r="AZ3906" s="2"/>
      <c r="BA3906" s="2"/>
      <c r="BB3906" s="2"/>
      <c r="BC3906" s="2"/>
      <c r="BD3906" s="2"/>
      <c r="BE3906" s="2"/>
      <c r="BF3906" s="2"/>
      <c r="BG3906" s="2"/>
      <c r="BH3906" s="2"/>
      <c r="BI3906" s="2"/>
      <c r="BJ3906" s="2"/>
      <c r="BK3906" s="2"/>
      <c r="BL3906" s="2"/>
      <c r="BM3906" s="2"/>
      <c r="BN3906" s="2"/>
      <c r="BO3906" s="2"/>
      <c r="BP3906" s="2"/>
      <c r="BQ3906" s="2"/>
      <c r="BR3906" s="2"/>
      <c r="BS3906" s="2"/>
      <c r="BT3906" s="2"/>
      <c r="BU3906" s="2"/>
    </row>
    <row r="3907" spans="2:73" s="38" customFormat="1">
      <c r="B3907" s="1"/>
      <c r="C3907" s="1"/>
      <c r="D3907" s="1"/>
      <c r="E3907" s="1"/>
      <c r="F3907" s="1"/>
      <c r="G3907" s="1"/>
      <c r="H3907" s="1"/>
      <c r="I3907" s="1"/>
      <c r="J3907" s="1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  <c r="AX3907" s="2"/>
      <c r="AY3907" s="2"/>
      <c r="AZ3907" s="2"/>
      <c r="BA3907" s="2"/>
      <c r="BB3907" s="2"/>
      <c r="BC3907" s="2"/>
      <c r="BD3907" s="2"/>
      <c r="BE3907" s="2"/>
      <c r="BF3907" s="2"/>
      <c r="BG3907" s="2"/>
      <c r="BH3907" s="2"/>
      <c r="BI3907" s="2"/>
      <c r="BJ3907" s="2"/>
      <c r="BK3907" s="2"/>
      <c r="BL3907" s="2"/>
      <c r="BM3907" s="2"/>
      <c r="BN3907" s="2"/>
      <c r="BO3907" s="2"/>
      <c r="BP3907" s="2"/>
      <c r="BQ3907" s="2"/>
      <c r="BR3907" s="2"/>
      <c r="BS3907" s="2"/>
      <c r="BT3907" s="2"/>
      <c r="BU3907" s="2"/>
    </row>
    <row r="3908" spans="2:73" s="38" customFormat="1">
      <c r="B3908" s="1"/>
      <c r="C3908" s="1"/>
      <c r="D3908" s="1"/>
      <c r="E3908" s="1"/>
      <c r="F3908" s="1"/>
      <c r="G3908" s="1"/>
      <c r="H3908" s="1"/>
      <c r="I3908" s="1"/>
      <c r="J3908" s="1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/>
      <c r="AZ3908" s="2"/>
      <c r="BA3908" s="2"/>
      <c r="BB3908" s="2"/>
      <c r="BC3908" s="2"/>
      <c r="BD3908" s="2"/>
      <c r="BE3908" s="2"/>
      <c r="BF3908" s="2"/>
      <c r="BG3908" s="2"/>
      <c r="BH3908" s="2"/>
      <c r="BI3908" s="2"/>
      <c r="BJ3908" s="2"/>
      <c r="BK3908" s="2"/>
      <c r="BL3908" s="2"/>
      <c r="BM3908" s="2"/>
      <c r="BN3908" s="2"/>
      <c r="BO3908" s="2"/>
      <c r="BP3908" s="2"/>
      <c r="BQ3908" s="2"/>
      <c r="BR3908" s="2"/>
      <c r="BS3908" s="2"/>
      <c r="BT3908" s="2"/>
      <c r="BU3908" s="2"/>
    </row>
    <row r="3909" spans="2:73" s="38" customFormat="1">
      <c r="B3909" s="1"/>
      <c r="C3909" s="1"/>
      <c r="D3909" s="1"/>
      <c r="E3909" s="1"/>
      <c r="F3909" s="1"/>
      <c r="G3909" s="1"/>
      <c r="H3909" s="1"/>
      <c r="I3909" s="1"/>
      <c r="J3909" s="1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  <c r="AX3909" s="2"/>
      <c r="AY3909" s="2"/>
      <c r="AZ3909" s="2"/>
      <c r="BA3909" s="2"/>
      <c r="BB3909" s="2"/>
      <c r="BC3909" s="2"/>
      <c r="BD3909" s="2"/>
      <c r="BE3909" s="2"/>
      <c r="BF3909" s="2"/>
      <c r="BG3909" s="2"/>
      <c r="BH3909" s="2"/>
      <c r="BI3909" s="2"/>
      <c r="BJ3909" s="2"/>
      <c r="BK3909" s="2"/>
      <c r="BL3909" s="2"/>
      <c r="BM3909" s="2"/>
      <c r="BN3909" s="2"/>
      <c r="BO3909" s="2"/>
      <c r="BP3909" s="2"/>
      <c r="BQ3909" s="2"/>
      <c r="BR3909" s="2"/>
      <c r="BS3909" s="2"/>
      <c r="BT3909" s="2"/>
      <c r="BU3909" s="2"/>
    </row>
    <row r="3910" spans="2:73" s="38" customFormat="1">
      <c r="B3910" s="1"/>
      <c r="C3910" s="1"/>
      <c r="D3910" s="1"/>
      <c r="E3910" s="1"/>
      <c r="F3910" s="1"/>
      <c r="G3910" s="1"/>
      <c r="H3910" s="1"/>
      <c r="I3910" s="1"/>
      <c r="J3910" s="1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/>
      <c r="AZ3910" s="2"/>
      <c r="BA3910" s="2"/>
      <c r="BB3910" s="2"/>
      <c r="BC3910" s="2"/>
      <c r="BD3910" s="2"/>
      <c r="BE3910" s="2"/>
      <c r="BF3910" s="2"/>
      <c r="BG3910" s="2"/>
      <c r="BH3910" s="2"/>
      <c r="BI3910" s="2"/>
      <c r="BJ3910" s="2"/>
      <c r="BK3910" s="2"/>
      <c r="BL3910" s="2"/>
      <c r="BM3910" s="2"/>
      <c r="BN3910" s="2"/>
      <c r="BO3910" s="2"/>
      <c r="BP3910" s="2"/>
      <c r="BQ3910" s="2"/>
      <c r="BR3910" s="2"/>
      <c r="BS3910" s="2"/>
      <c r="BT3910" s="2"/>
      <c r="BU3910" s="2"/>
    </row>
    <row r="3911" spans="2:73" s="38" customFormat="1">
      <c r="B3911" s="1"/>
      <c r="C3911" s="1"/>
      <c r="D3911" s="1"/>
      <c r="E3911" s="1"/>
      <c r="F3911" s="1"/>
      <c r="G3911" s="1"/>
      <c r="H3911" s="1"/>
      <c r="I3911" s="1"/>
      <c r="J3911" s="1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  <c r="AZ3911" s="2"/>
      <c r="BA3911" s="2"/>
      <c r="BB3911" s="2"/>
      <c r="BC3911" s="2"/>
      <c r="BD3911" s="2"/>
      <c r="BE3911" s="2"/>
      <c r="BF3911" s="2"/>
      <c r="BG3911" s="2"/>
      <c r="BH3911" s="2"/>
      <c r="BI3911" s="2"/>
      <c r="BJ3911" s="2"/>
      <c r="BK3911" s="2"/>
      <c r="BL3911" s="2"/>
      <c r="BM3911" s="2"/>
      <c r="BN3911" s="2"/>
      <c r="BO3911" s="2"/>
      <c r="BP3911" s="2"/>
      <c r="BQ3911" s="2"/>
      <c r="BR3911" s="2"/>
      <c r="BS3911" s="2"/>
      <c r="BT3911" s="2"/>
      <c r="BU3911" s="2"/>
    </row>
    <row r="3912" spans="2:73" s="38" customFormat="1">
      <c r="B3912" s="1"/>
      <c r="C3912" s="1"/>
      <c r="D3912" s="1"/>
      <c r="E3912" s="1"/>
      <c r="F3912" s="1"/>
      <c r="G3912" s="1"/>
      <c r="H3912" s="1"/>
      <c r="I3912" s="1"/>
      <c r="J3912" s="1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  <c r="AX3912" s="2"/>
      <c r="AY3912" s="2"/>
      <c r="AZ3912" s="2"/>
      <c r="BA3912" s="2"/>
      <c r="BB3912" s="2"/>
      <c r="BC3912" s="2"/>
      <c r="BD3912" s="2"/>
      <c r="BE3912" s="2"/>
      <c r="BF3912" s="2"/>
      <c r="BG3912" s="2"/>
      <c r="BH3912" s="2"/>
      <c r="BI3912" s="2"/>
      <c r="BJ3912" s="2"/>
      <c r="BK3912" s="2"/>
      <c r="BL3912" s="2"/>
      <c r="BM3912" s="2"/>
      <c r="BN3912" s="2"/>
      <c r="BO3912" s="2"/>
      <c r="BP3912" s="2"/>
      <c r="BQ3912" s="2"/>
      <c r="BR3912" s="2"/>
      <c r="BS3912" s="2"/>
      <c r="BT3912" s="2"/>
      <c r="BU3912" s="2"/>
    </row>
    <row r="3913" spans="2:73" s="38" customFormat="1">
      <c r="B3913" s="1"/>
      <c r="C3913" s="1"/>
      <c r="D3913" s="1"/>
      <c r="E3913" s="1"/>
      <c r="F3913" s="1"/>
      <c r="G3913" s="1"/>
      <c r="H3913" s="1"/>
      <c r="I3913" s="1"/>
      <c r="J3913" s="1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/>
      <c r="AZ3913" s="2"/>
      <c r="BA3913" s="2"/>
      <c r="BB3913" s="2"/>
      <c r="BC3913" s="2"/>
      <c r="BD3913" s="2"/>
      <c r="BE3913" s="2"/>
      <c r="BF3913" s="2"/>
      <c r="BG3913" s="2"/>
      <c r="BH3913" s="2"/>
      <c r="BI3913" s="2"/>
      <c r="BJ3913" s="2"/>
      <c r="BK3913" s="2"/>
      <c r="BL3913" s="2"/>
      <c r="BM3913" s="2"/>
      <c r="BN3913" s="2"/>
      <c r="BO3913" s="2"/>
      <c r="BP3913" s="2"/>
      <c r="BQ3913" s="2"/>
      <c r="BR3913" s="2"/>
      <c r="BS3913" s="2"/>
      <c r="BT3913" s="2"/>
      <c r="BU3913" s="2"/>
    </row>
    <row r="3914" spans="2:73" s="38" customFormat="1">
      <c r="B3914" s="1"/>
      <c r="C3914" s="1"/>
      <c r="D3914" s="1"/>
      <c r="E3914" s="1"/>
      <c r="F3914" s="1"/>
      <c r="G3914" s="1"/>
      <c r="H3914" s="1"/>
      <c r="I3914" s="1"/>
      <c r="J3914" s="1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  <c r="AX3914" s="2"/>
      <c r="AY3914" s="2"/>
      <c r="AZ3914" s="2"/>
      <c r="BA3914" s="2"/>
      <c r="BB3914" s="2"/>
      <c r="BC3914" s="2"/>
      <c r="BD3914" s="2"/>
      <c r="BE3914" s="2"/>
      <c r="BF3914" s="2"/>
      <c r="BG3914" s="2"/>
      <c r="BH3914" s="2"/>
      <c r="BI3914" s="2"/>
      <c r="BJ3914" s="2"/>
      <c r="BK3914" s="2"/>
      <c r="BL3914" s="2"/>
      <c r="BM3914" s="2"/>
      <c r="BN3914" s="2"/>
      <c r="BO3914" s="2"/>
      <c r="BP3914" s="2"/>
      <c r="BQ3914" s="2"/>
      <c r="BR3914" s="2"/>
      <c r="BS3914" s="2"/>
      <c r="BT3914" s="2"/>
      <c r="BU3914" s="2"/>
    </row>
    <row r="3915" spans="2:73" s="38" customFormat="1">
      <c r="B3915" s="1"/>
      <c r="C3915" s="1"/>
      <c r="D3915" s="1"/>
      <c r="E3915" s="1"/>
      <c r="F3915" s="1"/>
      <c r="G3915" s="1"/>
      <c r="H3915" s="1"/>
      <c r="I3915" s="1"/>
      <c r="J3915" s="1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  <c r="AZ3915" s="2"/>
      <c r="BA3915" s="2"/>
      <c r="BB3915" s="2"/>
      <c r="BC3915" s="2"/>
      <c r="BD3915" s="2"/>
      <c r="BE3915" s="2"/>
      <c r="BF3915" s="2"/>
      <c r="BG3915" s="2"/>
      <c r="BH3915" s="2"/>
      <c r="BI3915" s="2"/>
      <c r="BJ3915" s="2"/>
      <c r="BK3915" s="2"/>
      <c r="BL3915" s="2"/>
      <c r="BM3915" s="2"/>
      <c r="BN3915" s="2"/>
      <c r="BO3915" s="2"/>
      <c r="BP3915" s="2"/>
      <c r="BQ3915" s="2"/>
      <c r="BR3915" s="2"/>
      <c r="BS3915" s="2"/>
      <c r="BT3915" s="2"/>
      <c r="BU3915" s="2"/>
    </row>
    <row r="3916" spans="2:73" s="38" customFormat="1">
      <c r="B3916" s="1"/>
      <c r="C3916" s="1"/>
      <c r="D3916" s="1"/>
      <c r="E3916" s="1"/>
      <c r="F3916" s="1"/>
      <c r="G3916" s="1"/>
      <c r="H3916" s="1"/>
      <c r="I3916" s="1"/>
      <c r="J3916" s="1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/>
      <c r="AZ3916" s="2"/>
      <c r="BA3916" s="2"/>
      <c r="BB3916" s="2"/>
      <c r="BC3916" s="2"/>
      <c r="BD3916" s="2"/>
      <c r="BE3916" s="2"/>
      <c r="BF3916" s="2"/>
      <c r="BG3916" s="2"/>
      <c r="BH3916" s="2"/>
      <c r="BI3916" s="2"/>
      <c r="BJ3916" s="2"/>
      <c r="BK3916" s="2"/>
      <c r="BL3916" s="2"/>
      <c r="BM3916" s="2"/>
      <c r="BN3916" s="2"/>
      <c r="BO3916" s="2"/>
      <c r="BP3916" s="2"/>
      <c r="BQ3916" s="2"/>
      <c r="BR3916" s="2"/>
      <c r="BS3916" s="2"/>
      <c r="BT3916" s="2"/>
      <c r="BU3916" s="2"/>
    </row>
    <row r="3917" spans="2:73" s="38" customFormat="1">
      <c r="B3917" s="1"/>
      <c r="C3917" s="1"/>
      <c r="D3917" s="1"/>
      <c r="E3917" s="1"/>
      <c r="F3917" s="1"/>
      <c r="G3917" s="1"/>
      <c r="H3917" s="1"/>
      <c r="I3917" s="1"/>
      <c r="J3917" s="1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  <c r="AX3917" s="2"/>
      <c r="AY3917" s="2"/>
      <c r="AZ3917" s="2"/>
      <c r="BA3917" s="2"/>
      <c r="BB3917" s="2"/>
      <c r="BC3917" s="2"/>
      <c r="BD3917" s="2"/>
      <c r="BE3917" s="2"/>
      <c r="BF3917" s="2"/>
      <c r="BG3917" s="2"/>
      <c r="BH3917" s="2"/>
      <c r="BI3917" s="2"/>
      <c r="BJ3917" s="2"/>
      <c r="BK3917" s="2"/>
      <c r="BL3917" s="2"/>
      <c r="BM3917" s="2"/>
      <c r="BN3917" s="2"/>
      <c r="BO3917" s="2"/>
      <c r="BP3917" s="2"/>
      <c r="BQ3917" s="2"/>
      <c r="BR3917" s="2"/>
      <c r="BS3917" s="2"/>
      <c r="BT3917" s="2"/>
      <c r="BU3917" s="2"/>
    </row>
    <row r="3918" spans="2:73" s="38" customFormat="1">
      <c r="B3918" s="1"/>
      <c r="C3918" s="1"/>
      <c r="D3918" s="1"/>
      <c r="E3918" s="1"/>
      <c r="F3918" s="1"/>
      <c r="G3918" s="1"/>
      <c r="H3918" s="1"/>
      <c r="I3918" s="1"/>
      <c r="J3918" s="1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/>
      <c r="AZ3918" s="2"/>
      <c r="BA3918" s="2"/>
      <c r="BB3918" s="2"/>
      <c r="BC3918" s="2"/>
      <c r="BD3918" s="2"/>
      <c r="BE3918" s="2"/>
      <c r="BF3918" s="2"/>
      <c r="BG3918" s="2"/>
      <c r="BH3918" s="2"/>
      <c r="BI3918" s="2"/>
      <c r="BJ3918" s="2"/>
      <c r="BK3918" s="2"/>
      <c r="BL3918" s="2"/>
      <c r="BM3918" s="2"/>
      <c r="BN3918" s="2"/>
      <c r="BO3918" s="2"/>
      <c r="BP3918" s="2"/>
      <c r="BQ3918" s="2"/>
      <c r="BR3918" s="2"/>
      <c r="BS3918" s="2"/>
      <c r="BT3918" s="2"/>
      <c r="BU3918" s="2"/>
    </row>
    <row r="3919" spans="2:73" s="38" customFormat="1">
      <c r="B3919" s="1"/>
      <c r="C3919" s="1"/>
      <c r="D3919" s="1"/>
      <c r="E3919" s="1"/>
      <c r="F3919" s="1"/>
      <c r="G3919" s="1"/>
      <c r="H3919" s="1"/>
      <c r="I3919" s="1"/>
      <c r="J3919" s="1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/>
      <c r="AZ3919" s="2"/>
      <c r="BA3919" s="2"/>
      <c r="BB3919" s="2"/>
      <c r="BC3919" s="2"/>
      <c r="BD3919" s="2"/>
      <c r="BE3919" s="2"/>
      <c r="BF3919" s="2"/>
      <c r="BG3919" s="2"/>
      <c r="BH3919" s="2"/>
      <c r="BI3919" s="2"/>
      <c r="BJ3919" s="2"/>
      <c r="BK3919" s="2"/>
      <c r="BL3919" s="2"/>
      <c r="BM3919" s="2"/>
      <c r="BN3919" s="2"/>
      <c r="BO3919" s="2"/>
      <c r="BP3919" s="2"/>
      <c r="BQ3919" s="2"/>
      <c r="BR3919" s="2"/>
      <c r="BS3919" s="2"/>
      <c r="BT3919" s="2"/>
      <c r="BU3919" s="2"/>
    </row>
    <row r="3920" spans="2:73" s="38" customFormat="1">
      <c r="B3920" s="1"/>
      <c r="C3920" s="1"/>
      <c r="D3920" s="1"/>
      <c r="E3920" s="1"/>
      <c r="F3920" s="1"/>
      <c r="G3920" s="1"/>
      <c r="H3920" s="1"/>
      <c r="I3920" s="1"/>
      <c r="J3920" s="1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  <c r="AX3920" s="2"/>
      <c r="AY3920" s="2"/>
      <c r="AZ3920" s="2"/>
      <c r="BA3920" s="2"/>
      <c r="BB3920" s="2"/>
      <c r="BC3920" s="2"/>
      <c r="BD3920" s="2"/>
      <c r="BE3920" s="2"/>
      <c r="BF3920" s="2"/>
      <c r="BG3920" s="2"/>
      <c r="BH3920" s="2"/>
      <c r="BI3920" s="2"/>
      <c r="BJ3920" s="2"/>
      <c r="BK3920" s="2"/>
      <c r="BL3920" s="2"/>
      <c r="BM3920" s="2"/>
      <c r="BN3920" s="2"/>
      <c r="BO3920" s="2"/>
      <c r="BP3920" s="2"/>
      <c r="BQ3920" s="2"/>
      <c r="BR3920" s="2"/>
      <c r="BS3920" s="2"/>
      <c r="BT3920" s="2"/>
      <c r="BU3920" s="2"/>
    </row>
    <row r="3921" spans="2:73" s="38" customFormat="1">
      <c r="B3921" s="1"/>
      <c r="C3921" s="1"/>
      <c r="D3921" s="1"/>
      <c r="E3921" s="1"/>
      <c r="F3921" s="1"/>
      <c r="G3921" s="1"/>
      <c r="H3921" s="1"/>
      <c r="I3921" s="1"/>
      <c r="J3921" s="1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/>
      <c r="AZ3921" s="2"/>
      <c r="BA3921" s="2"/>
      <c r="BB3921" s="2"/>
      <c r="BC3921" s="2"/>
      <c r="BD3921" s="2"/>
      <c r="BE3921" s="2"/>
      <c r="BF3921" s="2"/>
      <c r="BG3921" s="2"/>
      <c r="BH3921" s="2"/>
      <c r="BI3921" s="2"/>
      <c r="BJ3921" s="2"/>
      <c r="BK3921" s="2"/>
      <c r="BL3921" s="2"/>
      <c r="BM3921" s="2"/>
      <c r="BN3921" s="2"/>
      <c r="BO3921" s="2"/>
      <c r="BP3921" s="2"/>
      <c r="BQ3921" s="2"/>
      <c r="BR3921" s="2"/>
      <c r="BS3921" s="2"/>
      <c r="BT3921" s="2"/>
      <c r="BU3921" s="2"/>
    </row>
    <row r="3922" spans="2:73" s="38" customFormat="1">
      <c r="B3922" s="1"/>
      <c r="C3922" s="1"/>
      <c r="D3922" s="1"/>
      <c r="E3922" s="1"/>
      <c r="F3922" s="1"/>
      <c r="G3922" s="1"/>
      <c r="H3922" s="1"/>
      <c r="I3922" s="1"/>
      <c r="J3922" s="1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  <c r="AZ3922" s="2"/>
      <c r="BA3922" s="2"/>
      <c r="BB3922" s="2"/>
      <c r="BC3922" s="2"/>
      <c r="BD3922" s="2"/>
      <c r="BE3922" s="2"/>
      <c r="BF3922" s="2"/>
      <c r="BG3922" s="2"/>
      <c r="BH3922" s="2"/>
      <c r="BI3922" s="2"/>
      <c r="BJ3922" s="2"/>
      <c r="BK3922" s="2"/>
      <c r="BL3922" s="2"/>
      <c r="BM3922" s="2"/>
      <c r="BN3922" s="2"/>
      <c r="BO3922" s="2"/>
      <c r="BP3922" s="2"/>
      <c r="BQ3922" s="2"/>
      <c r="BR3922" s="2"/>
      <c r="BS3922" s="2"/>
      <c r="BT3922" s="2"/>
      <c r="BU3922" s="2"/>
    </row>
    <row r="3923" spans="2:73" s="38" customFormat="1">
      <c r="B3923" s="1"/>
      <c r="C3923" s="1"/>
      <c r="D3923" s="1"/>
      <c r="E3923" s="1"/>
      <c r="F3923" s="1"/>
      <c r="G3923" s="1"/>
      <c r="H3923" s="1"/>
      <c r="I3923" s="1"/>
      <c r="J3923" s="1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/>
      <c r="AZ3923" s="2"/>
      <c r="BA3923" s="2"/>
      <c r="BB3923" s="2"/>
      <c r="BC3923" s="2"/>
      <c r="BD3923" s="2"/>
      <c r="BE3923" s="2"/>
      <c r="BF3923" s="2"/>
      <c r="BG3923" s="2"/>
      <c r="BH3923" s="2"/>
      <c r="BI3923" s="2"/>
      <c r="BJ3923" s="2"/>
      <c r="BK3923" s="2"/>
      <c r="BL3923" s="2"/>
      <c r="BM3923" s="2"/>
      <c r="BN3923" s="2"/>
      <c r="BO3923" s="2"/>
      <c r="BP3923" s="2"/>
      <c r="BQ3923" s="2"/>
      <c r="BR3923" s="2"/>
      <c r="BS3923" s="2"/>
      <c r="BT3923" s="2"/>
      <c r="BU3923" s="2"/>
    </row>
    <row r="3924" spans="2:73" s="38" customFormat="1">
      <c r="B3924" s="1"/>
      <c r="C3924" s="1"/>
      <c r="D3924" s="1"/>
      <c r="E3924" s="1"/>
      <c r="F3924" s="1"/>
      <c r="G3924" s="1"/>
      <c r="H3924" s="1"/>
      <c r="I3924" s="1"/>
      <c r="J3924" s="1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2"/>
      <c r="BA3924" s="2"/>
      <c r="BB3924" s="2"/>
      <c r="BC3924" s="2"/>
      <c r="BD3924" s="2"/>
      <c r="BE3924" s="2"/>
      <c r="BF3924" s="2"/>
      <c r="BG3924" s="2"/>
      <c r="BH3924" s="2"/>
      <c r="BI3924" s="2"/>
      <c r="BJ3924" s="2"/>
      <c r="BK3924" s="2"/>
      <c r="BL3924" s="2"/>
      <c r="BM3924" s="2"/>
      <c r="BN3924" s="2"/>
      <c r="BO3924" s="2"/>
      <c r="BP3924" s="2"/>
      <c r="BQ3924" s="2"/>
      <c r="BR3924" s="2"/>
      <c r="BS3924" s="2"/>
      <c r="BT3924" s="2"/>
      <c r="BU3924" s="2"/>
    </row>
    <row r="3925" spans="2:73" s="38" customFormat="1">
      <c r="B3925" s="1"/>
      <c r="C3925" s="1"/>
      <c r="D3925" s="1"/>
      <c r="E3925" s="1"/>
      <c r="F3925" s="1"/>
      <c r="G3925" s="1"/>
      <c r="H3925" s="1"/>
      <c r="I3925" s="1"/>
      <c r="J3925" s="1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/>
      <c r="AZ3925" s="2"/>
      <c r="BA3925" s="2"/>
      <c r="BB3925" s="2"/>
      <c r="BC3925" s="2"/>
      <c r="BD3925" s="2"/>
      <c r="BE3925" s="2"/>
      <c r="BF3925" s="2"/>
      <c r="BG3925" s="2"/>
      <c r="BH3925" s="2"/>
      <c r="BI3925" s="2"/>
      <c r="BJ3925" s="2"/>
      <c r="BK3925" s="2"/>
      <c r="BL3925" s="2"/>
      <c r="BM3925" s="2"/>
      <c r="BN3925" s="2"/>
      <c r="BO3925" s="2"/>
      <c r="BP3925" s="2"/>
      <c r="BQ3925" s="2"/>
      <c r="BR3925" s="2"/>
      <c r="BS3925" s="2"/>
      <c r="BT3925" s="2"/>
      <c r="BU3925" s="2"/>
    </row>
    <row r="3926" spans="2:73" s="38" customFormat="1">
      <c r="B3926" s="1"/>
      <c r="C3926" s="1"/>
      <c r="D3926" s="1"/>
      <c r="E3926" s="1"/>
      <c r="F3926" s="1"/>
      <c r="G3926" s="1"/>
      <c r="H3926" s="1"/>
      <c r="I3926" s="1"/>
      <c r="J3926" s="1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  <c r="AZ3926" s="2"/>
      <c r="BA3926" s="2"/>
      <c r="BB3926" s="2"/>
      <c r="BC3926" s="2"/>
      <c r="BD3926" s="2"/>
      <c r="BE3926" s="2"/>
      <c r="BF3926" s="2"/>
      <c r="BG3926" s="2"/>
      <c r="BH3926" s="2"/>
      <c r="BI3926" s="2"/>
      <c r="BJ3926" s="2"/>
      <c r="BK3926" s="2"/>
      <c r="BL3926" s="2"/>
      <c r="BM3926" s="2"/>
      <c r="BN3926" s="2"/>
      <c r="BO3926" s="2"/>
      <c r="BP3926" s="2"/>
      <c r="BQ3926" s="2"/>
      <c r="BR3926" s="2"/>
      <c r="BS3926" s="2"/>
      <c r="BT3926" s="2"/>
      <c r="BU3926" s="2"/>
    </row>
    <row r="3927" spans="2:73" s="38" customFormat="1">
      <c r="B3927" s="1"/>
      <c r="C3927" s="1"/>
      <c r="D3927" s="1"/>
      <c r="E3927" s="1"/>
      <c r="F3927" s="1"/>
      <c r="G3927" s="1"/>
      <c r="H3927" s="1"/>
      <c r="I3927" s="1"/>
      <c r="J3927" s="1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/>
      <c r="AZ3927" s="2"/>
      <c r="BA3927" s="2"/>
      <c r="BB3927" s="2"/>
      <c r="BC3927" s="2"/>
      <c r="BD3927" s="2"/>
      <c r="BE3927" s="2"/>
      <c r="BF3927" s="2"/>
      <c r="BG3927" s="2"/>
      <c r="BH3927" s="2"/>
      <c r="BI3927" s="2"/>
      <c r="BJ3927" s="2"/>
      <c r="BK3927" s="2"/>
      <c r="BL3927" s="2"/>
      <c r="BM3927" s="2"/>
      <c r="BN3927" s="2"/>
      <c r="BO3927" s="2"/>
      <c r="BP3927" s="2"/>
      <c r="BQ3927" s="2"/>
      <c r="BR3927" s="2"/>
      <c r="BS3927" s="2"/>
      <c r="BT3927" s="2"/>
      <c r="BU3927" s="2"/>
    </row>
    <row r="3928" spans="2:73" s="38" customFormat="1">
      <c r="B3928" s="1"/>
      <c r="C3928" s="1"/>
      <c r="D3928" s="1"/>
      <c r="E3928" s="1"/>
      <c r="F3928" s="1"/>
      <c r="G3928" s="1"/>
      <c r="H3928" s="1"/>
      <c r="I3928" s="1"/>
      <c r="J3928" s="1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  <c r="AX3928" s="2"/>
      <c r="AY3928" s="2"/>
      <c r="AZ3928" s="2"/>
      <c r="BA3928" s="2"/>
      <c r="BB3928" s="2"/>
      <c r="BC3928" s="2"/>
      <c r="BD3928" s="2"/>
      <c r="BE3928" s="2"/>
      <c r="BF3928" s="2"/>
      <c r="BG3928" s="2"/>
      <c r="BH3928" s="2"/>
      <c r="BI3928" s="2"/>
      <c r="BJ3928" s="2"/>
      <c r="BK3928" s="2"/>
      <c r="BL3928" s="2"/>
      <c r="BM3928" s="2"/>
      <c r="BN3928" s="2"/>
      <c r="BO3928" s="2"/>
      <c r="BP3928" s="2"/>
      <c r="BQ3928" s="2"/>
      <c r="BR3928" s="2"/>
      <c r="BS3928" s="2"/>
      <c r="BT3928" s="2"/>
      <c r="BU3928" s="2"/>
    </row>
    <row r="3929" spans="2:73" s="38" customFormat="1">
      <c r="B3929" s="1"/>
      <c r="C3929" s="1"/>
      <c r="D3929" s="1"/>
      <c r="E3929" s="1"/>
      <c r="F3929" s="1"/>
      <c r="G3929" s="1"/>
      <c r="H3929" s="1"/>
      <c r="I3929" s="1"/>
      <c r="J3929" s="1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/>
      <c r="AW3929" s="2"/>
      <c r="AX3929" s="2"/>
      <c r="AY3929" s="2"/>
      <c r="AZ3929" s="2"/>
      <c r="BA3929" s="2"/>
      <c r="BB3929" s="2"/>
      <c r="BC3929" s="2"/>
      <c r="BD3929" s="2"/>
      <c r="BE3929" s="2"/>
      <c r="BF3929" s="2"/>
      <c r="BG3929" s="2"/>
      <c r="BH3929" s="2"/>
      <c r="BI3929" s="2"/>
      <c r="BJ3929" s="2"/>
      <c r="BK3929" s="2"/>
      <c r="BL3929" s="2"/>
      <c r="BM3929" s="2"/>
      <c r="BN3929" s="2"/>
      <c r="BO3929" s="2"/>
      <c r="BP3929" s="2"/>
      <c r="BQ3929" s="2"/>
      <c r="BR3929" s="2"/>
      <c r="BS3929" s="2"/>
      <c r="BT3929" s="2"/>
      <c r="BU3929" s="2"/>
    </row>
    <row r="3930" spans="2:73" s="38" customFormat="1">
      <c r="B3930" s="1"/>
      <c r="C3930" s="1"/>
      <c r="D3930" s="1"/>
      <c r="E3930" s="1"/>
      <c r="F3930" s="1"/>
      <c r="G3930" s="1"/>
      <c r="H3930" s="1"/>
      <c r="I3930" s="1"/>
      <c r="J3930" s="1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2"/>
      <c r="AX3930" s="2"/>
      <c r="AY3930" s="2"/>
      <c r="AZ3930" s="2"/>
      <c r="BA3930" s="2"/>
      <c r="BB3930" s="2"/>
      <c r="BC3930" s="2"/>
      <c r="BD3930" s="2"/>
      <c r="BE3930" s="2"/>
      <c r="BF3930" s="2"/>
      <c r="BG3930" s="2"/>
      <c r="BH3930" s="2"/>
      <c r="BI3930" s="2"/>
      <c r="BJ3930" s="2"/>
      <c r="BK3930" s="2"/>
      <c r="BL3930" s="2"/>
      <c r="BM3930" s="2"/>
      <c r="BN3930" s="2"/>
      <c r="BO3930" s="2"/>
      <c r="BP3930" s="2"/>
      <c r="BQ3930" s="2"/>
      <c r="BR3930" s="2"/>
      <c r="BS3930" s="2"/>
      <c r="BT3930" s="2"/>
      <c r="BU3930" s="2"/>
    </row>
    <row r="3931" spans="2:73" s="38" customFormat="1">
      <c r="B3931" s="1"/>
      <c r="C3931" s="1"/>
      <c r="D3931" s="1"/>
      <c r="E3931" s="1"/>
      <c r="F3931" s="1"/>
      <c r="G3931" s="1"/>
      <c r="H3931" s="1"/>
      <c r="I3931" s="1"/>
      <c r="J3931" s="1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  <c r="AX3931" s="2"/>
      <c r="AY3931" s="2"/>
      <c r="AZ3931" s="2"/>
      <c r="BA3931" s="2"/>
      <c r="BB3931" s="2"/>
      <c r="BC3931" s="2"/>
      <c r="BD3931" s="2"/>
      <c r="BE3931" s="2"/>
      <c r="BF3931" s="2"/>
      <c r="BG3931" s="2"/>
      <c r="BH3931" s="2"/>
      <c r="BI3931" s="2"/>
      <c r="BJ3931" s="2"/>
      <c r="BK3931" s="2"/>
      <c r="BL3931" s="2"/>
      <c r="BM3931" s="2"/>
      <c r="BN3931" s="2"/>
      <c r="BO3931" s="2"/>
      <c r="BP3931" s="2"/>
      <c r="BQ3931" s="2"/>
      <c r="BR3931" s="2"/>
      <c r="BS3931" s="2"/>
      <c r="BT3931" s="2"/>
      <c r="BU3931" s="2"/>
    </row>
    <row r="3944" spans="11:73">
      <c r="K3944" s="38"/>
      <c r="L3944" s="38"/>
      <c r="M3944" s="38"/>
      <c r="N3944" s="38"/>
      <c r="O3944" s="38"/>
      <c r="P3944" s="38"/>
      <c r="Q3944" s="38"/>
      <c r="R3944" s="38"/>
      <c r="S3944" s="38"/>
      <c r="T3944" s="38"/>
      <c r="U3944" s="38"/>
      <c r="V3944" s="38"/>
      <c r="W3944" s="38"/>
      <c r="X3944" s="38"/>
      <c r="Y3944" s="38"/>
      <c r="Z3944" s="38"/>
      <c r="AA3944" s="38"/>
      <c r="AB3944" s="38"/>
      <c r="AC3944" s="38"/>
      <c r="AD3944" s="38"/>
      <c r="AE3944" s="38"/>
      <c r="AF3944" s="38"/>
      <c r="AG3944" s="38"/>
      <c r="AH3944" s="38"/>
      <c r="AI3944" s="38"/>
      <c r="AJ3944" s="38"/>
      <c r="AK3944" s="38"/>
      <c r="AL3944" s="38"/>
      <c r="AM3944" s="38"/>
      <c r="AN3944" s="38"/>
      <c r="AO3944" s="38"/>
      <c r="AP3944" s="38"/>
      <c r="AQ3944" s="38"/>
      <c r="AR3944" s="38"/>
      <c r="AS3944" s="38"/>
      <c r="AT3944" s="38"/>
      <c r="AU3944" s="38"/>
      <c r="AV3944" s="38"/>
      <c r="AW3944" s="38"/>
      <c r="AX3944" s="38"/>
      <c r="AY3944" s="38"/>
      <c r="AZ3944" s="38"/>
      <c r="BA3944" s="38"/>
      <c r="BB3944" s="38"/>
      <c r="BC3944" s="38"/>
      <c r="BD3944" s="38"/>
      <c r="BE3944" s="38"/>
      <c r="BF3944" s="38"/>
      <c r="BG3944" s="38"/>
      <c r="BH3944" s="38"/>
      <c r="BI3944" s="38"/>
      <c r="BJ3944" s="38"/>
      <c r="BK3944" s="38"/>
      <c r="BL3944" s="38"/>
      <c r="BM3944" s="38"/>
      <c r="BN3944" s="38"/>
      <c r="BO3944" s="38"/>
      <c r="BP3944" s="38"/>
      <c r="BQ3944" s="38"/>
      <c r="BR3944" s="38"/>
      <c r="BS3944" s="38"/>
      <c r="BT3944" s="38"/>
      <c r="BU3944" s="38"/>
    </row>
    <row r="3947" spans="11:73">
      <c r="K3947" s="38"/>
      <c r="L3947" s="38"/>
      <c r="M3947" s="38"/>
      <c r="N3947" s="38"/>
      <c r="O3947" s="38"/>
      <c r="P3947" s="38"/>
      <c r="Q3947" s="38"/>
      <c r="R3947" s="38"/>
      <c r="S3947" s="38"/>
      <c r="T3947" s="38"/>
      <c r="U3947" s="38"/>
      <c r="V3947" s="38"/>
      <c r="W3947" s="38"/>
      <c r="X3947" s="38"/>
      <c r="Y3947" s="38"/>
      <c r="Z3947" s="38"/>
      <c r="AA3947" s="38"/>
      <c r="AB3947" s="38"/>
      <c r="AC3947" s="38"/>
      <c r="AD3947" s="38"/>
      <c r="AE3947" s="38"/>
      <c r="AF3947" s="38"/>
      <c r="AG3947" s="38"/>
      <c r="AH3947" s="38"/>
      <c r="AI3947" s="38"/>
      <c r="AJ3947" s="38"/>
      <c r="AK3947" s="38"/>
      <c r="AL3947" s="38"/>
      <c r="AM3947" s="38"/>
      <c r="AN3947" s="38"/>
      <c r="AO3947" s="38"/>
      <c r="AP3947" s="38"/>
      <c r="AQ3947" s="38"/>
      <c r="AR3947" s="38"/>
      <c r="AS3947" s="38"/>
      <c r="AT3947" s="38"/>
      <c r="AU3947" s="38"/>
      <c r="AV3947" s="38"/>
      <c r="AW3947" s="38"/>
      <c r="AX3947" s="38"/>
      <c r="AY3947" s="38"/>
      <c r="AZ3947" s="38"/>
      <c r="BA3947" s="38"/>
      <c r="BB3947" s="38"/>
      <c r="BC3947" s="38"/>
      <c r="BD3947" s="38"/>
      <c r="BE3947" s="38"/>
      <c r="BF3947" s="38"/>
      <c r="BG3947" s="38"/>
      <c r="BH3947" s="38"/>
      <c r="BI3947" s="38"/>
      <c r="BJ3947" s="38"/>
      <c r="BK3947" s="38"/>
      <c r="BL3947" s="38"/>
      <c r="BM3947" s="38"/>
      <c r="BN3947" s="38"/>
      <c r="BO3947" s="38"/>
      <c r="BP3947" s="38"/>
      <c r="BQ3947" s="38"/>
      <c r="BR3947" s="38"/>
      <c r="BS3947" s="38"/>
      <c r="BT3947" s="38"/>
      <c r="BU3947" s="38"/>
    </row>
  </sheetData>
  <autoFilter ref="A6:CA282" xr:uid="{00000000-0009-0000-0000-000002000000}"/>
  <mergeCells count="14">
    <mergeCell ref="BB5:BF5"/>
    <mergeCell ref="BG5:BK5"/>
    <mergeCell ref="BL5:BP5"/>
    <mergeCell ref="BQ5:BU5"/>
    <mergeCell ref="I4:BU4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conditionalFormatting sqref="G10">
    <cfRule type="duplicateValues" dxfId="59" priority="18"/>
  </conditionalFormatting>
  <conditionalFormatting sqref="G120">
    <cfRule type="duplicateValues" dxfId="58" priority="13" stopIfTrue="1"/>
  </conditionalFormatting>
  <conditionalFormatting sqref="I177:J182 N177:O182 S177:T182 X177:Y182">
    <cfRule type="cellIs" dxfId="57" priority="40" operator="lessThan">
      <formula>0</formula>
    </cfRule>
  </conditionalFormatting>
  <conditionalFormatting sqref="I198:K220">
    <cfRule type="cellIs" dxfId="56" priority="20" operator="lessThan">
      <formula>0</formula>
    </cfRule>
  </conditionalFormatting>
  <conditionalFormatting sqref="I221:L223">
    <cfRule type="cellIs" dxfId="55" priority="7" operator="lessThan">
      <formula>0</formula>
    </cfRule>
  </conditionalFormatting>
  <conditionalFormatting sqref="I261:R261">
    <cfRule type="cellIs" dxfId="54" priority="36" operator="lessThan">
      <formula>0</formula>
    </cfRule>
  </conditionalFormatting>
  <conditionalFormatting sqref="I263:R263">
    <cfRule type="cellIs" dxfId="53" priority="35" operator="lessThan">
      <formula>0</formula>
    </cfRule>
  </conditionalFormatting>
  <conditionalFormatting sqref="I265:R265">
    <cfRule type="cellIs" dxfId="52" priority="34" operator="lessThan">
      <formula>0</formula>
    </cfRule>
  </conditionalFormatting>
  <conditionalFormatting sqref="I204:W227">
    <cfRule type="cellIs" dxfId="51" priority="5" operator="lessThan">
      <formula>0</formula>
    </cfRule>
  </conditionalFormatting>
  <conditionalFormatting sqref="I8:BP35">
    <cfRule type="cellIs" dxfId="50" priority="22" operator="lessThan">
      <formula>0</formula>
    </cfRule>
  </conditionalFormatting>
  <conditionalFormatting sqref="I37:BP63">
    <cfRule type="cellIs" dxfId="49" priority="45" operator="lessThan">
      <formula>0</formula>
    </cfRule>
  </conditionalFormatting>
  <conditionalFormatting sqref="I65:BP85">
    <cfRule type="cellIs" dxfId="48" priority="43" operator="lessThan">
      <formula>0</formula>
    </cfRule>
  </conditionalFormatting>
  <conditionalFormatting sqref="I88:BP104">
    <cfRule type="cellIs" dxfId="47" priority="21" operator="lessThan">
      <formula>0</formula>
    </cfRule>
  </conditionalFormatting>
  <conditionalFormatting sqref="I106:BP123">
    <cfRule type="cellIs" dxfId="46" priority="41" operator="lessThan">
      <formula>0</formula>
    </cfRule>
  </conditionalFormatting>
  <conditionalFormatting sqref="I126:BP139">
    <cfRule type="cellIs" dxfId="45" priority="47" operator="lessThan">
      <formula>0</formula>
    </cfRule>
  </conditionalFormatting>
  <conditionalFormatting sqref="I141:BP159">
    <cfRule type="cellIs" dxfId="44" priority="1" operator="lessThan">
      <formula>0</formula>
    </cfRule>
  </conditionalFormatting>
  <conditionalFormatting sqref="I161:BP175">
    <cfRule type="cellIs" dxfId="43" priority="14" operator="lessThan">
      <formula>0</formula>
    </cfRule>
  </conditionalFormatting>
  <conditionalFormatting sqref="I177:BP195">
    <cfRule type="cellIs" dxfId="42" priority="16" operator="lessThan">
      <formula>0</formula>
    </cfRule>
  </conditionalFormatting>
  <conditionalFormatting sqref="I229:BP240">
    <cfRule type="cellIs" dxfId="41" priority="19" operator="lessThan">
      <formula>0</formula>
    </cfRule>
  </conditionalFormatting>
  <conditionalFormatting sqref="I242:BP254">
    <cfRule type="cellIs" dxfId="40" priority="37" operator="lessThan">
      <formula>0</formula>
    </cfRule>
  </conditionalFormatting>
  <conditionalFormatting sqref="I257:BP257">
    <cfRule type="cellIs" dxfId="39" priority="23" operator="lessThan">
      <formula>0</formula>
    </cfRule>
  </conditionalFormatting>
  <conditionalFormatting sqref="I259:BP259">
    <cfRule type="cellIs" dxfId="38" priority="32" operator="lessThan">
      <formula>0</formula>
    </cfRule>
  </conditionalFormatting>
  <conditionalFormatting sqref="I268:BP270">
    <cfRule type="cellIs" dxfId="37" priority="48" operator="lessThan">
      <formula>0</formula>
    </cfRule>
  </conditionalFormatting>
  <conditionalFormatting sqref="I6:BR7">
    <cfRule type="cellIs" dxfId="36" priority="49" operator="lessThan">
      <formula>0</formula>
    </cfRule>
  </conditionalFormatting>
  <conditionalFormatting sqref="I36:BU36 I64:BU64 I86:BU87">
    <cfRule type="cellIs" dxfId="35" priority="60" operator="lessThan">
      <formula>0</formula>
    </cfRule>
  </conditionalFormatting>
  <conditionalFormatting sqref="I105:BU105 I124:BU124">
    <cfRule type="cellIs" dxfId="34" priority="59" operator="lessThan">
      <formula>0</formula>
    </cfRule>
  </conditionalFormatting>
  <conditionalFormatting sqref="I140:BU140 I160:BU160 I176:BU176 I196:BU197 I241:BU241">
    <cfRule type="cellIs" dxfId="33" priority="55" operator="lessThan">
      <formula>0</formula>
    </cfRule>
  </conditionalFormatting>
  <conditionalFormatting sqref="I228:BU228">
    <cfRule type="cellIs" dxfId="32" priority="58" operator="lessThan">
      <formula>0</formula>
    </cfRule>
  </conditionalFormatting>
  <conditionalFormatting sqref="I255:BU256">
    <cfRule type="cellIs" dxfId="31" priority="57" operator="lessThan">
      <formula>0</formula>
    </cfRule>
  </conditionalFormatting>
  <conditionalFormatting sqref="I267:BU267">
    <cfRule type="cellIs" dxfId="30" priority="56" operator="lessThan">
      <formula>0</formula>
    </cfRule>
  </conditionalFormatting>
  <conditionalFormatting sqref="I271:BU271">
    <cfRule type="cellIs" dxfId="29" priority="54" operator="lessThan">
      <formula>0</formula>
    </cfRule>
  </conditionalFormatting>
  <conditionalFormatting sqref="J221:J224">
    <cfRule type="cellIs" dxfId="28" priority="4" operator="lessThan">
      <formula>0</formula>
    </cfRule>
  </conditionalFormatting>
  <conditionalFormatting sqref="J226">
    <cfRule type="cellIs" dxfId="27" priority="10" operator="lessThan">
      <formula>0</formula>
    </cfRule>
  </conditionalFormatting>
  <conditionalFormatting sqref="K198:BN198 K199:W199 I200:W200 K201:W203">
    <cfRule type="cellIs" dxfId="26" priority="39" operator="lessThan">
      <formula>0</formula>
    </cfRule>
  </conditionalFormatting>
  <conditionalFormatting sqref="N198:P223 S198:U223 AR198:AT223 BG198:BI223 AH198:AJ227">
    <cfRule type="cellIs" dxfId="25" priority="8" operator="lessThan">
      <formula>0</formula>
    </cfRule>
  </conditionalFormatting>
  <conditionalFormatting sqref="V261:BP261">
    <cfRule type="cellIs" dxfId="24" priority="33" operator="lessThan">
      <formula>0</formula>
    </cfRule>
  </conditionalFormatting>
  <conditionalFormatting sqref="V263:BP263">
    <cfRule type="cellIs" dxfId="23" priority="31" operator="lessThan">
      <formula>0</formula>
    </cfRule>
  </conditionalFormatting>
  <conditionalFormatting sqref="V265:BP265">
    <cfRule type="cellIs" dxfId="22" priority="30" operator="lessThan">
      <formula>0</formula>
    </cfRule>
  </conditionalFormatting>
  <conditionalFormatting sqref="X199:BN220">
    <cfRule type="cellIs" dxfId="21" priority="9" operator="lessThan">
      <formula>0</formula>
    </cfRule>
  </conditionalFormatting>
  <conditionalFormatting sqref="X221:BP227">
    <cfRule type="cellIs" dxfId="20" priority="3" operator="lessThan">
      <formula>0</formula>
    </cfRule>
  </conditionalFormatting>
  <conditionalFormatting sqref="AH220:AK223">
    <cfRule type="cellIs" dxfId="19" priority="11" operator="lessThan">
      <formula>0</formula>
    </cfRule>
  </conditionalFormatting>
  <conditionalFormatting sqref="BL198:BP220">
    <cfRule type="cellIs" dxfId="18" priority="12" operator="lessThan">
      <formula>0</formula>
    </cfRule>
  </conditionalFormatting>
  <conditionalFormatting sqref="BS6:BU35">
    <cfRule type="cellIs" dxfId="17" priority="24" operator="lessThan">
      <formula>0</formula>
    </cfRule>
  </conditionalFormatting>
  <conditionalFormatting sqref="BS37:BU63">
    <cfRule type="cellIs" dxfId="16" priority="46" operator="lessThan">
      <formula>0</formula>
    </cfRule>
  </conditionalFormatting>
  <conditionalFormatting sqref="BS65:BU85">
    <cfRule type="cellIs" dxfId="15" priority="44" operator="lessThan">
      <formula>0</formula>
    </cfRule>
  </conditionalFormatting>
  <conditionalFormatting sqref="BS88:BU104">
    <cfRule type="cellIs" dxfId="14" priority="42" operator="lessThan">
      <formula>0</formula>
    </cfRule>
  </conditionalFormatting>
  <conditionalFormatting sqref="BS106:BU123">
    <cfRule type="cellIs" dxfId="13" priority="53" operator="lessThan">
      <formula>0</formula>
    </cfRule>
  </conditionalFormatting>
  <conditionalFormatting sqref="BS126:BU139">
    <cfRule type="cellIs" dxfId="12" priority="52" operator="lessThan">
      <formula>0</formula>
    </cfRule>
  </conditionalFormatting>
  <conditionalFormatting sqref="BS141:BU159">
    <cfRule type="cellIs" dxfId="11" priority="2" operator="lessThan">
      <formula>0</formula>
    </cfRule>
  </conditionalFormatting>
  <conditionalFormatting sqref="BS161:BU175">
    <cfRule type="cellIs" dxfId="10" priority="15" operator="lessThan">
      <formula>0</formula>
    </cfRule>
  </conditionalFormatting>
  <conditionalFormatting sqref="BS177:BU195">
    <cfRule type="cellIs" dxfId="9" priority="17" operator="lessThan">
      <formula>0</formula>
    </cfRule>
  </conditionalFormatting>
  <conditionalFormatting sqref="BS198:BU227">
    <cfRule type="cellIs" dxfId="8" priority="6" operator="lessThan">
      <formula>0</formula>
    </cfRule>
  </conditionalFormatting>
  <conditionalFormatting sqref="BS229:BU240">
    <cfRule type="cellIs" dxfId="7" priority="51" operator="lessThan">
      <formula>0</formula>
    </cfRule>
  </conditionalFormatting>
  <conditionalFormatting sqref="BS242:BU254">
    <cfRule type="cellIs" dxfId="6" priority="38" operator="lessThan">
      <formula>0</formula>
    </cfRule>
  </conditionalFormatting>
  <conditionalFormatting sqref="BS257:BU257">
    <cfRule type="cellIs" dxfId="5" priority="29" operator="lessThan">
      <formula>0</formula>
    </cfRule>
  </conditionalFormatting>
  <conditionalFormatting sqref="BS259:BU259">
    <cfRule type="cellIs" dxfId="4" priority="28" operator="lessThan">
      <formula>0</formula>
    </cfRule>
  </conditionalFormatting>
  <conditionalFormatting sqref="BS261:BU261">
    <cfRule type="cellIs" dxfId="3" priority="27" operator="lessThan">
      <formula>0</formula>
    </cfRule>
  </conditionalFormatting>
  <conditionalFormatting sqref="BS263:BU263">
    <cfRule type="cellIs" dxfId="2" priority="26" operator="lessThan">
      <formula>0</formula>
    </cfRule>
  </conditionalFormatting>
  <conditionalFormatting sqref="BS265:BU265">
    <cfRule type="cellIs" dxfId="1" priority="25" operator="lessThan">
      <formula>0</formula>
    </cfRule>
  </conditionalFormatting>
  <conditionalFormatting sqref="BS268:BU270">
    <cfRule type="cellIs" dxfId="0" priority="50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 in tính KDT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Ngạc Đình Vương</dc:creator>
  <cp:lastModifiedBy>Ngạc Đình Vương</cp:lastModifiedBy>
  <dcterms:created xsi:type="dcterms:W3CDTF">2026-07-22T03:43:53Z</dcterms:created>
  <dcterms:modified xsi:type="dcterms:W3CDTF">2026-07-22T03:44:32Z</dcterms:modified>
</cp:coreProperties>
</file>