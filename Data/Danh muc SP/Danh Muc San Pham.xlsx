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 Huan\Desktop\Bao Cao Sell in\Danh muc SP\"/>
    </mc:Choice>
  </mc:AlternateContent>
  <xr:revisionPtr revIDLastSave="0" documentId="13_ncr:1_{AB2BA4E7-FC61-477D-A0AD-0018FEA1E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MucSanPham" sheetId="1" r:id="rId1"/>
  </sheets>
  <definedNames>
    <definedName name="_xlnm._FilterDatabase" localSheetId="0" hidden="1">DanhMucSanPham!$A$1:$K$46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</calcChain>
</file>

<file path=xl/sharedStrings.xml><?xml version="1.0" encoding="utf-8"?>
<sst xmlns="http://schemas.openxmlformats.org/spreadsheetml/2006/main" count="416" uniqueCount="155">
  <si>
    <t>MaSanPhamMoi_Vikoda</t>
  </si>
  <si>
    <t>MaSanPhamMoi_VKD</t>
  </si>
  <si>
    <t>TenSanPham</t>
  </si>
  <si>
    <t>Ten Thu gon</t>
  </si>
  <si>
    <t>Quy cách</t>
  </si>
  <si>
    <t>ĐVT</t>
  </si>
  <si>
    <t>Thuế VAT</t>
  </si>
  <si>
    <t>Cobrand</t>
  </si>
  <si>
    <t>Loại Sản phẩm</t>
  </si>
  <si>
    <t>Loại</t>
  </si>
  <si>
    <t>KDT</t>
  </si>
  <si>
    <t>Vikoda Nước Khoáng Thiên Nhiên RGB nắp vặn két 20 chai</t>
  </si>
  <si>
    <t>Vikoda RGB 450ml nắp vặn</t>
  </si>
  <si>
    <t>Két</t>
  </si>
  <si>
    <t>Vikoda</t>
  </si>
  <si>
    <t>Nắp vặn</t>
  </si>
  <si>
    <t>2 way</t>
  </si>
  <si>
    <t>Đảnh Thạnh chanh dây Đà Lạt 430ml</t>
  </si>
  <si>
    <t>Chanh dây 430ml</t>
  </si>
  <si>
    <t>Thùng</t>
  </si>
  <si>
    <t>Đảnh Thạnh</t>
  </si>
  <si>
    <t>Hàng hóa</t>
  </si>
  <si>
    <t>1 way</t>
  </si>
  <si>
    <t>Đảnh thạnh có gas 430ml</t>
  </si>
  <si>
    <t>Pet ga 430ml</t>
  </si>
  <si>
    <t>Vikoda Nước Khoáng Kiềm Thiên Nhiên 5 lít thùng 2 chai - New</t>
  </si>
  <si>
    <t>Vikoda 5 lít thùng 2 chai - New</t>
  </si>
  <si>
    <t>Vikoda Nước khoáng thiên nhiên Soda lon 330 ml</t>
  </si>
  <si>
    <t>Lon Soda 330</t>
  </si>
  <si>
    <t>Đảnh Thạnh có gas hương chanh 430ml</t>
  </si>
  <si>
    <t>Pet chanh 430ml</t>
  </si>
  <si>
    <t>Vikoda Nước Khoáng Kiềm Thiên Nhiên 500 ml</t>
  </si>
  <si>
    <t>Vikoda 500ml</t>
  </si>
  <si>
    <t>Vikoda Nước Khoáng Kiềm Thiên Nhiên 1.5 lít</t>
  </si>
  <si>
    <t>Vikoda 1.5l</t>
  </si>
  <si>
    <t>Đảnh Thạnh khoáng chanh muối 430ml</t>
  </si>
  <si>
    <t>Chanh muối 430ml</t>
  </si>
  <si>
    <t>Vikoda Nước Khoáng Thiên Nhiên Có Ga RGB 430 ml thùng 12 chai</t>
  </si>
  <si>
    <t>Vikoda có gas RGB 430ml 12 chai</t>
  </si>
  <si>
    <t>Đảnh Thạnh có gas chai RGB 430ml thùng 12 chai</t>
  </si>
  <si>
    <t>TT lạt_12 chai</t>
  </si>
  <si>
    <t>Vikoda Nước Khoáng Kiềm Thiên Nhiên 5 lít thùng 4 chai - New</t>
  </si>
  <si>
    <t>Vikoda 5l</t>
  </si>
  <si>
    <t>Vikoda Nước Khoáng Kiềm Thiên Nhiên 7 lít thùng 2 bình</t>
  </si>
  <si>
    <t>Vikoda 7l thùng 2 chai</t>
  </si>
  <si>
    <t>Vikoda Nước Khoáng Kiềm Thiên Nhiên 19 lít</t>
  </si>
  <si>
    <t>Vikoda 18.9l</t>
  </si>
  <si>
    <t>Bình</t>
  </si>
  <si>
    <t>Vikoda Nước Khoáng Kiềm Thiên Nhiên Alkaline lon 330 ml</t>
  </si>
  <si>
    <t>Vikoda Alkaline</t>
  </si>
  <si>
    <t>Vikoda Nước Khoáng Thiên Nhiên Sila RGB nắp vặn két 20 chai</t>
  </si>
  <si>
    <t xml:space="preserve">Vikoda Sila RGB 450ml nắp vặn </t>
  </si>
  <si>
    <t>Vikoda Nước Khoáng Kiềm Thiên Nhiên 350 ml</t>
  </si>
  <si>
    <t>Vikoda 350ml_24 chai</t>
  </si>
  <si>
    <t>Vikoda Nước Khoáng Thiên Nhiên  Lancaster Legacy RGB nắp vặn két 20 chai</t>
  </si>
  <si>
    <t>Vikoda Lancaster RGB 450</t>
  </si>
  <si>
    <t>Đảnh Thạnh có gas chai RGB 430ml</t>
  </si>
  <si>
    <t>TT lạt</t>
  </si>
  <si>
    <t>Vikoda Nước Khoáng Thiên Nhiên Fusion Suites Sài Gòn RGB nắp vặn két 20 chai</t>
  </si>
  <si>
    <t>Vikoda Fusion Suites Sài Gòn RGB 450 nắp vặn</t>
  </si>
  <si>
    <t>Đảnh Thạnh có gas hương chanh chai RGB 430ml</t>
  </si>
  <si>
    <t>TT ngọt</t>
  </si>
  <si>
    <t>Vikoda Nước Khoáng Thiên Nhiên Maia Resort Quy Nhơn RGB nắp vặn két 20 chai</t>
  </si>
  <si>
    <t>Vikoda Maia Resort Quy Nhơn RGB 450 nắp vặn</t>
  </si>
  <si>
    <t>Vikoda Nước Khoáng Thiên Nhiên Có Ga RGB 430 ml</t>
  </si>
  <si>
    <t>Vikoda có gas RGB 430ml</t>
  </si>
  <si>
    <t>Vikoda Nước Khoáng Kiềm Thiên Nhiên Cias 350ml</t>
  </si>
  <si>
    <t>Vikoda 350ml Cias</t>
  </si>
  <si>
    <t>Vikoda Nước Khoáng Kiềm Thiên Nhiên 19 lít (Hàng 1 chiều)</t>
  </si>
  <si>
    <t>Nước khoáng bán thành phẩm</t>
  </si>
  <si>
    <t>BTP</t>
  </si>
  <si>
    <t>Semi Product</t>
  </si>
  <si>
    <t>Vikoda Nước Khoáng Thiên Nhiên TIA RGB nắp vặn két 20 chai</t>
  </si>
  <si>
    <t>Vikoda TIA RGB 450 nắp vặn</t>
  </si>
  <si>
    <t>Vikoda Nước Khoáng Thiên Nhiên  RêVe Vignette RGB nắp vặn két 20 chai</t>
  </si>
  <si>
    <t>Vikoda RêVe RGB 450</t>
  </si>
  <si>
    <t>Vikoda Nước Khoáng Kiềm Thiên Nhiên 19 lít không val</t>
  </si>
  <si>
    <t>Vikoda 18.9l không val</t>
  </si>
  <si>
    <t>NTL Sumo bổ sung vi chất 200ml (KDT)</t>
  </si>
  <si>
    <t>Sumo pet 200ml KDT</t>
  </si>
  <si>
    <t>Sumo</t>
  </si>
  <si>
    <t>Vikoda Nước Khoáng Thiên Nhiên RGB nắp vặn thùng 12 chai</t>
  </si>
  <si>
    <t>Vikoda RGB 450 12 chai</t>
  </si>
  <si>
    <t>Vikoda Nước Khoáng Thiên Nhiên Mercure Hotel Nha Trang Beach RGB nắp vặn két 20 chai</t>
  </si>
  <si>
    <t>Vikoda Mercure Hotel Nha Trang Beach RGB 450 nắp vặn</t>
  </si>
  <si>
    <t>Vikoda Nước Khoáng Thiên Nhiên Anantara Quy Nhơn Villas RGB nắp vặn két 20 chai</t>
  </si>
  <si>
    <t>Vikoda Anantara Quy Nhơn Villas RGB 450 nắp vặn</t>
  </si>
  <si>
    <t>Vikoda Nước Khoáng Thiên Nhiên Hôtel du Lac Việt Nam RGB nắp vặn két 20 chai</t>
  </si>
  <si>
    <t>Vikoda Dulac RGB 450 nắp vặn</t>
  </si>
  <si>
    <t>Vikoda Nước Khoáng Thiên Nhiên Melia RGB nắp vặn két 20 chai</t>
  </si>
  <si>
    <t>Vikoda Melia RGB 450 nắp vặn</t>
  </si>
  <si>
    <t>Vikoda Nước Khoáng Thiên Nhiên JW Marriott RGB nắp vặn két 20 chai</t>
  </si>
  <si>
    <t>Vikoda JW Marriot RGB 450 nắp vặn</t>
  </si>
  <si>
    <t>Đảnh Thạnh có gas hương chanh RGB 430ml thùng 12 chai</t>
  </si>
  <si>
    <t>TT ngọt_12 chai</t>
  </si>
  <si>
    <t>NTL Sumo bổ sung vi chất 200ml</t>
  </si>
  <si>
    <t>Sumo pet 200ml</t>
  </si>
  <si>
    <t>Vikoda Nước Khoáng Thiên Nhiên Grand Mercure Đà Lạt Resort RGB nắp vặn két 20 chai</t>
  </si>
  <si>
    <t>Vikoda Mercure Đà Lạt  RGB 450 nắp vặn</t>
  </si>
  <si>
    <t>Vikoda Nước Khoáng Thiên Nhiên Dahi Handi Authentic Indian Cuisine RGB nắp vặn két 20 chai</t>
  </si>
  <si>
    <t>Vikoda Dahi  RGB 450 nắp vặn</t>
  </si>
  <si>
    <t>Vikoda Nước khoáng Kiềm Thiên Nhiên Alkaline LEXUS lon 330 ml</t>
  </si>
  <si>
    <t>Lon LEXUS 330</t>
  </si>
  <si>
    <t>Vikoda Nước Khoáng Thiên Nhiên The Morning Glow Nha Trang RGB nắp vặn két 20 chai</t>
  </si>
  <si>
    <t>Vikoda  Morning Glow  RGB 450 nắp vặn</t>
  </si>
  <si>
    <t>Vikoda Nước Khoáng Thiên Nhiên Fusion Cam Ranh RGB nắp vặn két 20 chai</t>
  </si>
  <si>
    <t>Vikoda  Fusion Cam Ranh  RGB 450 nắp vặn</t>
  </si>
  <si>
    <t>Nước khoáng thể thao - Sport Drink Đảnh Thạnh PET 430ml thùng 24 chai</t>
  </si>
  <si>
    <t>Sport Drink Nguyên Bản</t>
  </si>
  <si>
    <t>Nước khoáng thể thao - Sport Drink Đảnh Thạnh hương chanh muối PET 430ml thùng 24 chai</t>
  </si>
  <si>
    <t>Sport Drink Chanh Muối</t>
  </si>
  <si>
    <t>Vikoda Nước Khoáng Kiềm Thiên Nhiên 5 lít thùng 4 chai</t>
  </si>
  <si>
    <t>Vikoda Nước Khoáng Kiềm Thiên Nhiên 7 lít</t>
  </si>
  <si>
    <t>Đảnh Thạnh có gas hương chanh Lon SLEEK 330ml</t>
  </si>
  <si>
    <t>Đảnh Thạnh gas cola Lon SLEEK 330ml</t>
  </si>
  <si>
    <t>Vikoda Nước Khoáng Thiên Nhiên RGB 430 ml nắp giật thùng 12 chai</t>
  </si>
  <si>
    <t>Vikoda Nước Khoáng Thiên Nhiên RGB 430ml nắp giật</t>
  </si>
  <si>
    <t>Vikoda Nước Khoáng Kiềm Thiên Nhiên 5 lít thùng 2 chai</t>
  </si>
  <si>
    <t>Vikoda Nước Khoáng Thiên Nhiên Sila RGB 430ml nắp giật</t>
  </si>
  <si>
    <t>Đảnh Thạnh có gas hương chanh Lon SLEEK 330ml (KDT)</t>
  </si>
  <si>
    <t>Đảnh Thạnh gas cola Lon SLEEK 330ml (KDT)</t>
  </si>
  <si>
    <t>Đảnh Thạnh có gas chai RGB 430ml (nhãn giấy)</t>
  </si>
  <si>
    <t>Vikoda Nước Khoáng Thiên Nhiên Vias Hotel Vũng Tàu RGB nắp vặn két 20 chai</t>
  </si>
  <si>
    <t>Vikoda Nước Khoáng Thiên Nhiên Fusion Resort &amp; Villas Đà Nẵng RGB 430ml nắp giật</t>
  </si>
  <si>
    <t>Nước uống có ga Spa-Sky 430 ml</t>
  </si>
  <si>
    <t>Vikoda Nước Khoáng Thiên Nhiên Centara RGB nắp vặn két 20 chai</t>
  </si>
  <si>
    <t>Vikoda Nước Khoáng Thiên Nhiên Fusion Resort &amp; Villas Đà Nẵng RGB nắp vặn két 20 chai</t>
  </si>
  <si>
    <t>Đảnh thạnh có gas 430ml thùng 24 chai (XKHK)</t>
  </si>
  <si>
    <t>Vikoda có gas Soda lon Sleek 330 ml thùng 24 lon (XKHK)</t>
  </si>
  <si>
    <t>Đảnh Thạnh có gas hương chanh 430ml thùng 24 chai (XK Nhật)</t>
  </si>
  <si>
    <t>Đảnh Thạnh có gas hương chanh muối 430ml thùng 24 chai (XK Nhật)</t>
  </si>
  <si>
    <t>Nước khoáng tăng lực sumo vị dâu rừng 200ml</t>
  </si>
  <si>
    <t>Nước khoáng tăng lực Sumo vị dâu rừng 200ml (KDT)</t>
  </si>
  <si>
    <t>Vikoda 5l cũ</t>
  </si>
  <si>
    <t>Vikoda 7l</t>
  </si>
  <si>
    <t>Lon chanh 330</t>
  </si>
  <si>
    <t>Lon Cola 330</t>
  </si>
  <si>
    <t>TT lạt (nhãn giấy)</t>
  </si>
  <si>
    <t>Vikoda nắp giật 430</t>
  </si>
  <si>
    <t>Vikoda 5l 2 chai cũ</t>
  </si>
  <si>
    <t>Vikoda Sila RGB 430 nắp giật</t>
  </si>
  <si>
    <t>Lon chanh 330 KDT</t>
  </si>
  <si>
    <t>Lon Cola 330 KDT</t>
  </si>
  <si>
    <t>Vikoda nắp giật 430 12 chai</t>
  </si>
  <si>
    <t>Vikoda Vias Vũng Tàu RGB 450 nắp vặn</t>
  </si>
  <si>
    <t>Vikoda FS Villa Đà Nẵng RGB 430 nắp giật</t>
  </si>
  <si>
    <t>Pet Spa-Sky 430</t>
  </si>
  <si>
    <t>Vikoda Centara RGB 450</t>
  </si>
  <si>
    <t>Vikoda FS ĐÀ NẴNG Villa Đà Nẵng RGB 450 nắp vặn</t>
  </si>
  <si>
    <t>Pet gas 430 XKHK</t>
  </si>
  <si>
    <t>Lon Soda 330 XKN</t>
  </si>
  <si>
    <t>Pet chanh 430ml XKN</t>
  </si>
  <si>
    <t>Chanh muối 430ml XKN</t>
  </si>
  <si>
    <t xml:space="preserve">Sumo dâu 200 </t>
  </si>
  <si>
    <t>Sumo dâu 200 KDT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</si>
</sst>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" fontId="3" fillId="0" borderId="0" xfId="0" applyNumberFormat="1" applyFont="1"/>
    <xf numFmtId="1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right" vertical="center"/>
    </xf>
    <xf numFmtId="0" fontId="3" fillId="0" borderId="0" xfId="0" applyNumberFormat="1" applyFont="1" applyAlignment="1">
      <alignment horizontal="right"/>
    </xf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C1" workbookViewId="0">
      <pane ySplit="1" topLeftCell="A50" activePane="bottomLeft" state="frozen"/>
      <selection pane="bottomLeft" activeCell="D67" sqref="D67"/>
    </sheetView>
  </sheetViews>
  <sheetFormatPr defaultRowHeight="14.4" x14ac:dyDescent="0.3"/>
  <cols>
    <col min="1" max="2" width="15" customWidth="1"/>
    <col min="3" max="3" width="86.44140625" bestFit="1" customWidth="1"/>
    <col min="4" max="4" width="48.77734375" bestFit="1" customWidth="1"/>
    <col min="5" max="7" width="12" customWidth="1"/>
    <col min="8" max="8" width="15" customWidth="1"/>
    <col min="9" max="9" width="16" customWidth="1"/>
    <col min="10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8" customHeight="1" x14ac:dyDescent="0.3">
      <c r="A2" s="8">
        <v>130100149</v>
      </c>
      <c r="B2" s="9">
        <v>230100149</v>
      </c>
      <c r="C2" s="2" t="s">
        <v>11</v>
      </c>
      <c r="D2" s="2" t="s">
        <v>12</v>
      </c>
      <c r="E2" s="3">
        <v>20</v>
      </c>
      <c r="F2" s="2" t="s">
        <v>13</v>
      </c>
      <c r="G2" s="4">
        <v>0.08</v>
      </c>
      <c r="H2" s="2" t="s">
        <v>14</v>
      </c>
      <c r="I2" s="2" t="s">
        <v>15</v>
      </c>
      <c r="J2" s="5" t="s">
        <v>16</v>
      </c>
      <c r="K2" s="5"/>
    </row>
    <row r="3" spans="1:11" ht="16.8" customHeight="1" x14ac:dyDescent="0.3">
      <c r="A3" s="8">
        <v>130100055</v>
      </c>
      <c r="B3" s="9">
        <v>230100055</v>
      </c>
      <c r="C3" s="2" t="s">
        <v>17</v>
      </c>
      <c r="D3" s="2" t="s">
        <v>18</v>
      </c>
      <c r="E3" s="3">
        <v>24</v>
      </c>
      <c r="F3" s="2" t="s">
        <v>19</v>
      </c>
      <c r="G3" s="4">
        <v>0.1</v>
      </c>
      <c r="H3" s="2" t="s">
        <v>20</v>
      </c>
      <c r="I3" s="2" t="s">
        <v>21</v>
      </c>
      <c r="J3" s="5" t="s">
        <v>22</v>
      </c>
      <c r="K3" s="5"/>
    </row>
    <row r="4" spans="1:11" ht="16.8" customHeight="1" x14ac:dyDescent="0.3">
      <c r="A4" s="8">
        <v>130100017</v>
      </c>
      <c r="B4" s="9">
        <v>230100017</v>
      </c>
      <c r="C4" s="2" t="s">
        <v>23</v>
      </c>
      <c r="D4" s="2" t="s">
        <v>24</v>
      </c>
      <c r="E4" s="3">
        <v>24</v>
      </c>
      <c r="F4" s="2" t="s">
        <v>19</v>
      </c>
      <c r="G4" s="4">
        <v>0.08</v>
      </c>
      <c r="H4" s="2" t="s">
        <v>20</v>
      </c>
      <c r="I4" s="2" t="s">
        <v>21</v>
      </c>
      <c r="J4" s="5" t="s">
        <v>22</v>
      </c>
      <c r="K4" s="5"/>
    </row>
    <row r="5" spans="1:11" ht="16.8" customHeight="1" x14ac:dyDescent="0.3">
      <c r="A5" s="8">
        <v>130100152</v>
      </c>
      <c r="B5" s="9">
        <v>230100152</v>
      </c>
      <c r="C5" s="2" t="s">
        <v>25</v>
      </c>
      <c r="D5" s="2" t="s">
        <v>26</v>
      </c>
      <c r="E5" s="3">
        <v>2</v>
      </c>
      <c r="F5" s="2" t="s">
        <v>19</v>
      </c>
      <c r="G5" s="4">
        <v>0.08</v>
      </c>
      <c r="H5" s="2" t="s">
        <v>14</v>
      </c>
      <c r="I5" s="2" t="s">
        <v>21</v>
      </c>
      <c r="J5" s="5" t="s">
        <v>22</v>
      </c>
      <c r="K5" s="5"/>
    </row>
    <row r="6" spans="1:11" ht="16.8" customHeight="1" x14ac:dyDescent="0.3">
      <c r="A6" s="8">
        <v>130100091</v>
      </c>
      <c r="B6" s="9">
        <v>230100091</v>
      </c>
      <c r="C6" s="2" t="s">
        <v>27</v>
      </c>
      <c r="D6" s="2" t="s">
        <v>28</v>
      </c>
      <c r="E6" s="3">
        <v>24</v>
      </c>
      <c r="F6" s="2" t="s">
        <v>19</v>
      </c>
      <c r="G6" s="4">
        <v>0.08</v>
      </c>
      <c r="H6" s="2" t="s">
        <v>14</v>
      </c>
      <c r="I6" s="2" t="s">
        <v>21</v>
      </c>
      <c r="J6" s="5" t="s">
        <v>22</v>
      </c>
      <c r="K6" s="5"/>
    </row>
    <row r="7" spans="1:11" ht="16.8" customHeight="1" x14ac:dyDescent="0.3">
      <c r="A7" s="8">
        <v>130100011</v>
      </c>
      <c r="B7" s="9">
        <v>230100011</v>
      </c>
      <c r="C7" s="2" t="s">
        <v>29</v>
      </c>
      <c r="D7" s="2" t="s">
        <v>30</v>
      </c>
      <c r="E7" s="3">
        <v>24</v>
      </c>
      <c r="F7" s="2" t="s">
        <v>19</v>
      </c>
      <c r="G7" s="4">
        <v>0.1</v>
      </c>
      <c r="H7" s="2" t="s">
        <v>20</v>
      </c>
      <c r="I7" s="2" t="s">
        <v>21</v>
      </c>
      <c r="J7" s="5" t="s">
        <v>22</v>
      </c>
      <c r="K7" s="5"/>
    </row>
    <row r="8" spans="1:11" ht="16.8" customHeight="1" x14ac:dyDescent="0.3">
      <c r="A8" s="8">
        <v>130100110</v>
      </c>
      <c r="B8" s="9">
        <v>230100110</v>
      </c>
      <c r="C8" s="2" t="s">
        <v>31</v>
      </c>
      <c r="D8" s="2" t="s">
        <v>32</v>
      </c>
      <c r="E8" s="3">
        <v>24</v>
      </c>
      <c r="F8" s="2" t="s">
        <v>19</v>
      </c>
      <c r="G8" s="4">
        <v>0.08</v>
      </c>
      <c r="H8" s="2" t="s">
        <v>14</v>
      </c>
      <c r="I8" s="2" t="s">
        <v>21</v>
      </c>
      <c r="J8" s="5" t="s">
        <v>22</v>
      </c>
      <c r="K8" s="5"/>
    </row>
    <row r="9" spans="1:11" ht="16.8" customHeight="1" x14ac:dyDescent="0.3">
      <c r="A9" s="8">
        <v>130100116</v>
      </c>
      <c r="B9" s="9">
        <v>230100116</v>
      </c>
      <c r="C9" s="2" t="s">
        <v>33</v>
      </c>
      <c r="D9" s="2" t="s">
        <v>34</v>
      </c>
      <c r="E9" s="3">
        <v>12</v>
      </c>
      <c r="F9" s="2" t="s">
        <v>19</v>
      </c>
      <c r="G9" s="4">
        <v>0.08</v>
      </c>
      <c r="H9" s="2" t="s">
        <v>14</v>
      </c>
      <c r="I9" s="2" t="s">
        <v>21</v>
      </c>
      <c r="J9" s="5" t="s">
        <v>22</v>
      </c>
      <c r="K9" s="5"/>
    </row>
    <row r="10" spans="1:11" ht="16.8" customHeight="1" x14ac:dyDescent="0.3">
      <c r="A10" s="8">
        <v>130100036</v>
      </c>
      <c r="B10" s="9">
        <v>230100036</v>
      </c>
      <c r="C10" s="2" t="s">
        <v>35</v>
      </c>
      <c r="D10" s="2" t="s">
        <v>36</v>
      </c>
      <c r="E10" s="3">
        <v>24</v>
      </c>
      <c r="F10" s="2" t="s">
        <v>19</v>
      </c>
      <c r="G10" s="4">
        <v>0.1</v>
      </c>
      <c r="H10" s="2" t="s">
        <v>20</v>
      </c>
      <c r="I10" s="2" t="s">
        <v>21</v>
      </c>
      <c r="J10" s="5" t="s">
        <v>22</v>
      </c>
      <c r="K10" s="5"/>
    </row>
    <row r="11" spans="1:11" ht="16.8" customHeight="1" x14ac:dyDescent="0.3">
      <c r="A11" s="8">
        <v>130100075</v>
      </c>
      <c r="B11" s="9">
        <v>230100075</v>
      </c>
      <c r="C11" s="2" t="s">
        <v>37</v>
      </c>
      <c r="D11" s="2" t="s">
        <v>38</v>
      </c>
      <c r="E11" s="3">
        <v>12</v>
      </c>
      <c r="F11" s="2" t="s">
        <v>19</v>
      </c>
      <c r="G11" s="4">
        <v>0.08</v>
      </c>
      <c r="H11" s="2" t="s">
        <v>14</v>
      </c>
      <c r="I11" s="2" t="s">
        <v>21</v>
      </c>
      <c r="J11" s="5" t="s">
        <v>22</v>
      </c>
      <c r="K11" s="5"/>
    </row>
    <row r="12" spans="1:11" ht="16.8" customHeight="1" x14ac:dyDescent="0.3">
      <c r="A12" s="8">
        <v>130100107</v>
      </c>
      <c r="B12" s="9">
        <v>230100107</v>
      </c>
      <c r="C12" s="2" t="s">
        <v>39</v>
      </c>
      <c r="D12" s="2" t="s">
        <v>40</v>
      </c>
      <c r="E12" s="3">
        <v>12</v>
      </c>
      <c r="F12" s="2" t="s">
        <v>19</v>
      </c>
      <c r="G12" s="4">
        <v>0.08</v>
      </c>
      <c r="H12" s="2" t="s">
        <v>20</v>
      </c>
      <c r="I12" s="2" t="s">
        <v>21</v>
      </c>
      <c r="J12" s="5" t="s">
        <v>22</v>
      </c>
      <c r="K12" s="5"/>
    </row>
    <row r="13" spans="1:11" ht="16.8" customHeight="1" x14ac:dyDescent="0.3">
      <c r="A13" s="8">
        <v>130100151</v>
      </c>
      <c r="B13" s="9">
        <v>230100151</v>
      </c>
      <c r="C13" s="2" t="s">
        <v>41</v>
      </c>
      <c r="D13" s="2" t="s">
        <v>42</v>
      </c>
      <c r="E13" s="3">
        <v>4</v>
      </c>
      <c r="F13" s="2" t="s">
        <v>19</v>
      </c>
      <c r="G13" s="4">
        <v>0.08</v>
      </c>
      <c r="H13" s="2" t="s">
        <v>14</v>
      </c>
      <c r="I13" s="2" t="s">
        <v>21</v>
      </c>
      <c r="J13" s="5" t="s">
        <v>22</v>
      </c>
      <c r="K13" s="5"/>
    </row>
    <row r="14" spans="1:11" ht="16.8" customHeight="1" x14ac:dyDescent="0.3">
      <c r="A14" s="8">
        <v>130100172</v>
      </c>
      <c r="B14" s="9">
        <v>230100172</v>
      </c>
      <c r="C14" s="2" t="s">
        <v>43</v>
      </c>
      <c r="D14" s="2" t="s">
        <v>44</v>
      </c>
      <c r="E14" s="3">
        <v>2</v>
      </c>
      <c r="F14" s="2" t="s">
        <v>19</v>
      </c>
      <c r="G14" s="4">
        <v>0.08</v>
      </c>
      <c r="H14" s="2" t="s">
        <v>14</v>
      </c>
      <c r="I14" s="2" t="s">
        <v>21</v>
      </c>
      <c r="J14" s="5" t="s">
        <v>22</v>
      </c>
      <c r="K14" s="5"/>
    </row>
    <row r="15" spans="1:11" ht="16.8" customHeight="1" x14ac:dyDescent="0.3">
      <c r="A15" s="8">
        <v>130100006</v>
      </c>
      <c r="B15" s="9">
        <v>230100006</v>
      </c>
      <c r="C15" s="2" t="s">
        <v>45</v>
      </c>
      <c r="D15" s="2" t="s">
        <v>46</v>
      </c>
      <c r="E15" s="3">
        <v>1</v>
      </c>
      <c r="F15" s="2" t="s">
        <v>47</v>
      </c>
      <c r="G15" s="4">
        <v>0.08</v>
      </c>
      <c r="H15" s="2" t="s">
        <v>14</v>
      </c>
      <c r="I15" s="2" t="s">
        <v>21</v>
      </c>
      <c r="J15" s="5" t="s">
        <v>16</v>
      </c>
      <c r="K15" s="5"/>
    </row>
    <row r="16" spans="1:11" ht="16.8" customHeight="1" x14ac:dyDescent="0.3">
      <c r="A16" s="8">
        <v>130100096</v>
      </c>
      <c r="B16" s="9">
        <v>230100096</v>
      </c>
      <c r="C16" s="2" t="s">
        <v>48</v>
      </c>
      <c r="D16" s="2" t="s">
        <v>49</v>
      </c>
      <c r="E16" s="3">
        <v>24</v>
      </c>
      <c r="F16" s="2" t="s">
        <v>19</v>
      </c>
      <c r="G16" s="4">
        <v>0.08</v>
      </c>
      <c r="H16" s="2" t="s">
        <v>14</v>
      </c>
      <c r="I16" s="2" t="s">
        <v>21</v>
      </c>
      <c r="J16" s="5" t="s">
        <v>22</v>
      </c>
      <c r="K16" s="5"/>
    </row>
    <row r="17" spans="1:11" ht="16.8" customHeight="1" x14ac:dyDescent="0.3">
      <c r="A17" s="8">
        <v>130100161</v>
      </c>
      <c r="B17" s="9">
        <v>230100161</v>
      </c>
      <c r="C17" s="2" t="s">
        <v>50</v>
      </c>
      <c r="D17" s="2" t="s">
        <v>51</v>
      </c>
      <c r="E17" s="3">
        <v>20</v>
      </c>
      <c r="F17" s="2" t="s">
        <v>13</v>
      </c>
      <c r="G17" s="4">
        <v>0.08</v>
      </c>
      <c r="H17" s="2" t="s">
        <v>14</v>
      </c>
      <c r="I17" s="2" t="s">
        <v>21</v>
      </c>
      <c r="J17" s="5" t="s">
        <v>16</v>
      </c>
      <c r="K17" s="5"/>
    </row>
    <row r="18" spans="1:11" ht="16.8" customHeight="1" x14ac:dyDescent="0.3">
      <c r="A18" s="8">
        <v>130100115</v>
      </c>
      <c r="B18" s="9">
        <v>230100115</v>
      </c>
      <c r="C18" s="2" t="s">
        <v>52</v>
      </c>
      <c r="D18" s="2" t="s">
        <v>53</v>
      </c>
      <c r="E18" s="3">
        <v>24</v>
      </c>
      <c r="F18" s="2" t="s">
        <v>19</v>
      </c>
      <c r="G18" s="4">
        <v>0.08</v>
      </c>
      <c r="H18" s="2" t="s">
        <v>14</v>
      </c>
      <c r="I18" s="2" t="s">
        <v>21</v>
      </c>
      <c r="J18" s="5" t="s">
        <v>22</v>
      </c>
      <c r="K18" s="5"/>
    </row>
    <row r="19" spans="1:11" ht="16.8" customHeight="1" x14ac:dyDescent="0.3">
      <c r="A19" s="8">
        <v>130100173</v>
      </c>
      <c r="B19" s="9">
        <v>230100173</v>
      </c>
      <c r="C19" s="2" t="s">
        <v>54</v>
      </c>
      <c r="D19" s="2" t="s">
        <v>55</v>
      </c>
      <c r="E19" s="3">
        <v>20</v>
      </c>
      <c r="F19" s="2" t="s">
        <v>13</v>
      </c>
      <c r="G19" s="4">
        <v>0.08</v>
      </c>
      <c r="H19" s="2" t="s">
        <v>14</v>
      </c>
      <c r="I19" s="2" t="s">
        <v>21</v>
      </c>
      <c r="J19" s="5" t="s">
        <v>16</v>
      </c>
      <c r="K19" s="5"/>
    </row>
    <row r="20" spans="1:11" ht="16.8" customHeight="1" x14ac:dyDescent="0.3">
      <c r="A20" s="8">
        <v>130100008</v>
      </c>
      <c r="B20" s="9">
        <v>230100008</v>
      </c>
      <c r="C20" s="2" t="s">
        <v>56</v>
      </c>
      <c r="D20" s="2" t="s">
        <v>57</v>
      </c>
      <c r="E20" s="3">
        <v>20</v>
      </c>
      <c r="F20" s="2" t="s">
        <v>13</v>
      </c>
      <c r="G20" s="4">
        <v>0.08</v>
      </c>
      <c r="H20" s="2" t="s">
        <v>20</v>
      </c>
      <c r="I20" s="2" t="s">
        <v>21</v>
      </c>
      <c r="J20" s="5" t="s">
        <v>16</v>
      </c>
      <c r="K20" s="5"/>
    </row>
    <row r="21" spans="1:11" ht="16.8" customHeight="1" x14ac:dyDescent="0.3">
      <c r="A21" s="8">
        <v>130100159</v>
      </c>
      <c r="B21" s="9">
        <v>230100159</v>
      </c>
      <c r="C21" s="2" t="s">
        <v>58</v>
      </c>
      <c r="D21" s="2" t="s">
        <v>59</v>
      </c>
      <c r="E21" s="3">
        <v>20</v>
      </c>
      <c r="F21" s="2" t="s">
        <v>13</v>
      </c>
      <c r="G21" s="4">
        <v>0.08</v>
      </c>
      <c r="H21" s="2" t="s">
        <v>14</v>
      </c>
      <c r="I21" s="2" t="s">
        <v>21</v>
      </c>
      <c r="J21" s="5" t="s">
        <v>16</v>
      </c>
      <c r="K21" s="5"/>
    </row>
    <row r="22" spans="1:11" ht="16.8" customHeight="1" x14ac:dyDescent="0.3">
      <c r="A22" s="8">
        <v>130100013</v>
      </c>
      <c r="B22" s="9">
        <v>230100013</v>
      </c>
      <c r="C22" s="2" t="s">
        <v>60</v>
      </c>
      <c r="D22" s="2" t="s">
        <v>61</v>
      </c>
      <c r="E22" s="3">
        <v>20</v>
      </c>
      <c r="F22" s="2" t="s">
        <v>13</v>
      </c>
      <c r="G22" s="4">
        <v>0.1</v>
      </c>
      <c r="H22" s="2" t="s">
        <v>20</v>
      </c>
      <c r="I22" s="2" t="s">
        <v>21</v>
      </c>
      <c r="J22" s="5" t="s">
        <v>16</v>
      </c>
      <c r="K22" s="5"/>
    </row>
    <row r="23" spans="1:11" ht="16.8" customHeight="1" x14ac:dyDescent="0.3">
      <c r="A23" s="8">
        <v>130100162</v>
      </c>
      <c r="B23" s="9">
        <v>230100162</v>
      </c>
      <c r="C23" s="2" t="s">
        <v>62</v>
      </c>
      <c r="D23" s="2" t="s">
        <v>63</v>
      </c>
      <c r="E23" s="3">
        <v>20</v>
      </c>
      <c r="F23" s="2" t="s">
        <v>13</v>
      </c>
      <c r="G23" s="4">
        <v>0.08</v>
      </c>
      <c r="H23" s="2" t="s">
        <v>14</v>
      </c>
      <c r="I23" s="2" t="s">
        <v>21</v>
      </c>
      <c r="J23" s="5" t="s">
        <v>16</v>
      </c>
      <c r="K23" s="5"/>
    </row>
    <row r="24" spans="1:11" ht="16.8" customHeight="1" x14ac:dyDescent="0.3">
      <c r="A24" s="8">
        <v>130100071</v>
      </c>
      <c r="B24" s="9">
        <v>230100071</v>
      </c>
      <c r="C24" s="2" t="s">
        <v>64</v>
      </c>
      <c r="D24" s="2" t="s">
        <v>65</v>
      </c>
      <c r="E24" s="3">
        <v>20</v>
      </c>
      <c r="F24" s="2" t="s">
        <v>13</v>
      </c>
      <c r="G24" s="4">
        <v>0.08</v>
      </c>
      <c r="H24" s="2" t="s">
        <v>14</v>
      </c>
      <c r="I24" s="2" t="s">
        <v>21</v>
      </c>
      <c r="J24" s="5" t="s">
        <v>16</v>
      </c>
      <c r="K24" s="5"/>
    </row>
    <row r="25" spans="1:11" ht="16.8" customHeight="1" x14ac:dyDescent="0.3">
      <c r="A25" s="8">
        <v>130100092</v>
      </c>
      <c r="B25" s="9">
        <v>230100092</v>
      </c>
      <c r="C25" s="2" t="s">
        <v>66</v>
      </c>
      <c r="D25" s="2" t="s">
        <v>67</v>
      </c>
      <c r="E25" s="3">
        <v>24</v>
      </c>
      <c r="F25" s="2" t="s">
        <v>19</v>
      </c>
      <c r="G25" s="4">
        <v>0.08</v>
      </c>
      <c r="H25" s="2" t="s">
        <v>14</v>
      </c>
      <c r="I25" s="2" t="s">
        <v>21</v>
      </c>
      <c r="J25" s="5" t="s">
        <v>22</v>
      </c>
      <c r="K25" s="5"/>
    </row>
    <row r="26" spans="1:11" ht="16.8" customHeight="1" x14ac:dyDescent="0.3">
      <c r="A26" s="8">
        <v>130100142</v>
      </c>
      <c r="B26" s="9">
        <v>230100142</v>
      </c>
      <c r="C26" s="2" t="s">
        <v>68</v>
      </c>
      <c r="D26" s="2" t="s">
        <v>46</v>
      </c>
      <c r="E26" s="3">
        <v>1</v>
      </c>
      <c r="F26" s="2" t="s">
        <v>47</v>
      </c>
      <c r="G26" s="4">
        <v>0.08</v>
      </c>
      <c r="H26" s="2" t="s">
        <v>14</v>
      </c>
      <c r="I26" s="2" t="s">
        <v>21</v>
      </c>
      <c r="J26" s="5" t="s">
        <v>22</v>
      </c>
      <c r="K26" s="5"/>
    </row>
    <row r="27" spans="1:11" ht="16.8" customHeight="1" x14ac:dyDescent="0.3">
      <c r="A27" s="8">
        <v>130100014</v>
      </c>
      <c r="B27" s="9">
        <v>230100014</v>
      </c>
      <c r="C27" s="2" t="s">
        <v>69</v>
      </c>
      <c r="D27" s="2" t="s">
        <v>70</v>
      </c>
      <c r="E27" s="3"/>
      <c r="F27" s="2"/>
      <c r="G27" s="4">
        <v>0.08</v>
      </c>
      <c r="H27" s="2" t="s">
        <v>71</v>
      </c>
      <c r="I27" s="2" t="s">
        <v>21</v>
      </c>
      <c r="J27" s="5" t="s">
        <v>22</v>
      </c>
      <c r="K27" s="5"/>
    </row>
    <row r="28" spans="1:11" ht="16.8" customHeight="1" x14ac:dyDescent="0.3">
      <c r="A28" s="8">
        <v>130100153</v>
      </c>
      <c r="B28" s="9">
        <v>230100153</v>
      </c>
      <c r="C28" s="2" t="s">
        <v>72</v>
      </c>
      <c r="D28" s="2" t="s">
        <v>73</v>
      </c>
      <c r="E28" s="3">
        <v>20</v>
      </c>
      <c r="F28" s="2" t="s">
        <v>13</v>
      </c>
      <c r="G28" s="4">
        <v>0.08</v>
      </c>
      <c r="H28" s="2" t="s">
        <v>14</v>
      </c>
      <c r="I28" s="2" t="s">
        <v>21</v>
      </c>
      <c r="J28" s="5" t="s">
        <v>16</v>
      </c>
      <c r="K28" s="5"/>
    </row>
    <row r="29" spans="1:11" ht="16.8" customHeight="1" x14ac:dyDescent="0.3">
      <c r="A29" s="8">
        <v>130100174</v>
      </c>
      <c r="B29" s="9">
        <v>230100174</v>
      </c>
      <c r="C29" s="2" t="s">
        <v>74</v>
      </c>
      <c r="D29" s="2" t="s">
        <v>75</v>
      </c>
      <c r="E29" s="3">
        <v>20</v>
      </c>
      <c r="F29" s="2" t="s">
        <v>13</v>
      </c>
      <c r="G29" s="4">
        <v>0.08</v>
      </c>
      <c r="H29" s="2" t="s">
        <v>14</v>
      </c>
      <c r="I29" s="2" t="s">
        <v>21</v>
      </c>
      <c r="J29" s="5" t="s">
        <v>16</v>
      </c>
      <c r="K29" s="5"/>
    </row>
    <row r="30" spans="1:11" ht="16.8" customHeight="1" x14ac:dyDescent="0.3">
      <c r="A30" s="8">
        <v>130100028</v>
      </c>
      <c r="B30" s="9">
        <v>230100028</v>
      </c>
      <c r="C30" s="2" t="s">
        <v>76</v>
      </c>
      <c r="D30" s="2" t="s">
        <v>77</v>
      </c>
      <c r="E30" s="3">
        <v>1</v>
      </c>
      <c r="F30" s="2" t="s">
        <v>47</v>
      </c>
      <c r="G30" s="4">
        <v>0.08</v>
      </c>
      <c r="H30" s="2" t="s">
        <v>14</v>
      </c>
      <c r="I30" s="2" t="s">
        <v>21</v>
      </c>
      <c r="J30" s="5" t="s">
        <v>16</v>
      </c>
      <c r="K30" s="5"/>
    </row>
    <row r="31" spans="1:11" ht="16.8" customHeight="1" x14ac:dyDescent="0.3">
      <c r="A31" s="8">
        <v>130200026</v>
      </c>
      <c r="B31" s="9">
        <v>230200026</v>
      </c>
      <c r="C31" s="2" t="s">
        <v>78</v>
      </c>
      <c r="D31" s="2" t="s">
        <v>79</v>
      </c>
      <c r="E31" s="3">
        <v>24</v>
      </c>
      <c r="F31" s="2" t="s">
        <v>19</v>
      </c>
      <c r="G31" s="4">
        <v>0.1</v>
      </c>
      <c r="H31" s="2" t="s">
        <v>80</v>
      </c>
      <c r="I31" s="2" t="s">
        <v>21</v>
      </c>
      <c r="J31" s="5" t="s">
        <v>22</v>
      </c>
      <c r="K31" s="5" t="s">
        <v>10</v>
      </c>
    </row>
    <row r="32" spans="1:11" ht="16.8" customHeight="1" x14ac:dyDescent="0.3">
      <c r="A32" s="8">
        <v>130100155</v>
      </c>
      <c r="B32" s="9">
        <v>230100155</v>
      </c>
      <c r="C32" s="2" t="s">
        <v>81</v>
      </c>
      <c r="D32" s="2" t="s">
        <v>82</v>
      </c>
      <c r="E32" s="3">
        <v>12</v>
      </c>
      <c r="F32" s="2" t="s">
        <v>19</v>
      </c>
      <c r="G32" s="4">
        <v>0.08</v>
      </c>
      <c r="H32" s="2" t="s">
        <v>14</v>
      </c>
      <c r="I32" s="2" t="s">
        <v>21</v>
      </c>
      <c r="J32" s="5" t="s">
        <v>22</v>
      </c>
      <c r="K32" s="5"/>
    </row>
    <row r="33" spans="1:11" ht="16.8" customHeight="1" x14ac:dyDescent="0.3">
      <c r="A33" s="8">
        <v>130100167</v>
      </c>
      <c r="B33" s="9">
        <v>230100167</v>
      </c>
      <c r="C33" s="2" t="s">
        <v>83</v>
      </c>
      <c r="D33" s="2" t="s">
        <v>84</v>
      </c>
      <c r="E33" s="3">
        <v>20</v>
      </c>
      <c r="F33" s="2" t="s">
        <v>13</v>
      </c>
      <c r="G33" s="4">
        <v>0.08</v>
      </c>
      <c r="H33" s="2" t="s">
        <v>14</v>
      </c>
      <c r="I33" s="2" t="s">
        <v>21</v>
      </c>
      <c r="J33" s="5" t="s">
        <v>16</v>
      </c>
      <c r="K33" s="5"/>
    </row>
    <row r="34" spans="1:11" ht="16.8" customHeight="1" x14ac:dyDescent="0.3">
      <c r="A34" s="8">
        <v>130100166</v>
      </c>
      <c r="B34" s="9">
        <v>230100166</v>
      </c>
      <c r="C34" s="2" t="s">
        <v>85</v>
      </c>
      <c r="D34" s="2" t="s">
        <v>86</v>
      </c>
      <c r="E34" s="3">
        <v>20</v>
      </c>
      <c r="F34" s="2" t="s">
        <v>13</v>
      </c>
      <c r="G34" s="4">
        <v>0.08</v>
      </c>
      <c r="H34" s="2" t="s">
        <v>14</v>
      </c>
      <c r="I34" s="2" t="s">
        <v>21</v>
      </c>
      <c r="J34" s="5" t="s">
        <v>16</v>
      </c>
      <c r="K34" s="5"/>
    </row>
    <row r="35" spans="1:11" ht="16.8" customHeight="1" x14ac:dyDescent="0.3">
      <c r="A35" s="8">
        <v>130100164</v>
      </c>
      <c r="B35" s="9">
        <v>230100164</v>
      </c>
      <c r="C35" s="2" t="s">
        <v>87</v>
      </c>
      <c r="D35" s="2" t="s">
        <v>88</v>
      </c>
      <c r="E35" s="3">
        <v>20</v>
      </c>
      <c r="F35" s="2" t="s">
        <v>13</v>
      </c>
      <c r="G35" s="4">
        <v>0.08</v>
      </c>
      <c r="H35" s="2" t="s">
        <v>14</v>
      </c>
      <c r="I35" s="2" t="s">
        <v>21</v>
      </c>
      <c r="J35" s="5" t="s">
        <v>16</v>
      </c>
      <c r="K35" s="5"/>
    </row>
    <row r="36" spans="1:11" ht="16.8" customHeight="1" x14ac:dyDescent="0.3">
      <c r="A36" s="8">
        <v>130100157</v>
      </c>
      <c r="B36" s="9">
        <v>230100157</v>
      </c>
      <c r="C36" s="2" t="s">
        <v>89</v>
      </c>
      <c r="D36" s="2" t="s">
        <v>90</v>
      </c>
      <c r="E36" s="3">
        <v>20</v>
      </c>
      <c r="F36" s="2" t="s">
        <v>13</v>
      </c>
      <c r="G36" s="4">
        <v>0.08</v>
      </c>
      <c r="H36" s="2" t="s">
        <v>14</v>
      </c>
      <c r="I36" s="2" t="s">
        <v>21</v>
      </c>
      <c r="J36" s="5" t="s">
        <v>16</v>
      </c>
      <c r="K36" s="5"/>
    </row>
    <row r="37" spans="1:11" ht="16.8" customHeight="1" x14ac:dyDescent="0.3">
      <c r="A37" s="8">
        <v>130100171</v>
      </c>
      <c r="B37" s="9">
        <v>230100171</v>
      </c>
      <c r="C37" s="2" t="s">
        <v>91</v>
      </c>
      <c r="D37" s="2" t="s">
        <v>92</v>
      </c>
      <c r="E37" s="3">
        <v>20</v>
      </c>
      <c r="F37" s="2" t="s">
        <v>13</v>
      </c>
      <c r="G37" s="4">
        <v>0.08</v>
      </c>
      <c r="H37" s="2" t="s">
        <v>14</v>
      </c>
      <c r="I37" s="2" t="s">
        <v>21</v>
      </c>
      <c r="J37" s="5" t="s">
        <v>16</v>
      </c>
      <c r="K37" s="5"/>
    </row>
    <row r="38" spans="1:11" ht="16.8" customHeight="1" x14ac:dyDescent="0.3">
      <c r="A38" s="8">
        <v>130100108</v>
      </c>
      <c r="B38" s="9">
        <v>230100108</v>
      </c>
      <c r="C38" s="2" t="s">
        <v>93</v>
      </c>
      <c r="D38" s="2" t="s">
        <v>94</v>
      </c>
      <c r="E38" s="3">
        <v>12</v>
      </c>
      <c r="F38" s="2" t="s">
        <v>19</v>
      </c>
      <c r="G38" s="4">
        <v>0.1</v>
      </c>
      <c r="H38" s="2" t="s">
        <v>20</v>
      </c>
      <c r="I38" s="2" t="s">
        <v>21</v>
      </c>
      <c r="J38" s="5" t="s">
        <v>22</v>
      </c>
      <c r="K38" s="5"/>
    </row>
    <row r="39" spans="1:11" ht="16.8" customHeight="1" x14ac:dyDescent="0.3">
      <c r="A39" s="8">
        <v>130200001</v>
      </c>
      <c r="B39" s="9">
        <v>230200001</v>
      </c>
      <c r="C39" s="2" t="s">
        <v>95</v>
      </c>
      <c r="D39" s="2" t="s">
        <v>96</v>
      </c>
      <c r="E39" s="3">
        <v>24</v>
      </c>
      <c r="F39" s="2" t="s">
        <v>19</v>
      </c>
      <c r="G39" s="4">
        <v>0.1</v>
      </c>
      <c r="H39" s="2" t="s">
        <v>80</v>
      </c>
      <c r="I39" s="2" t="s">
        <v>21</v>
      </c>
      <c r="J39" s="5" t="s">
        <v>22</v>
      </c>
      <c r="K39" s="5"/>
    </row>
    <row r="40" spans="1:11" ht="16.8" customHeight="1" x14ac:dyDescent="0.3">
      <c r="A40" s="8">
        <v>130100170</v>
      </c>
      <c r="B40" s="9">
        <v>230100170</v>
      </c>
      <c r="C40" s="2" t="s">
        <v>97</v>
      </c>
      <c r="D40" s="2" t="s">
        <v>98</v>
      </c>
      <c r="E40" s="3">
        <v>20</v>
      </c>
      <c r="F40" s="2" t="s">
        <v>13</v>
      </c>
      <c r="G40" s="4">
        <v>0.08</v>
      </c>
      <c r="H40" s="2" t="s">
        <v>14</v>
      </c>
      <c r="I40" s="2" t="s">
        <v>21</v>
      </c>
      <c r="J40" s="5" t="s">
        <v>16</v>
      </c>
      <c r="K40" s="5"/>
    </row>
    <row r="41" spans="1:11" ht="16.8" customHeight="1" x14ac:dyDescent="0.3">
      <c r="A41" s="8">
        <v>130100168</v>
      </c>
      <c r="B41" s="9">
        <v>230100168</v>
      </c>
      <c r="C41" s="2" t="s">
        <v>99</v>
      </c>
      <c r="D41" s="2" t="s">
        <v>100</v>
      </c>
      <c r="E41" s="3">
        <v>20</v>
      </c>
      <c r="F41" s="2" t="s">
        <v>13</v>
      </c>
      <c r="G41" s="4">
        <v>0.08</v>
      </c>
      <c r="H41" s="2" t="s">
        <v>14</v>
      </c>
      <c r="I41" s="2" t="s">
        <v>21</v>
      </c>
      <c r="J41" s="5" t="s">
        <v>16</v>
      </c>
      <c r="K41" s="5"/>
    </row>
    <row r="42" spans="1:11" ht="16.8" customHeight="1" x14ac:dyDescent="0.3">
      <c r="A42" s="8">
        <v>130100169</v>
      </c>
      <c r="B42" s="9">
        <v>230100169</v>
      </c>
      <c r="C42" s="2" t="s">
        <v>101</v>
      </c>
      <c r="D42" s="2" t="s">
        <v>102</v>
      </c>
      <c r="E42" s="3">
        <v>24</v>
      </c>
      <c r="F42" s="2" t="s">
        <v>19</v>
      </c>
      <c r="G42" s="4">
        <v>0.08</v>
      </c>
      <c r="H42" s="2" t="s">
        <v>14</v>
      </c>
      <c r="I42" s="2" t="s">
        <v>21</v>
      </c>
      <c r="J42" s="5" t="s">
        <v>22</v>
      </c>
      <c r="K42" s="5"/>
    </row>
    <row r="43" spans="1:11" ht="16.8" customHeight="1" x14ac:dyDescent="0.3">
      <c r="A43" s="8">
        <v>130100154</v>
      </c>
      <c r="B43" s="9">
        <v>230100154</v>
      </c>
      <c r="C43" s="2" t="s">
        <v>103</v>
      </c>
      <c r="D43" s="2" t="s">
        <v>104</v>
      </c>
      <c r="E43" s="3">
        <v>20</v>
      </c>
      <c r="F43" s="2" t="s">
        <v>13</v>
      </c>
      <c r="G43" s="4">
        <v>0.08</v>
      </c>
      <c r="H43" s="2" t="s">
        <v>14</v>
      </c>
      <c r="I43" s="2" t="s">
        <v>21</v>
      </c>
      <c r="J43" s="5" t="s">
        <v>16</v>
      </c>
      <c r="K43" s="5"/>
    </row>
    <row r="44" spans="1:11" ht="16.8" customHeight="1" x14ac:dyDescent="0.3">
      <c r="A44" s="8">
        <v>130100158</v>
      </c>
      <c r="B44" s="9">
        <v>230100158</v>
      </c>
      <c r="C44" s="2" t="s">
        <v>105</v>
      </c>
      <c r="D44" s="2" t="s">
        <v>106</v>
      </c>
      <c r="E44" s="3">
        <v>20</v>
      </c>
      <c r="F44" s="2" t="s">
        <v>13</v>
      </c>
      <c r="G44" s="4">
        <v>0.08</v>
      </c>
      <c r="H44" s="2" t="s">
        <v>14</v>
      </c>
      <c r="I44" s="2" t="s">
        <v>21</v>
      </c>
      <c r="J44" s="5" t="s">
        <v>16</v>
      </c>
      <c r="K44" s="5"/>
    </row>
    <row r="45" spans="1:11" ht="16.8" customHeight="1" x14ac:dyDescent="0.3">
      <c r="A45" s="8">
        <v>130300005</v>
      </c>
      <c r="B45" s="9">
        <v>230300005</v>
      </c>
      <c r="C45" s="2" t="s">
        <v>107</v>
      </c>
      <c r="D45" s="2" t="s">
        <v>108</v>
      </c>
      <c r="E45" s="3">
        <v>24</v>
      </c>
      <c r="F45" s="2" t="s">
        <v>19</v>
      </c>
      <c r="G45" s="4">
        <v>0.08</v>
      </c>
      <c r="H45" s="2" t="s">
        <v>20</v>
      </c>
      <c r="I45" s="2" t="s">
        <v>21</v>
      </c>
      <c r="J45" s="5" t="s">
        <v>22</v>
      </c>
      <c r="K45" s="5"/>
    </row>
    <row r="46" spans="1:11" ht="16.8" customHeight="1" x14ac:dyDescent="0.3">
      <c r="A46" s="8">
        <v>130300006</v>
      </c>
      <c r="B46" s="9">
        <v>230300006</v>
      </c>
      <c r="C46" s="2" t="s">
        <v>109</v>
      </c>
      <c r="D46" s="2" t="s">
        <v>110</v>
      </c>
      <c r="E46" s="3">
        <v>24</v>
      </c>
      <c r="F46" s="2" t="s">
        <v>19</v>
      </c>
      <c r="G46" s="4">
        <v>0.08</v>
      </c>
      <c r="H46" s="2" t="s">
        <v>20</v>
      </c>
      <c r="I46" s="2" t="s">
        <v>21</v>
      </c>
      <c r="J46" s="5" t="s">
        <v>22</v>
      </c>
      <c r="K46" s="5"/>
    </row>
    <row r="47" spans="1:11" ht="16.8" x14ac:dyDescent="0.4">
      <c r="A47" s="7">
        <f>VALUE("1"&amp;RIGHT(B47,LEN(B47)-1))</f>
        <v>130100004</v>
      </c>
      <c r="B47" s="10">
        <v>230100004</v>
      </c>
      <c r="C47" s="6" t="s">
        <v>111</v>
      </c>
      <c r="D47" s="2" t="s">
        <v>133</v>
      </c>
      <c r="E47" s="6">
        <v>4</v>
      </c>
      <c r="F47" s="6" t="s">
        <v>19</v>
      </c>
      <c r="G47" s="11">
        <v>0.08</v>
      </c>
      <c r="H47" s="6" t="s">
        <v>14</v>
      </c>
      <c r="I47" s="2" t="s">
        <v>21</v>
      </c>
      <c r="J47" s="5" t="s">
        <v>22</v>
      </c>
      <c r="K47" s="6"/>
    </row>
    <row r="48" spans="1:11" ht="16.8" x14ac:dyDescent="0.4">
      <c r="A48" s="7">
        <f>VALUE("1"&amp;RIGHT(B48,LEN(B48)-1))</f>
        <v>130100005</v>
      </c>
      <c r="B48" s="10">
        <v>230100005</v>
      </c>
      <c r="C48" s="6" t="s">
        <v>112</v>
      </c>
      <c r="D48" s="6" t="s">
        <v>134</v>
      </c>
      <c r="E48" s="6">
        <v>1</v>
      </c>
      <c r="F48" s="6" t="s">
        <v>47</v>
      </c>
      <c r="G48" s="11">
        <v>0.08</v>
      </c>
      <c r="H48" s="6" t="s">
        <v>14</v>
      </c>
      <c r="I48" s="2" t="s">
        <v>21</v>
      </c>
      <c r="J48" s="5" t="s">
        <v>22</v>
      </c>
      <c r="K48" s="6"/>
    </row>
    <row r="49" spans="1:11" ht="16.8" x14ac:dyDescent="0.4">
      <c r="A49" s="7">
        <f>VALUE("1"&amp;RIGHT(B49,LEN(B49)-1))</f>
        <v>130100027</v>
      </c>
      <c r="B49" s="10">
        <v>230100027</v>
      </c>
      <c r="C49" s="6" t="s">
        <v>113</v>
      </c>
      <c r="D49" s="6" t="s">
        <v>135</v>
      </c>
      <c r="E49" s="6">
        <v>24</v>
      </c>
      <c r="F49" s="6" t="s">
        <v>19</v>
      </c>
      <c r="G49" s="11">
        <v>0.1</v>
      </c>
      <c r="H49" s="6" t="s">
        <v>20</v>
      </c>
      <c r="I49" s="2" t="s">
        <v>21</v>
      </c>
      <c r="J49" s="5" t="s">
        <v>22</v>
      </c>
      <c r="K49" s="6"/>
    </row>
    <row r="50" spans="1:11" ht="16.8" x14ac:dyDescent="0.4">
      <c r="A50" s="7">
        <f>VALUE("1"&amp;RIGHT(B50,LEN(B50)-1))</f>
        <v>130100032</v>
      </c>
      <c r="B50" s="10">
        <v>230100032</v>
      </c>
      <c r="C50" s="6" t="s">
        <v>114</v>
      </c>
      <c r="D50" s="6" t="s">
        <v>136</v>
      </c>
      <c r="E50" s="6">
        <v>24</v>
      </c>
      <c r="F50" s="6" t="s">
        <v>19</v>
      </c>
      <c r="G50" s="11">
        <v>0.1</v>
      </c>
      <c r="H50" s="6" t="s">
        <v>20</v>
      </c>
      <c r="I50" s="2" t="s">
        <v>21</v>
      </c>
      <c r="J50" s="5" t="s">
        <v>22</v>
      </c>
      <c r="K50" s="6"/>
    </row>
    <row r="51" spans="1:11" ht="16.8" x14ac:dyDescent="0.4">
      <c r="A51" s="7">
        <f>VALUE("1"&amp;RIGHT(B51,LEN(B51)-1))</f>
        <v>130100106</v>
      </c>
      <c r="B51" s="10">
        <v>230100106</v>
      </c>
      <c r="C51" s="6" t="s">
        <v>115</v>
      </c>
      <c r="D51" s="6" t="s">
        <v>143</v>
      </c>
      <c r="E51" s="6">
        <v>12</v>
      </c>
      <c r="F51" s="6" t="s">
        <v>19</v>
      </c>
      <c r="G51" s="11">
        <v>0.08</v>
      </c>
      <c r="H51" s="6" t="s">
        <v>14</v>
      </c>
      <c r="I51" s="2" t="s">
        <v>21</v>
      </c>
      <c r="J51" s="5" t="s">
        <v>22</v>
      </c>
      <c r="K51" s="6"/>
    </row>
    <row r="52" spans="1:11" ht="16.8" x14ac:dyDescent="0.4">
      <c r="A52" s="7">
        <f>VALUE("1"&amp;RIGHT(B52,LEN(B52)-1))</f>
        <v>130100112</v>
      </c>
      <c r="B52" s="10">
        <v>230100112</v>
      </c>
      <c r="C52" s="6" t="s">
        <v>116</v>
      </c>
      <c r="D52" s="6" t="s">
        <v>138</v>
      </c>
      <c r="E52" s="6">
        <v>20</v>
      </c>
      <c r="F52" s="6" t="s">
        <v>13</v>
      </c>
      <c r="G52" s="11">
        <v>0.08</v>
      </c>
      <c r="H52" s="6" t="s">
        <v>14</v>
      </c>
      <c r="I52" s="2" t="s">
        <v>21</v>
      </c>
      <c r="J52" s="5" t="s">
        <v>16</v>
      </c>
      <c r="K52" s="6"/>
    </row>
    <row r="53" spans="1:11" ht="16.8" x14ac:dyDescent="0.4">
      <c r="A53" s="7">
        <f>VALUE("1"&amp;RIGHT(B53,LEN(B53)-1))</f>
        <v>130100117</v>
      </c>
      <c r="B53" s="10">
        <v>230100117</v>
      </c>
      <c r="C53" s="6" t="s">
        <v>117</v>
      </c>
      <c r="D53" s="6" t="s">
        <v>139</v>
      </c>
      <c r="E53" s="6">
        <v>2</v>
      </c>
      <c r="F53" s="6" t="s">
        <v>19</v>
      </c>
      <c r="G53" s="11">
        <v>0.08</v>
      </c>
      <c r="H53" s="6" t="s">
        <v>14</v>
      </c>
      <c r="I53" s="2" t="s">
        <v>21</v>
      </c>
      <c r="J53" s="5" t="s">
        <v>22</v>
      </c>
      <c r="K53" s="6"/>
    </row>
    <row r="54" spans="1:11" ht="16.8" x14ac:dyDescent="0.4">
      <c r="A54" s="7">
        <f>VALUE("1"&amp;RIGHT(B54,LEN(B54)-1))</f>
        <v>130100121</v>
      </c>
      <c r="B54" s="10">
        <v>230100121</v>
      </c>
      <c r="C54" s="6" t="s">
        <v>118</v>
      </c>
      <c r="D54" s="6" t="s">
        <v>140</v>
      </c>
      <c r="E54" s="6">
        <v>20</v>
      </c>
      <c r="F54" s="6" t="s">
        <v>13</v>
      </c>
      <c r="G54" s="11">
        <v>0.08</v>
      </c>
      <c r="H54" s="6" t="s">
        <v>14</v>
      </c>
      <c r="I54" s="2" t="s">
        <v>21</v>
      </c>
      <c r="J54" s="5" t="s">
        <v>16</v>
      </c>
      <c r="K54" s="6"/>
    </row>
    <row r="55" spans="1:11" ht="16.8" x14ac:dyDescent="0.4">
      <c r="A55" s="7">
        <f>VALUE("1"&amp;RIGHT(B55,LEN(B55)-1))</f>
        <v>130100128</v>
      </c>
      <c r="B55" s="10">
        <v>230100128</v>
      </c>
      <c r="C55" s="6" t="s">
        <v>119</v>
      </c>
      <c r="D55" s="6" t="s">
        <v>141</v>
      </c>
      <c r="E55" s="6">
        <v>24</v>
      </c>
      <c r="F55" s="6" t="s">
        <v>19</v>
      </c>
      <c r="G55" s="11">
        <v>0.1</v>
      </c>
      <c r="H55" s="6" t="s">
        <v>20</v>
      </c>
      <c r="I55" s="2" t="s">
        <v>21</v>
      </c>
      <c r="J55" s="5" t="s">
        <v>22</v>
      </c>
      <c r="K55" s="6" t="s">
        <v>10</v>
      </c>
    </row>
    <row r="56" spans="1:11" ht="16.8" x14ac:dyDescent="0.4">
      <c r="A56" s="7">
        <f>VALUE("1"&amp;RIGHT(B56,LEN(B56)-1))</f>
        <v>130100129</v>
      </c>
      <c r="B56" s="10">
        <v>230100129</v>
      </c>
      <c r="C56" s="6" t="s">
        <v>120</v>
      </c>
      <c r="D56" s="6" t="s">
        <v>142</v>
      </c>
      <c r="E56" s="6">
        <v>24</v>
      </c>
      <c r="F56" s="6" t="s">
        <v>19</v>
      </c>
      <c r="G56" s="11">
        <v>0.1</v>
      </c>
      <c r="H56" s="6" t="s">
        <v>20</v>
      </c>
      <c r="I56" s="2" t="s">
        <v>21</v>
      </c>
      <c r="J56" s="5" t="s">
        <v>22</v>
      </c>
      <c r="K56" s="6" t="s">
        <v>10</v>
      </c>
    </row>
    <row r="57" spans="1:11" ht="16.8" x14ac:dyDescent="0.4">
      <c r="A57" s="7">
        <f>VALUE("1"&amp;RIGHT(B57,LEN(B57)-1))</f>
        <v>130100141</v>
      </c>
      <c r="B57" s="10">
        <v>230100141</v>
      </c>
      <c r="C57" s="6" t="s">
        <v>121</v>
      </c>
      <c r="D57" s="6" t="s">
        <v>137</v>
      </c>
      <c r="E57" s="6">
        <v>20</v>
      </c>
      <c r="F57" s="6" t="s">
        <v>13</v>
      </c>
      <c r="G57" s="11">
        <v>0.08</v>
      </c>
      <c r="H57" s="6" t="s">
        <v>20</v>
      </c>
      <c r="I57" s="2" t="s">
        <v>21</v>
      </c>
      <c r="J57" s="5" t="s">
        <v>16</v>
      </c>
      <c r="K57" s="6"/>
    </row>
    <row r="58" spans="1:11" ht="16.8" x14ac:dyDescent="0.4">
      <c r="A58" s="7">
        <f>VALUE("1"&amp;RIGHT(B58,LEN(B58)-1))</f>
        <v>130100143</v>
      </c>
      <c r="B58" s="10">
        <v>230100143</v>
      </c>
      <c r="C58" s="6" t="s">
        <v>122</v>
      </c>
      <c r="D58" s="6" t="s">
        <v>144</v>
      </c>
      <c r="E58" s="6">
        <v>20</v>
      </c>
      <c r="F58" s="6" t="s">
        <v>13</v>
      </c>
      <c r="G58" s="11">
        <v>0.08</v>
      </c>
      <c r="H58" s="6" t="s">
        <v>14</v>
      </c>
      <c r="I58" s="2" t="s">
        <v>21</v>
      </c>
      <c r="J58" s="5" t="s">
        <v>16</v>
      </c>
      <c r="K58" s="6"/>
    </row>
    <row r="59" spans="1:11" ht="16.8" x14ac:dyDescent="0.4">
      <c r="A59" s="7">
        <f>VALUE("1"&amp;RIGHT(B59,LEN(B59)-1))</f>
        <v>130100148</v>
      </c>
      <c r="B59" s="10">
        <v>230100148</v>
      </c>
      <c r="C59" s="6" t="s">
        <v>123</v>
      </c>
      <c r="D59" s="6" t="s">
        <v>145</v>
      </c>
      <c r="E59" s="6">
        <v>20</v>
      </c>
      <c r="F59" s="6" t="s">
        <v>13</v>
      </c>
      <c r="G59" s="11">
        <v>0.08</v>
      </c>
      <c r="H59" s="6" t="s">
        <v>14</v>
      </c>
      <c r="I59" s="2" t="s">
        <v>21</v>
      </c>
      <c r="J59" s="5" t="s">
        <v>16</v>
      </c>
      <c r="K59" s="6"/>
    </row>
    <row r="60" spans="1:11" ht="16.8" x14ac:dyDescent="0.4">
      <c r="A60" s="7">
        <f>VALUE("1"&amp;RIGHT(B60,LEN(B60)-1))</f>
        <v>130100150</v>
      </c>
      <c r="B60" s="10">
        <v>230100150</v>
      </c>
      <c r="C60" s="6" t="s">
        <v>124</v>
      </c>
      <c r="D60" s="6" t="s">
        <v>146</v>
      </c>
      <c r="E60" s="6">
        <v>24</v>
      </c>
      <c r="F60" s="6" t="s">
        <v>19</v>
      </c>
      <c r="G60" s="11">
        <v>0.08</v>
      </c>
      <c r="H60" s="6" t="s">
        <v>20</v>
      </c>
      <c r="I60" s="2" t="s">
        <v>21</v>
      </c>
      <c r="J60" s="5" t="s">
        <v>22</v>
      </c>
      <c r="K60" s="6"/>
    </row>
    <row r="61" spans="1:11" ht="16.8" x14ac:dyDescent="0.4">
      <c r="A61" s="7">
        <f>VALUE("1"&amp;RIGHT(B61,LEN(B61)-1))</f>
        <v>130100156</v>
      </c>
      <c r="B61" s="10">
        <v>230100156</v>
      </c>
      <c r="C61" s="6" t="s">
        <v>125</v>
      </c>
      <c r="D61" s="6" t="s">
        <v>147</v>
      </c>
      <c r="E61" s="6">
        <v>20</v>
      </c>
      <c r="F61" s="6" t="s">
        <v>13</v>
      </c>
      <c r="G61" s="11">
        <v>0.08</v>
      </c>
      <c r="H61" s="6" t="s">
        <v>14</v>
      </c>
      <c r="I61" s="2" t="s">
        <v>21</v>
      </c>
      <c r="J61" s="5" t="s">
        <v>16</v>
      </c>
      <c r="K61" s="6"/>
    </row>
    <row r="62" spans="1:11" ht="16.8" x14ac:dyDescent="0.4">
      <c r="A62" s="7">
        <f>VALUE("1"&amp;RIGHT(B62,LEN(B62)-1))</f>
        <v>130100160</v>
      </c>
      <c r="B62" s="10">
        <v>230100160</v>
      </c>
      <c r="C62" s="6" t="s">
        <v>126</v>
      </c>
      <c r="D62" s="6" t="s">
        <v>148</v>
      </c>
      <c r="E62" s="6">
        <v>20</v>
      </c>
      <c r="F62" s="6" t="s">
        <v>13</v>
      </c>
      <c r="G62" s="11">
        <v>0.08</v>
      </c>
      <c r="H62" s="6" t="s">
        <v>14</v>
      </c>
      <c r="I62" s="2" t="s">
        <v>21</v>
      </c>
      <c r="J62" s="5" t="s">
        <v>16</v>
      </c>
      <c r="K62" s="6"/>
    </row>
    <row r="63" spans="1:11" ht="16.8" x14ac:dyDescent="0.4">
      <c r="A63" s="7">
        <f>VALUE("1"&amp;RIGHT(B63,LEN(B63)-1))</f>
        <v>130100176</v>
      </c>
      <c r="B63" s="10">
        <v>230100176</v>
      </c>
      <c r="C63" s="6" t="s">
        <v>127</v>
      </c>
      <c r="D63" s="6" t="s">
        <v>149</v>
      </c>
      <c r="E63" s="6">
        <v>24</v>
      </c>
      <c r="F63" s="6" t="s">
        <v>19</v>
      </c>
      <c r="G63" s="11">
        <v>0.08</v>
      </c>
      <c r="H63" s="6" t="s">
        <v>20</v>
      </c>
      <c r="I63" s="2" t="s">
        <v>21</v>
      </c>
      <c r="J63" s="5" t="s">
        <v>22</v>
      </c>
      <c r="K63" s="6"/>
    </row>
    <row r="64" spans="1:11" ht="16.8" x14ac:dyDescent="0.4">
      <c r="A64" s="7">
        <f>VALUE("1"&amp;RIGHT(B64,LEN(B64)-1))</f>
        <v>130100177</v>
      </c>
      <c r="B64" s="10">
        <v>230100177</v>
      </c>
      <c r="C64" s="6" t="s">
        <v>128</v>
      </c>
      <c r="D64" s="6" t="s">
        <v>150</v>
      </c>
      <c r="E64" s="6">
        <v>24</v>
      </c>
      <c r="F64" s="6" t="s">
        <v>19</v>
      </c>
      <c r="G64" s="11">
        <v>0.08</v>
      </c>
      <c r="H64" s="6" t="s">
        <v>14</v>
      </c>
      <c r="I64" s="2" t="s">
        <v>21</v>
      </c>
      <c r="J64" s="5" t="s">
        <v>22</v>
      </c>
      <c r="K64" s="6"/>
    </row>
    <row r="65" spans="1:11" ht="16.8" x14ac:dyDescent="0.4">
      <c r="A65" s="7">
        <f>VALUE("1"&amp;RIGHT(B65,LEN(B65)-1))</f>
        <v>130100178</v>
      </c>
      <c r="B65" s="10">
        <v>230100178</v>
      </c>
      <c r="C65" s="6" t="s">
        <v>129</v>
      </c>
      <c r="D65" s="6" t="s">
        <v>151</v>
      </c>
      <c r="E65" s="6">
        <v>24</v>
      </c>
      <c r="F65" s="6" t="s">
        <v>19</v>
      </c>
      <c r="G65" s="11">
        <v>0.1</v>
      </c>
      <c r="H65" s="6" t="s">
        <v>20</v>
      </c>
      <c r="I65" s="2" t="s">
        <v>21</v>
      </c>
      <c r="J65" s="5" t="s">
        <v>22</v>
      </c>
      <c r="K65" s="6"/>
    </row>
    <row r="66" spans="1:11" ht="16.8" x14ac:dyDescent="0.4">
      <c r="A66" s="7">
        <f>VALUE("1"&amp;RIGHT(B66,LEN(B66)-1))</f>
        <v>130100179</v>
      </c>
      <c r="B66" s="10">
        <v>230100179</v>
      </c>
      <c r="C66" s="6" t="s">
        <v>130</v>
      </c>
      <c r="D66" s="6" t="s">
        <v>152</v>
      </c>
      <c r="E66" s="6">
        <v>24</v>
      </c>
      <c r="F66" s="6" t="s">
        <v>19</v>
      </c>
      <c r="G66" s="11">
        <v>0.1</v>
      </c>
      <c r="H66" s="6" t="s">
        <v>20</v>
      </c>
      <c r="I66" s="2" t="s">
        <v>21</v>
      </c>
      <c r="J66" s="5" t="s">
        <v>22</v>
      </c>
      <c r="K66" s="6"/>
    </row>
    <row r="67" spans="1:11" ht="16.8" x14ac:dyDescent="0.4">
      <c r="A67" s="7">
        <f>VALUE("1"&amp;RIGHT(B67,LEN(B67)-1))</f>
        <v>130200021</v>
      </c>
      <c r="B67" s="10">
        <v>230200021</v>
      </c>
      <c r="C67" s="6" t="s">
        <v>131</v>
      </c>
      <c r="D67" s="6" t="s">
        <v>153</v>
      </c>
      <c r="E67" s="6">
        <v>24</v>
      </c>
      <c r="F67" s="6" t="s">
        <v>19</v>
      </c>
      <c r="G67" s="11">
        <v>0.1</v>
      </c>
      <c r="H67" s="6" t="s">
        <v>80</v>
      </c>
      <c r="I67" s="2" t="s">
        <v>21</v>
      </c>
      <c r="J67" s="5" t="s">
        <v>22</v>
      </c>
      <c r="K67" s="6"/>
    </row>
    <row r="68" spans="1:11" ht="16.8" x14ac:dyDescent="0.4">
      <c r="A68" s="7">
        <f>VALUE("1"&amp;RIGHT(B68,LEN(B68)-1))</f>
        <v>130200027</v>
      </c>
      <c r="B68" s="10">
        <v>230200027</v>
      </c>
      <c r="C68" s="6" t="s">
        <v>132</v>
      </c>
      <c r="D68" s="6" t="s">
        <v>154</v>
      </c>
      <c r="E68" s="6">
        <v>24</v>
      </c>
      <c r="F68" s="6" t="s">
        <v>19</v>
      </c>
      <c r="G68" s="11">
        <v>0.1</v>
      </c>
      <c r="H68" s="6" t="s">
        <v>80</v>
      </c>
      <c r="I68" s="2" t="s">
        <v>21</v>
      </c>
      <c r="J68" s="5" t="s">
        <v>22</v>
      </c>
      <c r="K68" s="6" t="s">
        <v>10</v>
      </c>
    </row>
  </sheetData>
  <autoFilter ref="A1:K46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150654EC04C44A9157EA87A0C80325" ma:contentTypeVersion="15" ma:contentTypeDescription="Create a new document." ma:contentTypeScope="" ma:versionID="4f79b052e0da3e7b5ce14255c640c7e5">
  <xsd:schema xmlns:xsd="http://www.w3.org/2001/XMLSchema" xmlns:xs="http://www.w3.org/2001/XMLSchema" xmlns:p="http://schemas.microsoft.com/office/2006/metadata/properties" xmlns:ns2="a31d29e1-9993-431c-a24a-bb9c03fcd895" xmlns:ns3="a0849130-445d-4eeb-9677-873594ff7d30" targetNamespace="http://schemas.microsoft.com/office/2006/metadata/properties" ma:root="true" ma:fieldsID="2922d1a88ad3541a39a9db507e360ee8" ns2:_="" ns3:_="">
    <xsd:import namespace="a31d29e1-9993-431c-a24a-bb9c03fcd895"/>
    <xsd:import namespace="a0849130-445d-4eeb-9677-873594ff7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d29e1-9993-431c-a24a-bb9c03fcd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de82e42-ab5a-40ce-a407-72b31953a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9130-445d-4eeb-9677-873594ff7d3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32a749-5580-42e2-a77b-57e2287bafaf}" ma:internalName="TaxCatchAll" ma:showField="CatchAllData" ma:web="a0849130-445d-4eeb-9677-873594ff7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849130-445d-4eeb-9677-873594ff7d30" xsi:nil="true"/>
    <lcf76f155ced4ddcb4097134ff3c332f xmlns="a31d29e1-9993-431c-a24a-bb9c03fcd8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040807-94EA-4198-B83B-4F88DB37FDE7}"/>
</file>

<file path=customXml/itemProps2.xml><?xml version="1.0" encoding="utf-8"?>
<ds:datastoreItem xmlns:ds="http://schemas.openxmlformats.org/officeDocument/2006/customXml" ds:itemID="{DEA50F9F-02C5-4E8A-A20D-C27C29F9CA67}"/>
</file>

<file path=customXml/itemProps3.xml><?xml version="1.0" encoding="utf-8"?>
<ds:datastoreItem xmlns:ds="http://schemas.openxmlformats.org/officeDocument/2006/customXml" ds:itemID="{D59EE8EE-4F1F-40FB-92FB-241C2D1C9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DanhMucSanPham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Quách Thị</cp:lastModifiedBy>
  <dcterms:created xsi:type="dcterms:W3CDTF">2026-06-19T00:13:47Z</dcterms:created>
  <dcterms:modified xsi:type="dcterms:W3CDTF">2026-07-14T04:25:54Z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0x0101007E150654EC04C44A9157EA87A0C80325</vt:lpwstr>
  </property>
</Properties>
</file>